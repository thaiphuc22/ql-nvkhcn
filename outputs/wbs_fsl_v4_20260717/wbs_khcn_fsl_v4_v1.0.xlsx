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huctd7\ql-nvkhcn\outputs\wbs_fsl_v4_20260717\"/>
    </mc:Choice>
  </mc:AlternateContent>
  <bookViews>
    <workbookView xWindow="0" yWindow="0" windowWidth="21570" windowHeight="10125" activeTab="1"/>
  </bookViews>
  <sheets>
    <sheet name="Dashboard" sheetId="9" r:id="rId1"/>
    <sheet name="WBS" sheetId="8" r:id="rId2"/>
    <sheet name="Work Packages" sheetId="7" r:id="rId3"/>
    <sheet name="Milestones" sheetId="6" r:id="rId4"/>
    <sheet name="CAP Coverage" sheetId="5" r:id="rId5"/>
    <sheet name="Dependencies" sheetId="4" r:id="rId6"/>
    <sheet name="Gates &amp; Decisions" sheetId="3" r:id="rId7"/>
    <sheet name="FSL Source" sheetId="10" r:id="rId8"/>
    <sheet name="Lists" sheetId="1" state="hidden" r:id="rId9"/>
  </sheets>
  <definedNames>
    <definedName name="FSL_Priority">Lists!$B$2:$B$4</definedName>
    <definedName name="FSL_Release">Lists!$C$2:$C$4</definedName>
    <definedName name="FSL_ScopeStatus">Lists!$D$2:$D$3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5" i="8" l="1"/>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P228" i="8"/>
  <c r="P229" i="8"/>
  <c r="P230" i="8"/>
  <c r="P231" i="8"/>
  <c r="P232" i="8"/>
  <c r="P233" i="8"/>
  <c r="P234" i="8"/>
  <c r="P235" i="8"/>
  <c r="P236" i="8"/>
  <c r="P237" i="8"/>
  <c r="P238" i="8"/>
  <c r="P239" i="8"/>
  <c r="P240" i="8"/>
  <c r="P241" i="8"/>
  <c r="P242" i="8"/>
  <c r="P243" i="8"/>
  <c r="P244" i="8"/>
  <c r="P245" i="8"/>
  <c r="P246" i="8"/>
  <c r="P247" i="8"/>
  <c r="P248" i="8"/>
  <c r="P249" i="8"/>
  <c r="P250" i="8"/>
  <c r="P251" i="8"/>
  <c r="P252" i="8"/>
  <c r="P253" i="8"/>
  <c r="P254" i="8"/>
  <c r="P255" i="8"/>
  <c r="P256" i="8"/>
  <c r="P257" i="8"/>
  <c r="P258" i="8"/>
  <c r="P259" i="8"/>
  <c r="P260" i="8"/>
  <c r="P261" i="8"/>
  <c r="P262" i="8"/>
  <c r="P263" i="8"/>
  <c r="P264" i="8"/>
  <c r="P265" i="8"/>
  <c r="P266" i="8"/>
  <c r="P267" i="8"/>
  <c r="P268" i="8"/>
  <c r="P269" i="8"/>
  <c r="P270" i="8"/>
  <c r="P271" i="8"/>
  <c r="P272" i="8"/>
  <c r="P273" i="8"/>
  <c r="P274" i="8"/>
  <c r="P275" i="8"/>
  <c r="P276" i="8"/>
  <c r="P277" i="8"/>
  <c r="P278" i="8"/>
  <c r="P279" i="8"/>
  <c r="P280" i="8"/>
  <c r="P281" i="8"/>
  <c r="P282" i="8"/>
  <c r="P283" i="8"/>
  <c r="P284" i="8"/>
  <c r="P285" i="8"/>
  <c r="P286" i="8"/>
  <c r="P287" i="8"/>
  <c r="P288" i="8"/>
  <c r="P289" i="8"/>
  <c r="P290" i="8"/>
  <c r="P291" i="8"/>
  <c r="P292" i="8"/>
  <c r="P293" i="8"/>
  <c r="P294" i="8"/>
  <c r="P295" i="8"/>
  <c r="P296" i="8"/>
  <c r="P297" i="8"/>
  <c r="P298" i="8"/>
  <c r="P299" i="8"/>
  <c r="P300" i="8"/>
  <c r="P301" i="8"/>
  <c r="P302" i="8"/>
  <c r="P303" i="8"/>
  <c r="P304" i="8"/>
  <c r="P305" i="8"/>
  <c r="P306" i="8"/>
  <c r="P307" i="8"/>
  <c r="P308" i="8"/>
  <c r="P309" i="8"/>
  <c r="P310" i="8"/>
  <c r="P311" i="8"/>
  <c r="P312" i="8"/>
  <c r="P313" i="8"/>
  <c r="P314" i="8"/>
  <c r="P315" i="8"/>
  <c r="P316" i="8"/>
  <c r="P317" i="8"/>
  <c r="P318" i="8"/>
  <c r="P319" i="8"/>
  <c r="P320" i="8"/>
  <c r="P321" i="8"/>
  <c r="P322" i="8"/>
  <c r="P323" i="8"/>
  <c r="P324" i="8"/>
  <c r="P325" i="8"/>
  <c r="P326" i="8"/>
  <c r="P327" i="8"/>
  <c r="P328" i="8"/>
  <c r="P329" i="8"/>
  <c r="P330" i="8"/>
  <c r="P331" i="8"/>
  <c r="P332" i="8"/>
  <c r="P333" i="8"/>
  <c r="P334" i="8"/>
  <c r="P335" i="8"/>
  <c r="P336" i="8"/>
  <c r="P337" i="8"/>
  <c r="P338" i="8"/>
  <c r="P339" i="8"/>
  <c r="P340" i="8"/>
  <c r="P341" i="8"/>
  <c r="P342" i="8"/>
  <c r="P343" i="8"/>
  <c r="P344" i="8"/>
  <c r="P345" i="8"/>
  <c r="P346" i="8"/>
  <c r="P347" i="8"/>
  <c r="P348" i="8"/>
  <c r="P349" i="8"/>
  <c r="P350" i="8"/>
  <c r="P351" i="8"/>
  <c r="P352" i="8"/>
  <c r="P353" i="8"/>
  <c r="P354" i="8"/>
  <c r="P355" i="8"/>
  <c r="P356" i="8"/>
  <c r="P357" i="8"/>
  <c r="P358" i="8"/>
  <c r="P359" i="8"/>
  <c r="P360" i="8"/>
  <c r="P361" i="8"/>
  <c r="P362" i="8"/>
  <c r="P363" i="8"/>
  <c r="P364" i="8"/>
  <c r="P365" i="8"/>
  <c r="P366" i="8"/>
  <c r="P367" i="8"/>
  <c r="P368" i="8"/>
  <c r="P369" i="8"/>
  <c r="P370" i="8"/>
  <c r="P371" i="8"/>
  <c r="P372" i="8"/>
  <c r="P373" i="8"/>
  <c r="P374" i="8"/>
  <c r="P375" i="8"/>
  <c r="P376" i="8"/>
  <c r="P377" i="8"/>
  <c r="P378" i="8"/>
  <c r="P379" i="8"/>
  <c r="P380" i="8"/>
  <c r="P381" i="8"/>
  <c r="P382" i="8"/>
  <c r="P383" i="8"/>
  <c r="P384" i="8"/>
  <c r="P385" i="8"/>
  <c r="P386" i="8"/>
  <c r="P387" i="8"/>
  <c r="P388" i="8"/>
  <c r="P389" i="8"/>
  <c r="P390" i="8"/>
  <c r="P391" i="8"/>
  <c r="P392" i="8"/>
  <c r="P393" i="8"/>
  <c r="P394" i="8"/>
  <c r="P395" i="8"/>
  <c r="P396" i="8"/>
  <c r="P397" i="8"/>
  <c r="P398" i="8"/>
  <c r="P399" i="8"/>
  <c r="P400" i="8"/>
  <c r="P401" i="8"/>
  <c r="P402" i="8"/>
  <c r="P403" i="8"/>
  <c r="P404" i="8"/>
  <c r="P405" i="8"/>
  <c r="P406" i="8"/>
  <c r="P407" i="8"/>
  <c r="P408" i="8"/>
  <c r="P409" i="8"/>
  <c r="P410" i="8"/>
  <c r="P411" i="8"/>
  <c r="P412" i="8"/>
  <c r="P413" i="8"/>
  <c r="P414" i="8"/>
  <c r="P415" i="8"/>
  <c r="P416" i="8"/>
  <c r="P417" i="8"/>
  <c r="P418" i="8"/>
  <c r="P419" i="8"/>
  <c r="P420" i="8"/>
  <c r="P421" i="8"/>
  <c r="P422" i="8"/>
  <c r="P423" i="8"/>
  <c r="P424" i="8"/>
  <c r="P425" i="8"/>
  <c r="P426" i="8"/>
  <c r="P427" i="8"/>
  <c r="P428" i="8"/>
  <c r="P429" i="8"/>
  <c r="P430" i="8"/>
  <c r="P431" i="8"/>
  <c r="P432" i="8"/>
  <c r="P433" i="8"/>
  <c r="P434" i="8"/>
  <c r="P435" i="8"/>
  <c r="P436" i="8"/>
  <c r="P437" i="8"/>
  <c r="P438" i="8"/>
  <c r="P439" i="8"/>
  <c r="P440" i="8"/>
  <c r="P441" i="8"/>
  <c r="P442" i="8"/>
  <c r="P443" i="8"/>
  <c r="P444" i="8"/>
  <c r="P445" i="8"/>
  <c r="P446" i="8"/>
  <c r="P447" i="8"/>
  <c r="P448" i="8"/>
  <c r="P449" i="8"/>
  <c r="P450" i="8"/>
  <c r="P451" i="8"/>
  <c r="P452" i="8"/>
  <c r="P453" i="8"/>
  <c r="P454" i="8"/>
  <c r="P455" i="8"/>
  <c r="P456" i="8"/>
  <c r="P457" i="8"/>
  <c r="K6" i="9" l="1"/>
  <c r="I6" i="9"/>
  <c r="P66" i="7"/>
  <c r="P65" i="7"/>
  <c r="P64" i="7"/>
  <c r="P63" i="7"/>
  <c r="P62" i="7"/>
  <c r="P61" i="7"/>
  <c r="P60" i="7"/>
  <c r="P59" i="7"/>
  <c r="P58" i="7"/>
  <c r="P57" i="7"/>
  <c r="P56" i="7"/>
  <c r="P55" i="7"/>
  <c r="P54" i="7"/>
  <c r="P53" i="7"/>
  <c r="P52" i="7"/>
  <c r="P51" i="7"/>
  <c r="P50" i="7"/>
  <c r="P49" i="7"/>
  <c r="P48" i="7"/>
  <c r="P47" i="7"/>
  <c r="P46" i="7"/>
  <c r="P45" i="7"/>
  <c r="P44" i="7"/>
  <c r="P43" i="7"/>
  <c r="P42" i="7"/>
  <c r="P41" i="7"/>
  <c r="P40" i="7"/>
  <c r="P39" i="7"/>
  <c r="P38" i="7"/>
  <c r="P37" i="7"/>
  <c r="P36" i="7"/>
  <c r="P35" i="7"/>
  <c r="P34" i="7"/>
  <c r="P33" i="7"/>
  <c r="P32" i="7"/>
  <c r="P31" i="7"/>
  <c r="P30" i="7"/>
  <c r="P29" i="7"/>
  <c r="P28" i="7"/>
  <c r="P27" i="7"/>
  <c r="P26" i="7"/>
  <c r="P25" i="7"/>
  <c r="P24" i="7"/>
  <c r="P23" i="7"/>
  <c r="P22" i="7"/>
  <c r="P21" i="7"/>
  <c r="P20" i="7"/>
  <c r="P19" i="7"/>
  <c r="P18" i="7"/>
  <c r="P17" i="7"/>
  <c r="P16" i="7"/>
  <c r="P15" i="7"/>
  <c r="P14" i="7"/>
  <c r="P13" i="7"/>
  <c r="P12" i="7"/>
  <c r="P11" i="7"/>
  <c r="P10" i="7"/>
  <c r="P9" i="7"/>
  <c r="P8" i="7"/>
  <c r="P7" i="7"/>
  <c r="P6" i="7"/>
  <c r="P5" i="7"/>
  <c r="X5" i="8"/>
  <c r="X6" i="8"/>
  <c r="X7" i="8"/>
  <c r="X8" i="8"/>
  <c r="X9" i="8"/>
  <c r="X10" i="8"/>
  <c r="X11" i="8"/>
  <c r="X12" i="8"/>
  <c r="X13" i="8"/>
  <c r="X14" i="8"/>
  <c r="X15" i="8"/>
  <c r="X16" i="8"/>
  <c r="X17" i="8"/>
  <c r="X18" i="8"/>
  <c r="X19" i="8"/>
  <c r="X20" i="8"/>
  <c r="X21" i="8"/>
  <c r="X22" i="8"/>
  <c r="X23" i="8"/>
  <c r="X24" i="8"/>
  <c r="X25" i="8"/>
  <c r="X26" i="8"/>
  <c r="X27" i="8"/>
  <c r="X28" i="8"/>
  <c r="X29" i="8"/>
  <c r="X30" i="8"/>
  <c r="X31" i="8"/>
  <c r="X32" i="8"/>
  <c r="X33" i="8"/>
  <c r="X34" i="8"/>
  <c r="X35" i="8"/>
  <c r="X36" i="8"/>
  <c r="X37" i="8"/>
  <c r="X38" i="8"/>
  <c r="X39" i="8"/>
  <c r="X40" i="8"/>
  <c r="X41" i="8"/>
  <c r="X42" i="8"/>
  <c r="X43" i="8"/>
  <c r="X44" i="8"/>
  <c r="X45" i="8"/>
  <c r="X46" i="8"/>
  <c r="X47" i="8"/>
  <c r="X48" i="8"/>
  <c r="X49" i="8"/>
  <c r="X50" i="8"/>
  <c r="X51" i="8"/>
  <c r="X52" i="8"/>
  <c r="X53" i="8"/>
  <c r="X54" i="8"/>
  <c r="X55" i="8"/>
  <c r="X56" i="8"/>
  <c r="X57" i="8"/>
  <c r="X58" i="8"/>
  <c r="X59" i="8"/>
  <c r="X60" i="8"/>
  <c r="X61" i="8"/>
  <c r="X62" i="8"/>
  <c r="X63" i="8"/>
  <c r="X64" i="8"/>
  <c r="X65" i="8"/>
  <c r="X66" i="8"/>
  <c r="X67" i="8"/>
  <c r="X68" i="8"/>
  <c r="X69" i="8"/>
  <c r="X70" i="8"/>
  <c r="X71" i="8"/>
  <c r="X72" i="8"/>
  <c r="X73" i="8"/>
  <c r="X74" i="8"/>
  <c r="X75" i="8"/>
  <c r="X76" i="8"/>
  <c r="X77" i="8"/>
  <c r="X78" i="8"/>
  <c r="X79" i="8"/>
  <c r="X80" i="8"/>
  <c r="X81" i="8"/>
  <c r="X82" i="8"/>
  <c r="X83" i="8"/>
  <c r="X84" i="8"/>
  <c r="X85" i="8"/>
  <c r="X86" i="8"/>
  <c r="X87" i="8"/>
  <c r="X88" i="8"/>
  <c r="X89" i="8"/>
  <c r="X90" i="8"/>
  <c r="X91" i="8"/>
  <c r="X92" i="8"/>
  <c r="X93" i="8"/>
  <c r="X94" i="8"/>
  <c r="X95" i="8"/>
  <c r="X96" i="8"/>
  <c r="X97" i="8"/>
  <c r="X98" i="8"/>
  <c r="X99" i="8"/>
  <c r="X100" i="8"/>
  <c r="X101" i="8"/>
  <c r="X102" i="8"/>
  <c r="X103" i="8"/>
  <c r="X104" i="8"/>
  <c r="X105" i="8"/>
  <c r="X106" i="8"/>
  <c r="X107" i="8"/>
  <c r="X108" i="8"/>
  <c r="X109" i="8"/>
  <c r="X110" i="8"/>
  <c r="X111" i="8"/>
  <c r="X112" i="8"/>
  <c r="X113" i="8"/>
  <c r="X114" i="8"/>
  <c r="X115" i="8"/>
  <c r="X116" i="8"/>
  <c r="X117" i="8"/>
  <c r="X118" i="8"/>
  <c r="X119" i="8"/>
  <c r="X120" i="8"/>
  <c r="X121" i="8"/>
  <c r="X122" i="8"/>
  <c r="X123" i="8"/>
  <c r="X124" i="8"/>
  <c r="X125" i="8"/>
  <c r="X126" i="8"/>
  <c r="X127" i="8"/>
  <c r="X128" i="8"/>
  <c r="X129" i="8"/>
  <c r="X130" i="8"/>
  <c r="X131" i="8"/>
  <c r="X132" i="8"/>
  <c r="X133" i="8"/>
  <c r="X134" i="8"/>
  <c r="X135" i="8"/>
  <c r="X136" i="8"/>
  <c r="X137" i="8"/>
  <c r="X138" i="8"/>
  <c r="X139" i="8"/>
  <c r="X140" i="8"/>
  <c r="X141" i="8"/>
  <c r="X142" i="8"/>
  <c r="X143" i="8"/>
  <c r="X144" i="8"/>
  <c r="X145" i="8"/>
  <c r="X146" i="8"/>
  <c r="X147" i="8"/>
  <c r="X148" i="8"/>
  <c r="X149" i="8"/>
  <c r="X150" i="8"/>
  <c r="X151" i="8"/>
  <c r="X152" i="8"/>
  <c r="X153" i="8"/>
  <c r="X154" i="8"/>
  <c r="X155" i="8"/>
  <c r="X156" i="8"/>
  <c r="X157" i="8"/>
  <c r="X158" i="8"/>
  <c r="X159" i="8"/>
  <c r="X160" i="8"/>
  <c r="X161" i="8"/>
  <c r="X162" i="8"/>
  <c r="X163" i="8"/>
  <c r="X164" i="8"/>
  <c r="X165" i="8"/>
  <c r="X166" i="8"/>
  <c r="X167" i="8"/>
  <c r="X168" i="8"/>
  <c r="X169" i="8"/>
  <c r="X170" i="8"/>
  <c r="X171" i="8"/>
  <c r="X172" i="8"/>
  <c r="X173" i="8"/>
  <c r="X174" i="8"/>
  <c r="X175" i="8"/>
  <c r="X176" i="8"/>
  <c r="X177" i="8"/>
  <c r="X178" i="8"/>
  <c r="X179" i="8"/>
  <c r="X180" i="8"/>
  <c r="X181" i="8"/>
  <c r="X182" i="8"/>
  <c r="X183" i="8"/>
  <c r="X184" i="8"/>
  <c r="X185" i="8"/>
  <c r="X186" i="8"/>
  <c r="X187" i="8"/>
  <c r="X188" i="8"/>
  <c r="X189" i="8"/>
  <c r="X190" i="8"/>
  <c r="X191" i="8"/>
  <c r="X192" i="8"/>
  <c r="X193" i="8"/>
  <c r="X194" i="8"/>
  <c r="X195" i="8"/>
  <c r="X196" i="8"/>
  <c r="X197" i="8"/>
  <c r="X198" i="8"/>
  <c r="X199" i="8"/>
  <c r="X200" i="8"/>
  <c r="X201" i="8"/>
  <c r="X202" i="8"/>
  <c r="X203" i="8"/>
  <c r="X204" i="8"/>
  <c r="X205" i="8"/>
  <c r="X206" i="8"/>
  <c r="X207" i="8"/>
  <c r="X208" i="8"/>
  <c r="X209" i="8"/>
  <c r="X210" i="8"/>
  <c r="X211" i="8"/>
  <c r="X212" i="8"/>
  <c r="X213" i="8"/>
  <c r="X214" i="8"/>
  <c r="X215" i="8"/>
  <c r="X216" i="8"/>
  <c r="X217" i="8"/>
  <c r="X218" i="8"/>
  <c r="X219" i="8"/>
  <c r="X220" i="8"/>
  <c r="X221" i="8"/>
  <c r="X222" i="8"/>
  <c r="X223" i="8"/>
  <c r="X224" i="8"/>
  <c r="X225" i="8"/>
  <c r="X226" i="8"/>
  <c r="X227" i="8"/>
  <c r="X228" i="8"/>
  <c r="X229" i="8"/>
  <c r="X230" i="8"/>
  <c r="X231" i="8"/>
  <c r="X232" i="8"/>
  <c r="X233" i="8"/>
  <c r="X234" i="8"/>
  <c r="X235" i="8"/>
  <c r="X236" i="8"/>
  <c r="X237" i="8"/>
  <c r="X238" i="8"/>
  <c r="X239" i="8"/>
  <c r="X240" i="8"/>
  <c r="X241" i="8"/>
  <c r="X242" i="8"/>
  <c r="X243" i="8"/>
  <c r="X244" i="8"/>
  <c r="X245" i="8"/>
  <c r="X246" i="8"/>
  <c r="X247" i="8"/>
  <c r="X248" i="8"/>
  <c r="X249" i="8"/>
  <c r="X250" i="8"/>
  <c r="X251" i="8"/>
  <c r="X252" i="8"/>
  <c r="X253" i="8"/>
  <c r="X254" i="8"/>
  <c r="X255" i="8"/>
  <c r="X256" i="8"/>
  <c r="X257" i="8"/>
  <c r="X258" i="8"/>
  <c r="X259" i="8"/>
  <c r="X260" i="8"/>
  <c r="X261" i="8"/>
  <c r="X262" i="8"/>
  <c r="X263" i="8"/>
  <c r="X264" i="8"/>
  <c r="X265" i="8"/>
  <c r="X266" i="8"/>
  <c r="X267" i="8"/>
  <c r="X268" i="8"/>
  <c r="X269" i="8"/>
  <c r="X270" i="8"/>
  <c r="X271" i="8"/>
  <c r="X272" i="8"/>
  <c r="X273" i="8"/>
  <c r="X274" i="8"/>
  <c r="X275" i="8"/>
  <c r="X276" i="8"/>
  <c r="X277" i="8"/>
  <c r="X278" i="8"/>
  <c r="X279" i="8"/>
  <c r="X280" i="8"/>
  <c r="X281" i="8"/>
  <c r="X282" i="8"/>
  <c r="X283" i="8"/>
  <c r="X284" i="8"/>
  <c r="X285" i="8"/>
  <c r="X286" i="8"/>
  <c r="X287" i="8"/>
  <c r="X288" i="8"/>
  <c r="X289" i="8"/>
  <c r="X290" i="8"/>
  <c r="X291" i="8"/>
  <c r="X292" i="8"/>
  <c r="X293" i="8"/>
  <c r="X294" i="8"/>
  <c r="X295" i="8"/>
  <c r="X296" i="8"/>
  <c r="X297" i="8"/>
  <c r="X298" i="8"/>
  <c r="X299" i="8"/>
  <c r="X300" i="8"/>
  <c r="X301" i="8"/>
  <c r="X302" i="8"/>
  <c r="X303" i="8"/>
  <c r="X304" i="8"/>
  <c r="X305" i="8"/>
  <c r="X306" i="8"/>
  <c r="X307" i="8"/>
  <c r="X308" i="8"/>
  <c r="X309" i="8"/>
  <c r="X310" i="8"/>
  <c r="X311" i="8"/>
  <c r="X312" i="8"/>
  <c r="X313" i="8"/>
  <c r="X314" i="8"/>
  <c r="X315" i="8"/>
  <c r="X316" i="8"/>
  <c r="X317" i="8"/>
  <c r="X318" i="8"/>
  <c r="X319" i="8"/>
  <c r="X320" i="8"/>
  <c r="X321" i="8"/>
  <c r="X322" i="8"/>
  <c r="X323" i="8"/>
  <c r="X324" i="8"/>
  <c r="X325" i="8"/>
  <c r="X326" i="8"/>
  <c r="X327" i="8"/>
  <c r="X328" i="8"/>
  <c r="X329" i="8"/>
  <c r="X330" i="8"/>
  <c r="X331" i="8"/>
  <c r="X332" i="8"/>
  <c r="X333" i="8"/>
  <c r="X334" i="8"/>
  <c r="X335" i="8"/>
  <c r="X336" i="8"/>
  <c r="X337" i="8"/>
  <c r="X338" i="8"/>
  <c r="X339" i="8"/>
  <c r="X340" i="8"/>
  <c r="X341" i="8"/>
  <c r="X342" i="8"/>
  <c r="X343" i="8"/>
  <c r="X344" i="8"/>
  <c r="X345" i="8"/>
  <c r="X346" i="8"/>
  <c r="X347" i="8"/>
  <c r="X348" i="8"/>
  <c r="X349" i="8"/>
  <c r="X350" i="8"/>
  <c r="X351" i="8"/>
  <c r="X352" i="8"/>
  <c r="X353" i="8"/>
  <c r="X354" i="8"/>
  <c r="X355" i="8"/>
  <c r="X356" i="8"/>
  <c r="X357" i="8"/>
  <c r="X358" i="8"/>
  <c r="X359" i="8"/>
  <c r="X360" i="8"/>
  <c r="X361" i="8"/>
  <c r="X362" i="8"/>
  <c r="X363" i="8"/>
  <c r="X364" i="8"/>
  <c r="X365" i="8"/>
  <c r="X366" i="8"/>
  <c r="X367" i="8"/>
  <c r="X368" i="8"/>
  <c r="X369" i="8"/>
  <c r="X370" i="8"/>
  <c r="X371" i="8"/>
  <c r="X372" i="8"/>
  <c r="X373" i="8"/>
  <c r="X374" i="8"/>
  <c r="X375" i="8"/>
  <c r="X376" i="8"/>
  <c r="X377" i="8"/>
  <c r="X378" i="8"/>
  <c r="X379" i="8"/>
  <c r="X380" i="8"/>
  <c r="X381" i="8"/>
  <c r="X382" i="8"/>
  <c r="X383" i="8"/>
  <c r="X384" i="8"/>
  <c r="X385" i="8"/>
  <c r="X386" i="8"/>
  <c r="X387" i="8"/>
  <c r="X388" i="8"/>
  <c r="X389" i="8"/>
  <c r="X390" i="8"/>
  <c r="X391" i="8"/>
  <c r="X392" i="8"/>
  <c r="X393" i="8"/>
  <c r="X394" i="8"/>
  <c r="X395" i="8"/>
  <c r="X396" i="8"/>
  <c r="X397" i="8"/>
  <c r="X398" i="8"/>
  <c r="X399" i="8"/>
  <c r="X400" i="8"/>
  <c r="X401" i="8"/>
  <c r="X402" i="8"/>
  <c r="X403" i="8"/>
  <c r="X404" i="8"/>
  <c r="X405" i="8"/>
  <c r="X406" i="8"/>
  <c r="X407" i="8"/>
  <c r="X408" i="8"/>
  <c r="X409" i="8"/>
  <c r="X410" i="8"/>
  <c r="X411" i="8"/>
  <c r="X412" i="8"/>
  <c r="X413" i="8"/>
  <c r="X414" i="8"/>
  <c r="X415" i="8"/>
  <c r="X416" i="8"/>
  <c r="X417" i="8"/>
  <c r="X418" i="8"/>
  <c r="X419" i="8"/>
  <c r="X420" i="8"/>
  <c r="X421" i="8"/>
  <c r="X422" i="8"/>
  <c r="X423" i="8"/>
  <c r="X424" i="8"/>
  <c r="X425" i="8"/>
  <c r="X426" i="8"/>
  <c r="X427" i="8"/>
  <c r="X428" i="8"/>
  <c r="X429" i="8"/>
  <c r="X430" i="8"/>
  <c r="X431" i="8"/>
  <c r="X432" i="8"/>
  <c r="X433" i="8"/>
  <c r="X434" i="8"/>
  <c r="X435" i="8"/>
  <c r="X436" i="8"/>
  <c r="X437" i="8"/>
  <c r="X438" i="8"/>
  <c r="X439" i="8"/>
  <c r="X440" i="8"/>
  <c r="X441" i="8"/>
  <c r="X442" i="8"/>
  <c r="X443" i="8"/>
  <c r="X444" i="8"/>
  <c r="X445" i="8"/>
  <c r="X446" i="8"/>
  <c r="X447" i="8"/>
  <c r="X448" i="8"/>
  <c r="X449" i="8"/>
  <c r="X450" i="8"/>
  <c r="X451" i="8"/>
  <c r="X452" i="8"/>
  <c r="X453" i="8"/>
  <c r="X454" i="8"/>
  <c r="X455" i="8"/>
  <c r="X456" i="8"/>
  <c r="X457" i="8"/>
  <c r="R6" i="8"/>
  <c r="R7" i="8"/>
  <c r="R8" i="8"/>
  <c r="R9" i="8"/>
  <c r="R10" i="8"/>
  <c r="R11" i="8"/>
  <c r="R12" i="8"/>
  <c r="R13" i="8"/>
  <c r="R14" i="8"/>
  <c r="R15"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R45" i="8"/>
  <c r="R46" i="8"/>
  <c r="R47" i="8"/>
  <c r="R48" i="8"/>
  <c r="R49" i="8"/>
  <c r="R50" i="8"/>
  <c r="R51" i="8"/>
  <c r="R52" i="8"/>
  <c r="R53" i="8"/>
  <c r="R54" i="8"/>
  <c r="R55" i="8"/>
  <c r="R56" i="8"/>
  <c r="R57" i="8"/>
  <c r="R58" i="8"/>
  <c r="R59" i="8"/>
  <c r="R60" i="8"/>
  <c r="R61" i="8"/>
  <c r="R62" i="8"/>
  <c r="R63" i="8"/>
  <c r="R64" i="8"/>
  <c r="R65" i="8"/>
  <c r="R66" i="8"/>
  <c r="R67" i="8"/>
  <c r="R68" i="8"/>
  <c r="R69" i="8"/>
  <c r="R70" i="8"/>
  <c r="R71" i="8"/>
  <c r="R72" i="8"/>
  <c r="R73" i="8"/>
  <c r="R74" i="8"/>
  <c r="R75" i="8"/>
  <c r="R76" i="8"/>
  <c r="R77" i="8"/>
  <c r="R78" i="8"/>
  <c r="R79" i="8"/>
  <c r="R80" i="8"/>
  <c r="R81" i="8"/>
  <c r="R82" i="8"/>
  <c r="R83" i="8"/>
  <c r="R84" i="8"/>
  <c r="R85" i="8"/>
  <c r="R86" i="8"/>
  <c r="R87" i="8"/>
  <c r="R88" i="8"/>
  <c r="R89" i="8"/>
  <c r="R90" i="8"/>
  <c r="R91" i="8"/>
  <c r="R92" i="8"/>
  <c r="R93" i="8"/>
  <c r="R94" i="8"/>
  <c r="R95" i="8"/>
  <c r="R96" i="8"/>
  <c r="R97" i="8"/>
  <c r="R98" i="8"/>
  <c r="R99" i="8"/>
  <c r="R100" i="8"/>
  <c r="R101" i="8"/>
  <c r="R102" i="8"/>
  <c r="R103" i="8"/>
  <c r="R104" i="8"/>
  <c r="R105" i="8"/>
  <c r="R106" i="8"/>
  <c r="R107" i="8"/>
  <c r="R108" i="8"/>
  <c r="R109" i="8"/>
  <c r="R110" i="8"/>
  <c r="R111" i="8"/>
  <c r="R112" i="8"/>
  <c r="R113" i="8"/>
  <c r="R114" i="8"/>
  <c r="R115" i="8"/>
  <c r="R116" i="8"/>
  <c r="R117" i="8"/>
  <c r="R118" i="8"/>
  <c r="R119" i="8"/>
  <c r="R120" i="8"/>
  <c r="R121" i="8"/>
  <c r="R122" i="8"/>
  <c r="R123" i="8"/>
  <c r="R124" i="8"/>
  <c r="R125" i="8"/>
  <c r="R126" i="8"/>
  <c r="R127" i="8"/>
  <c r="R128" i="8"/>
  <c r="R129" i="8"/>
  <c r="R130" i="8"/>
  <c r="R131" i="8"/>
  <c r="R132" i="8"/>
  <c r="R133" i="8"/>
  <c r="R134" i="8"/>
  <c r="R135" i="8"/>
  <c r="R136" i="8"/>
  <c r="R137" i="8"/>
  <c r="R138" i="8"/>
  <c r="R139" i="8"/>
  <c r="R140" i="8"/>
  <c r="R141" i="8"/>
  <c r="R142" i="8"/>
  <c r="R143" i="8"/>
  <c r="R144" i="8"/>
  <c r="R145" i="8"/>
  <c r="R146" i="8"/>
  <c r="R147" i="8"/>
  <c r="R148" i="8"/>
  <c r="R149" i="8"/>
  <c r="R150" i="8"/>
  <c r="R151" i="8"/>
  <c r="R152" i="8"/>
  <c r="R153" i="8"/>
  <c r="R154" i="8"/>
  <c r="R155" i="8"/>
  <c r="R156" i="8"/>
  <c r="R157" i="8"/>
  <c r="R158" i="8"/>
  <c r="R159" i="8"/>
  <c r="R160" i="8"/>
  <c r="R161" i="8"/>
  <c r="R162" i="8"/>
  <c r="R163" i="8"/>
  <c r="R164" i="8"/>
  <c r="R165" i="8"/>
  <c r="R166" i="8"/>
  <c r="R167" i="8"/>
  <c r="R168" i="8"/>
  <c r="R169" i="8"/>
  <c r="R170" i="8"/>
  <c r="R171" i="8"/>
  <c r="R172" i="8"/>
  <c r="R173" i="8"/>
  <c r="R174" i="8"/>
  <c r="R175" i="8"/>
  <c r="R176" i="8"/>
  <c r="R177" i="8"/>
  <c r="R178" i="8"/>
  <c r="R179" i="8"/>
  <c r="R180" i="8"/>
  <c r="R181" i="8"/>
  <c r="R182" i="8"/>
  <c r="R183" i="8"/>
  <c r="R184" i="8"/>
  <c r="R185" i="8"/>
  <c r="R186" i="8"/>
  <c r="R187" i="8"/>
  <c r="R188" i="8"/>
  <c r="R189" i="8"/>
  <c r="R190" i="8"/>
  <c r="R191" i="8"/>
  <c r="R192" i="8"/>
  <c r="R193" i="8"/>
  <c r="R194" i="8"/>
  <c r="R195" i="8"/>
  <c r="R196" i="8"/>
  <c r="R197" i="8"/>
  <c r="R198" i="8"/>
  <c r="R199" i="8"/>
  <c r="R200" i="8"/>
  <c r="R201" i="8"/>
  <c r="R202" i="8"/>
  <c r="R203" i="8"/>
  <c r="R204" i="8"/>
  <c r="R205" i="8"/>
  <c r="R206" i="8"/>
  <c r="R207" i="8"/>
  <c r="R208" i="8"/>
  <c r="R209" i="8"/>
  <c r="R210" i="8"/>
  <c r="R211" i="8"/>
  <c r="R212" i="8"/>
  <c r="R213" i="8"/>
  <c r="R214" i="8"/>
  <c r="R215" i="8"/>
  <c r="R216" i="8"/>
  <c r="R217" i="8"/>
  <c r="R218" i="8"/>
  <c r="R219" i="8"/>
  <c r="R220" i="8"/>
  <c r="R221" i="8"/>
  <c r="R222" i="8"/>
  <c r="R223" i="8"/>
  <c r="R224" i="8"/>
  <c r="R225" i="8"/>
  <c r="R226" i="8"/>
  <c r="R227" i="8"/>
  <c r="R228" i="8"/>
  <c r="R229" i="8"/>
  <c r="R230" i="8"/>
  <c r="R231" i="8"/>
  <c r="R232" i="8"/>
  <c r="R233" i="8"/>
  <c r="R234" i="8"/>
  <c r="R235" i="8"/>
  <c r="R236" i="8"/>
  <c r="R237" i="8"/>
  <c r="R238" i="8"/>
  <c r="R239" i="8"/>
  <c r="R240" i="8"/>
  <c r="R241" i="8"/>
  <c r="R242" i="8"/>
  <c r="R243" i="8"/>
  <c r="R244" i="8"/>
  <c r="R245" i="8"/>
  <c r="R246" i="8"/>
  <c r="R247" i="8"/>
  <c r="R248" i="8"/>
  <c r="R249" i="8"/>
  <c r="R250" i="8"/>
  <c r="R251" i="8"/>
  <c r="R252" i="8"/>
  <c r="R253" i="8"/>
  <c r="R254" i="8"/>
  <c r="R255" i="8"/>
  <c r="R256" i="8"/>
  <c r="R257" i="8"/>
  <c r="R258" i="8"/>
  <c r="R259" i="8"/>
  <c r="R260" i="8"/>
  <c r="R261" i="8"/>
  <c r="R262" i="8"/>
  <c r="R263" i="8"/>
  <c r="R264" i="8"/>
  <c r="R265" i="8"/>
  <c r="R266" i="8"/>
  <c r="R267" i="8"/>
  <c r="R268" i="8"/>
  <c r="R269" i="8"/>
  <c r="R270" i="8"/>
  <c r="R271" i="8"/>
  <c r="R272" i="8"/>
  <c r="R273" i="8"/>
  <c r="R274" i="8"/>
  <c r="R275" i="8"/>
  <c r="R276" i="8"/>
  <c r="R277" i="8"/>
  <c r="R278" i="8"/>
  <c r="R279" i="8"/>
  <c r="R280" i="8"/>
  <c r="R281" i="8"/>
  <c r="R282" i="8"/>
  <c r="R283" i="8"/>
  <c r="R284" i="8"/>
  <c r="R285" i="8"/>
  <c r="R286" i="8"/>
  <c r="R287" i="8"/>
  <c r="R288" i="8"/>
  <c r="R289" i="8"/>
  <c r="R290" i="8"/>
  <c r="R291" i="8"/>
  <c r="R292" i="8"/>
  <c r="R293" i="8"/>
  <c r="R294" i="8"/>
  <c r="R295" i="8"/>
  <c r="R296" i="8"/>
  <c r="R297" i="8"/>
  <c r="R298" i="8"/>
  <c r="R299" i="8"/>
  <c r="R300" i="8"/>
  <c r="R301" i="8"/>
  <c r="R302" i="8"/>
  <c r="R303" i="8"/>
  <c r="R304" i="8"/>
  <c r="R305" i="8"/>
  <c r="R306" i="8"/>
  <c r="R307" i="8"/>
  <c r="R308" i="8"/>
  <c r="R309" i="8"/>
  <c r="R310" i="8"/>
  <c r="R311" i="8"/>
  <c r="R312" i="8"/>
  <c r="R313" i="8"/>
  <c r="R314" i="8"/>
  <c r="R315" i="8"/>
  <c r="R316" i="8"/>
  <c r="R317" i="8"/>
  <c r="R318" i="8"/>
  <c r="R319" i="8"/>
  <c r="R320" i="8"/>
  <c r="R321" i="8"/>
  <c r="R322" i="8"/>
  <c r="R323" i="8"/>
  <c r="R324" i="8"/>
  <c r="R325" i="8"/>
  <c r="R326" i="8"/>
  <c r="R327" i="8"/>
  <c r="R328" i="8"/>
  <c r="R329" i="8"/>
  <c r="R330" i="8"/>
  <c r="R331" i="8"/>
  <c r="R332" i="8"/>
  <c r="R333" i="8"/>
  <c r="R334" i="8"/>
  <c r="R335" i="8"/>
  <c r="R336" i="8"/>
  <c r="R337" i="8"/>
  <c r="R338" i="8"/>
  <c r="R339" i="8"/>
  <c r="R340" i="8"/>
  <c r="R341" i="8"/>
  <c r="R342" i="8"/>
  <c r="R343" i="8"/>
  <c r="R344" i="8"/>
  <c r="R345" i="8"/>
  <c r="R346" i="8"/>
  <c r="R347" i="8"/>
  <c r="R348" i="8"/>
  <c r="R349" i="8"/>
  <c r="R350" i="8"/>
  <c r="R351" i="8"/>
  <c r="R352" i="8"/>
  <c r="R353" i="8"/>
  <c r="R354" i="8"/>
  <c r="R355" i="8"/>
  <c r="R356" i="8"/>
  <c r="R357" i="8"/>
  <c r="R358" i="8"/>
  <c r="R359" i="8"/>
  <c r="R360" i="8"/>
  <c r="R361" i="8"/>
  <c r="R362" i="8"/>
  <c r="R363" i="8"/>
  <c r="R364" i="8"/>
  <c r="R365" i="8"/>
  <c r="R366" i="8"/>
  <c r="R367" i="8"/>
  <c r="R368" i="8"/>
  <c r="R369" i="8"/>
  <c r="R370" i="8"/>
  <c r="R371" i="8"/>
  <c r="R372" i="8"/>
  <c r="R373" i="8"/>
  <c r="R374" i="8"/>
  <c r="R375" i="8"/>
  <c r="R376" i="8"/>
  <c r="R377" i="8"/>
  <c r="R378" i="8"/>
  <c r="R379" i="8"/>
  <c r="R380" i="8"/>
  <c r="R381" i="8"/>
  <c r="R382" i="8"/>
  <c r="R383" i="8"/>
  <c r="R384" i="8"/>
  <c r="R385" i="8"/>
  <c r="R386" i="8"/>
  <c r="R387" i="8"/>
  <c r="R388" i="8"/>
  <c r="R389" i="8"/>
  <c r="R390" i="8"/>
  <c r="R391" i="8"/>
  <c r="R392" i="8"/>
  <c r="R393" i="8"/>
  <c r="R394" i="8"/>
  <c r="R395" i="8"/>
  <c r="R396" i="8"/>
  <c r="R397" i="8"/>
  <c r="R398" i="8"/>
  <c r="R399" i="8"/>
  <c r="R400" i="8"/>
  <c r="R401" i="8"/>
  <c r="R402" i="8"/>
  <c r="R403" i="8"/>
  <c r="R404" i="8"/>
  <c r="R405" i="8"/>
  <c r="R406" i="8"/>
  <c r="R407" i="8"/>
  <c r="R408" i="8"/>
  <c r="R409" i="8"/>
  <c r="R410" i="8"/>
  <c r="R411" i="8"/>
  <c r="R412" i="8"/>
  <c r="R413" i="8"/>
  <c r="R414" i="8"/>
  <c r="R415" i="8"/>
  <c r="R416" i="8"/>
  <c r="R417" i="8"/>
  <c r="R418" i="8"/>
  <c r="R419" i="8"/>
  <c r="R420" i="8"/>
  <c r="R421" i="8"/>
  <c r="R422" i="8"/>
  <c r="R423" i="8"/>
  <c r="R424" i="8"/>
  <c r="R425" i="8"/>
  <c r="R426" i="8"/>
  <c r="R427" i="8"/>
  <c r="R428" i="8"/>
  <c r="R429" i="8"/>
  <c r="R430" i="8"/>
  <c r="R431" i="8"/>
  <c r="R432" i="8"/>
  <c r="R433" i="8"/>
  <c r="R434" i="8"/>
  <c r="R435" i="8"/>
  <c r="R436" i="8"/>
  <c r="R437" i="8"/>
  <c r="R438" i="8"/>
  <c r="R439" i="8"/>
  <c r="R440" i="8"/>
  <c r="R441" i="8"/>
  <c r="R442" i="8"/>
  <c r="R443" i="8"/>
  <c r="R444" i="8"/>
  <c r="R445" i="8"/>
  <c r="R446" i="8"/>
  <c r="R447" i="8"/>
  <c r="R448" i="8"/>
  <c r="R449" i="8"/>
  <c r="R450" i="8"/>
  <c r="R451" i="8"/>
  <c r="R452" i="8"/>
  <c r="R453" i="8"/>
  <c r="R454" i="8"/>
  <c r="R455" i="8"/>
  <c r="R456" i="8"/>
  <c r="R457" i="8"/>
  <c r="R5" i="8"/>
  <c r="Q6" i="8"/>
  <c r="Q7" i="8"/>
  <c r="Q8" i="8"/>
  <c r="Q9" i="8"/>
  <c r="Q10" i="8"/>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Q71" i="8"/>
  <c r="Q72" i="8"/>
  <c r="Q73" i="8"/>
  <c r="Q74" i="8"/>
  <c r="Q75" i="8"/>
  <c r="Q76" i="8"/>
  <c r="Q77" i="8"/>
  <c r="Q78" i="8"/>
  <c r="Q79" i="8"/>
  <c r="Q80" i="8"/>
  <c r="Q81" i="8"/>
  <c r="Q82" i="8"/>
  <c r="Q83" i="8"/>
  <c r="Q84" i="8"/>
  <c r="Q85" i="8"/>
  <c r="Q86" i="8"/>
  <c r="Q87" i="8"/>
  <c r="Q88" i="8"/>
  <c r="Q89" i="8"/>
  <c r="Q90" i="8"/>
  <c r="Q91" i="8"/>
  <c r="Q92" i="8"/>
  <c r="Q93" i="8"/>
  <c r="Q94" i="8"/>
  <c r="Q95" i="8"/>
  <c r="Q96" i="8"/>
  <c r="Q97" i="8"/>
  <c r="Q98" i="8"/>
  <c r="Q99" i="8"/>
  <c r="Q100" i="8"/>
  <c r="Q101" i="8"/>
  <c r="Q102" i="8"/>
  <c r="Q103" i="8"/>
  <c r="Q104" i="8"/>
  <c r="Q105" i="8"/>
  <c r="Q106" i="8"/>
  <c r="Q107" i="8"/>
  <c r="Q108" i="8"/>
  <c r="Q109" i="8"/>
  <c r="Q110" i="8"/>
  <c r="Q111" i="8"/>
  <c r="Q112" i="8"/>
  <c r="Q113" i="8"/>
  <c r="Q114" i="8"/>
  <c r="Q115" i="8"/>
  <c r="Q116" i="8"/>
  <c r="Q117" i="8"/>
  <c r="Q118" i="8"/>
  <c r="Q119" i="8"/>
  <c r="Q120" i="8"/>
  <c r="Q121" i="8"/>
  <c r="Q122" i="8"/>
  <c r="Q123" i="8"/>
  <c r="Q124" i="8"/>
  <c r="Q125" i="8"/>
  <c r="Q126" i="8"/>
  <c r="Q127" i="8"/>
  <c r="Q128" i="8"/>
  <c r="Q129" i="8"/>
  <c r="Q130" i="8"/>
  <c r="Q131" i="8"/>
  <c r="Q132" i="8"/>
  <c r="Q133" i="8"/>
  <c r="Q134" i="8"/>
  <c r="Q135" i="8"/>
  <c r="Q136" i="8"/>
  <c r="Q137" i="8"/>
  <c r="Q138" i="8"/>
  <c r="Q139" i="8"/>
  <c r="Q140" i="8"/>
  <c r="Q141" i="8"/>
  <c r="Q142" i="8"/>
  <c r="Q143" i="8"/>
  <c r="Q144" i="8"/>
  <c r="Q145" i="8"/>
  <c r="Q146" i="8"/>
  <c r="Q147" i="8"/>
  <c r="Q148" i="8"/>
  <c r="Q149" i="8"/>
  <c r="Q150" i="8"/>
  <c r="Q151" i="8"/>
  <c r="Q152" i="8"/>
  <c r="Q153" i="8"/>
  <c r="Q154" i="8"/>
  <c r="Q155" i="8"/>
  <c r="Q156" i="8"/>
  <c r="Q157" i="8"/>
  <c r="Q158" i="8"/>
  <c r="Q159" i="8"/>
  <c r="Q160" i="8"/>
  <c r="Q161" i="8"/>
  <c r="Q162" i="8"/>
  <c r="Q163" i="8"/>
  <c r="Q164" i="8"/>
  <c r="Q165" i="8"/>
  <c r="Q166" i="8"/>
  <c r="Q167" i="8"/>
  <c r="Q168" i="8"/>
  <c r="Q169" i="8"/>
  <c r="Q170" i="8"/>
  <c r="Q171" i="8"/>
  <c r="Q172" i="8"/>
  <c r="Q173" i="8"/>
  <c r="Q174" i="8"/>
  <c r="Q175" i="8"/>
  <c r="Q176" i="8"/>
  <c r="Q177" i="8"/>
  <c r="Q178" i="8"/>
  <c r="Q179" i="8"/>
  <c r="Q180" i="8"/>
  <c r="Q181" i="8"/>
  <c r="Q182" i="8"/>
  <c r="Q183" i="8"/>
  <c r="Q184" i="8"/>
  <c r="Q185" i="8"/>
  <c r="Q186" i="8"/>
  <c r="Q187" i="8"/>
  <c r="Q188" i="8"/>
  <c r="Q189" i="8"/>
  <c r="Q190" i="8"/>
  <c r="Q191" i="8"/>
  <c r="Q192" i="8"/>
  <c r="Q193" i="8"/>
  <c r="Q194" i="8"/>
  <c r="Q195" i="8"/>
  <c r="Q196" i="8"/>
  <c r="Q197" i="8"/>
  <c r="Q198" i="8"/>
  <c r="Q199" i="8"/>
  <c r="Q200" i="8"/>
  <c r="Q201" i="8"/>
  <c r="Q202" i="8"/>
  <c r="Q203" i="8"/>
  <c r="Q204" i="8"/>
  <c r="Q205" i="8"/>
  <c r="Q206" i="8"/>
  <c r="Q207" i="8"/>
  <c r="Q208" i="8"/>
  <c r="Q209" i="8"/>
  <c r="Q210" i="8"/>
  <c r="Q211" i="8"/>
  <c r="Q212" i="8"/>
  <c r="Q213" i="8"/>
  <c r="Q214" i="8"/>
  <c r="Q215" i="8"/>
  <c r="Q216" i="8"/>
  <c r="Q217" i="8"/>
  <c r="Q218" i="8"/>
  <c r="Q219" i="8"/>
  <c r="Q220" i="8"/>
  <c r="Q221" i="8"/>
  <c r="Q222" i="8"/>
  <c r="Q223" i="8"/>
  <c r="Q224" i="8"/>
  <c r="Q225" i="8"/>
  <c r="Q226" i="8"/>
  <c r="Q227" i="8"/>
  <c r="Q228" i="8"/>
  <c r="Q229" i="8"/>
  <c r="Q230" i="8"/>
  <c r="Q231" i="8"/>
  <c r="Q232" i="8"/>
  <c r="Q233" i="8"/>
  <c r="Q234" i="8"/>
  <c r="Q235" i="8"/>
  <c r="Q236" i="8"/>
  <c r="Q237" i="8"/>
  <c r="Q238" i="8"/>
  <c r="Q239" i="8"/>
  <c r="Q240" i="8"/>
  <c r="Q241" i="8"/>
  <c r="Q242" i="8"/>
  <c r="Q243" i="8"/>
  <c r="Q244" i="8"/>
  <c r="Q245" i="8"/>
  <c r="Q246" i="8"/>
  <c r="Q247" i="8"/>
  <c r="Q248" i="8"/>
  <c r="Q249" i="8"/>
  <c r="Q250" i="8"/>
  <c r="Q251" i="8"/>
  <c r="Q252" i="8"/>
  <c r="Q253" i="8"/>
  <c r="Q254" i="8"/>
  <c r="Q255" i="8"/>
  <c r="Q256" i="8"/>
  <c r="Q257" i="8"/>
  <c r="Q258" i="8"/>
  <c r="Q259" i="8"/>
  <c r="Q260" i="8"/>
  <c r="Q261" i="8"/>
  <c r="Q262" i="8"/>
  <c r="Q263" i="8"/>
  <c r="Q264" i="8"/>
  <c r="Q265" i="8"/>
  <c r="Q266" i="8"/>
  <c r="Q267" i="8"/>
  <c r="Q268" i="8"/>
  <c r="Q269" i="8"/>
  <c r="Q270" i="8"/>
  <c r="Q271" i="8"/>
  <c r="Q272" i="8"/>
  <c r="Q273" i="8"/>
  <c r="Q274" i="8"/>
  <c r="Q275" i="8"/>
  <c r="Q276" i="8"/>
  <c r="Q277" i="8"/>
  <c r="Q278" i="8"/>
  <c r="Q279" i="8"/>
  <c r="Q280" i="8"/>
  <c r="Q281" i="8"/>
  <c r="Q282" i="8"/>
  <c r="Q283" i="8"/>
  <c r="Q284" i="8"/>
  <c r="Q285" i="8"/>
  <c r="Q286" i="8"/>
  <c r="Q287" i="8"/>
  <c r="Q288" i="8"/>
  <c r="Q289" i="8"/>
  <c r="Q290" i="8"/>
  <c r="Q291" i="8"/>
  <c r="Q292" i="8"/>
  <c r="Q293" i="8"/>
  <c r="Q294" i="8"/>
  <c r="Q295" i="8"/>
  <c r="Q296" i="8"/>
  <c r="Q297" i="8"/>
  <c r="Q298" i="8"/>
  <c r="Q299" i="8"/>
  <c r="Q300" i="8"/>
  <c r="Q301" i="8"/>
  <c r="Q302" i="8"/>
  <c r="Q303" i="8"/>
  <c r="Q304" i="8"/>
  <c r="Q305" i="8"/>
  <c r="Q306" i="8"/>
  <c r="Q307" i="8"/>
  <c r="Q308" i="8"/>
  <c r="Q309" i="8"/>
  <c r="Q310" i="8"/>
  <c r="Q311" i="8"/>
  <c r="Q312" i="8"/>
  <c r="Q313" i="8"/>
  <c r="Q314" i="8"/>
  <c r="Q315" i="8"/>
  <c r="Q316" i="8"/>
  <c r="Q317" i="8"/>
  <c r="Q318" i="8"/>
  <c r="Q319" i="8"/>
  <c r="Q320" i="8"/>
  <c r="Q321" i="8"/>
  <c r="Q322" i="8"/>
  <c r="Q323" i="8"/>
  <c r="Q324" i="8"/>
  <c r="Q325" i="8"/>
  <c r="Q326" i="8"/>
  <c r="Q327" i="8"/>
  <c r="Q328" i="8"/>
  <c r="Q329" i="8"/>
  <c r="Q330" i="8"/>
  <c r="Q331" i="8"/>
  <c r="Q332" i="8"/>
  <c r="Q333" i="8"/>
  <c r="Q334" i="8"/>
  <c r="Q335" i="8"/>
  <c r="Q336" i="8"/>
  <c r="Q337" i="8"/>
  <c r="Q338" i="8"/>
  <c r="Q339" i="8"/>
  <c r="Q340" i="8"/>
  <c r="Q341" i="8"/>
  <c r="Q342" i="8"/>
  <c r="Q343" i="8"/>
  <c r="Q344" i="8"/>
  <c r="Q345" i="8"/>
  <c r="Q346" i="8"/>
  <c r="Q347" i="8"/>
  <c r="Q348" i="8"/>
  <c r="Q349" i="8"/>
  <c r="Q350" i="8"/>
  <c r="Q351" i="8"/>
  <c r="Q352" i="8"/>
  <c r="Q353" i="8"/>
  <c r="Q354" i="8"/>
  <c r="Q355" i="8"/>
  <c r="Q356" i="8"/>
  <c r="Q357" i="8"/>
  <c r="Q358" i="8"/>
  <c r="Q359" i="8"/>
  <c r="Q360" i="8"/>
  <c r="Q361" i="8"/>
  <c r="Q362" i="8"/>
  <c r="Q363" i="8"/>
  <c r="Q364" i="8"/>
  <c r="Q365" i="8"/>
  <c r="Q366" i="8"/>
  <c r="Q367" i="8"/>
  <c r="Q368" i="8"/>
  <c r="Q369" i="8"/>
  <c r="Q370" i="8"/>
  <c r="Q371" i="8"/>
  <c r="Q372" i="8"/>
  <c r="Q373" i="8"/>
  <c r="Q374" i="8"/>
  <c r="Q375" i="8"/>
  <c r="Q376" i="8"/>
  <c r="Q377" i="8"/>
  <c r="Q378" i="8"/>
  <c r="Q379" i="8"/>
  <c r="Q380" i="8"/>
  <c r="Q381" i="8"/>
  <c r="Q382" i="8"/>
  <c r="Q383" i="8"/>
  <c r="Q384" i="8"/>
  <c r="Q385" i="8"/>
  <c r="Q386" i="8"/>
  <c r="Q387" i="8"/>
  <c r="Q388" i="8"/>
  <c r="Q389" i="8"/>
  <c r="Q390" i="8"/>
  <c r="Q391" i="8"/>
  <c r="Q392" i="8"/>
  <c r="Q393" i="8"/>
  <c r="Q394" i="8"/>
  <c r="Q395" i="8"/>
  <c r="Q396" i="8"/>
  <c r="Q397" i="8"/>
  <c r="Q398" i="8"/>
  <c r="Q399" i="8"/>
  <c r="Q400" i="8"/>
  <c r="Q401" i="8"/>
  <c r="Q402" i="8"/>
  <c r="Q403" i="8"/>
  <c r="Q404" i="8"/>
  <c r="Q405" i="8"/>
  <c r="Q406" i="8"/>
  <c r="Q407" i="8"/>
  <c r="Q408" i="8"/>
  <c r="Q409" i="8"/>
  <c r="Q410" i="8"/>
  <c r="Q411" i="8"/>
  <c r="Q412" i="8"/>
  <c r="Q413" i="8"/>
  <c r="Q414" i="8"/>
  <c r="Q415" i="8"/>
  <c r="Q416" i="8"/>
  <c r="Q417" i="8"/>
  <c r="Q418" i="8"/>
  <c r="Q419" i="8"/>
  <c r="Q420" i="8"/>
  <c r="Q421" i="8"/>
  <c r="Q422" i="8"/>
  <c r="Q423" i="8"/>
  <c r="Q424" i="8"/>
  <c r="Q425" i="8"/>
  <c r="Q426" i="8"/>
  <c r="Q427" i="8"/>
  <c r="Q428" i="8"/>
  <c r="Q429" i="8"/>
  <c r="Q430" i="8"/>
  <c r="Q431" i="8"/>
  <c r="Q432" i="8"/>
  <c r="Q433" i="8"/>
  <c r="Q434" i="8"/>
  <c r="Q435" i="8"/>
  <c r="Q436" i="8"/>
  <c r="Q437" i="8"/>
  <c r="Q438" i="8"/>
  <c r="Q439" i="8"/>
  <c r="Q440" i="8"/>
  <c r="Q441" i="8"/>
  <c r="Q442" i="8"/>
  <c r="Q443" i="8"/>
  <c r="Q444" i="8"/>
  <c r="Q445" i="8"/>
  <c r="Q446" i="8"/>
  <c r="Q447" i="8"/>
  <c r="Q448" i="8"/>
  <c r="Q449" i="8"/>
  <c r="Q450" i="8"/>
  <c r="Q451" i="8"/>
  <c r="Q452" i="8"/>
  <c r="Q453" i="8"/>
  <c r="Q454" i="8"/>
  <c r="Q455" i="8"/>
  <c r="Q456" i="8"/>
  <c r="Q457" i="8"/>
  <c r="Q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239" i="8"/>
  <c r="F240" i="8"/>
  <c r="F241" i="8"/>
  <c r="F242" i="8"/>
  <c r="F243" i="8"/>
  <c r="F244" i="8"/>
  <c r="F245" i="8"/>
  <c r="F246" i="8"/>
  <c r="F247" i="8"/>
  <c r="F248" i="8"/>
  <c r="F249" i="8"/>
  <c r="F250" i="8"/>
  <c r="F251" i="8"/>
  <c r="F252" i="8"/>
  <c r="F253" i="8"/>
  <c r="F254" i="8"/>
  <c r="F255" i="8"/>
  <c r="F256" i="8"/>
  <c r="F257" i="8"/>
  <c r="F258" i="8"/>
  <c r="F259" i="8"/>
  <c r="F260" i="8"/>
  <c r="F261" i="8"/>
  <c r="F262" i="8"/>
  <c r="F263" i="8"/>
  <c r="F264" i="8"/>
  <c r="F265" i="8"/>
  <c r="F266" i="8"/>
  <c r="F267" i="8"/>
  <c r="F268" i="8"/>
  <c r="F269" i="8"/>
  <c r="F270" i="8"/>
  <c r="F271" i="8"/>
  <c r="F272" i="8"/>
  <c r="F273" i="8"/>
  <c r="F274" i="8"/>
  <c r="F275" i="8"/>
  <c r="F276" i="8"/>
  <c r="F277" i="8"/>
  <c r="F278" i="8"/>
  <c r="F279" i="8"/>
  <c r="F280" i="8"/>
  <c r="F281" i="8"/>
  <c r="F282" i="8"/>
  <c r="F283" i="8"/>
  <c r="F284" i="8"/>
  <c r="F285" i="8"/>
  <c r="F286" i="8"/>
  <c r="F287" i="8"/>
  <c r="F288" i="8"/>
  <c r="F289" i="8"/>
  <c r="F290" i="8"/>
  <c r="F291" i="8"/>
  <c r="F292" i="8"/>
  <c r="F293" i="8"/>
  <c r="F294" i="8"/>
  <c r="F295" i="8"/>
  <c r="F296" i="8"/>
  <c r="F297" i="8"/>
  <c r="F298" i="8"/>
  <c r="F299" i="8"/>
  <c r="F300" i="8"/>
  <c r="F301" i="8"/>
  <c r="F302" i="8"/>
  <c r="F303" i="8"/>
  <c r="F304" i="8"/>
  <c r="F305" i="8"/>
  <c r="F306" i="8"/>
  <c r="F307" i="8"/>
  <c r="F308" i="8"/>
  <c r="F309" i="8"/>
  <c r="F310" i="8"/>
  <c r="F311" i="8"/>
  <c r="F312" i="8"/>
  <c r="F313" i="8"/>
  <c r="F314" i="8"/>
  <c r="F315" i="8"/>
  <c r="F316" i="8"/>
  <c r="F317" i="8"/>
  <c r="F318" i="8"/>
  <c r="F319" i="8"/>
  <c r="F320" i="8"/>
  <c r="F321" i="8"/>
  <c r="F322" i="8"/>
  <c r="F323" i="8"/>
  <c r="F324" i="8"/>
  <c r="F325" i="8"/>
  <c r="F326" i="8"/>
  <c r="F327" i="8"/>
  <c r="F328" i="8"/>
  <c r="F329" i="8"/>
  <c r="F330" i="8"/>
  <c r="F331" i="8"/>
  <c r="F332" i="8"/>
  <c r="F333" i="8"/>
  <c r="F334" i="8"/>
  <c r="F335" i="8"/>
  <c r="F336" i="8"/>
  <c r="F337" i="8"/>
  <c r="F338" i="8"/>
  <c r="F339" i="8"/>
  <c r="F340" i="8"/>
  <c r="F341" i="8"/>
  <c r="F342" i="8"/>
  <c r="F343" i="8"/>
  <c r="F344" i="8"/>
  <c r="F345" i="8"/>
  <c r="F346" i="8"/>
  <c r="F347" i="8"/>
  <c r="F348" i="8"/>
  <c r="F349" i="8"/>
  <c r="F350" i="8"/>
  <c r="F351" i="8"/>
  <c r="F352" i="8"/>
  <c r="F353" i="8"/>
  <c r="F354" i="8"/>
  <c r="F355" i="8"/>
  <c r="F356" i="8"/>
  <c r="F357" i="8"/>
  <c r="F358" i="8"/>
  <c r="F359" i="8"/>
  <c r="F360" i="8"/>
  <c r="F361" i="8"/>
  <c r="F362" i="8"/>
  <c r="F363" i="8"/>
  <c r="F364" i="8"/>
  <c r="F365" i="8"/>
  <c r="F366" i="8"/>
  <c r="F367" i="8"/>
  <c r="F368" i="8"/>
  <c r="F369" i="8"/>
  <c r="F370" i="8"/>
  <c r="F371" i="8"/>
  <c r="F372" i="8"/>
  <c r="F373" i="8"/>
  <c r="F374" i="8"/>
  <c r="F375" i="8"/>
  <c r="F376" i="8"/>
  <c r="F377" i="8"/>
  <c r="F378" i="8"/>
  <c r="F379" i="8"/>
  <c r="F380" i="8"/>
  <c r="F381" i="8"/>
  <c r="F382" i="8"/>
  <c r="F383" i="8"/>
  <c r="F384" i="8"/>
  <c r="F385" i="8"/>
  <c r="F386" i="8"/>
  <c r="F387" i="8"/>
  <c r="F388" i="8"/>
  <c r="F389" i="8"/>
  <c r="F390" i="8"/>
  <c r="F391" i="8"/>
  <c r="F392" i="8"/>
  <c r="F393" i="8"/>
  <c r="F394" i="8"/>
  <c r="F395" i="8"/>
  <c r="F396" i="8"/>
  <c r="F397" i="8"/>
  <c r="F398" i="8"/>
  <c r="F399" i="8"/>
  <c r="F400" i="8"/>
  <c r="F401" i="8"/>
  <c r="F402" i="8"/>
  <c r="F403" i="8"/>
  <c r="F404" i="8"/>
  <c r="F405" i="8"/>
  <c r="F406" i="8"/>
  <c r="F407" i="8"/>
  <c r="F408" i="8"/>
  <c r="F409" i="8"/>
  <c r="F410" i="8"/>
  <c r="F411" i="8"/>
  <c r="F412" i="8"/>
  <c r="F413" i="8"/>
  <c r="F414" i="8"/>
  <c r="F415" i="8"/>
  <c r="F416" i="8"/>
  <c r="F417" i="8"/>
  <c r="F418" i="8"/>
  <c r="F419" i="8"/>
  <c r="F420" i="8"/>
  <c r="F421" i="8"/>
  <c r="F422" i="8"/>
  <c r="F423" i="8"/>
  <c r="F424" i="8"/>
  <c r="F425" i="8"/>
  <c r="F426" i="8"/>
  <c r="F427" i="8"/>
  <c r="F428" i="8"/>
  <c r="F429" i="8"/>
  <c r="F430" i="8"/>
  <c r="F431" i="8"/>
  <c r="F432" i="8"/>
  <c r="F433" i="8"/>
  <c r="F434" i="8"/>
  <c r="F435" i="8"/>
  <c r="F436" i="8"/>
  <c r="F437" i="8"/>
  <c r="F438" i="8"/>
  <c r="F439" i="8"/>
  <c r="F440" i="8"/>
  <c r="F441" i="8"/>
  <c r="F442" i="8"/>
  <c r="F443" i="8"/>
  <c r="F444" i="8"/>
  <c r="F445" i="8"/>
  <c r="F446" i="8"/>
  <c r="F447" i="8"/>
  <c r="F448" i="8"/>
  <c r="F449" i="8"/>
  <c r="F450" i="8"/>
  <c r="F451" i="8"/>
  <c r="F452" i="8"/>
  <c r="F453" i="8"/>
  <c r="F454" i="8"/>
  <c r="F455" i="8"/>
  <c r="F456" i="8"/>
  <c r="F457" i="8"/>
  <c r="F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5" i="8"/>
  <c r="B20" i="8" l="1"/>
  <c r="B386" i="8"/>
  <c r="B246" i="8"/>
  <c r="B106" i="8"/>
  <c r="B26" i="8"/>
  <c r="B24" i="8"/>
  <c r="B426" i="8"/>
  <c r="B346" i="8"/>
  <c r="B266" i="8"/>
  <c r="B146" i="8"/>
  <c r="B25" i="8"/>
  <c r="B443" i="8"/>
  <c r="B423" i="8"/>
  <c r="B383" i="8"/>
  <c r="B343" i="8"/>
  <c r="B283" i="8"/>
  <c r="B223" i="8"/>
  <c r="B163" i="8"/>
  <c r="B123" i="8"/>
  <c r="B83" i="8"/>
  <c r="B23" i="8"/>
  <c r="B326" i="8"/>
  <c r="B206" i="8"/>
  <c r="B86" i="8"/>
  <c r="B363" i="8"/>
  <c r="B303" i="8"/>
  <c r="B263" i="8"/>
  <c r="B243" i="8"/>
  <c r="B203" i="8"/>
  <c r="B143" i="8"/>
  <c r="B103" i="8"/>
  <c r="B63" i="8"/>
  <c r="B43" i="8"/>
  <c r="B62" i="8"/>
  <c r="B42" i="8"/>
  <c r="B22" i="8"/>
  <c r="B406" i="8"/>
  <c r="B286" i="8"/>
  <c r="B166" i="8"/>
  <c r="B66" i="8"/>
  <c r="B403" i="8"/>
  <c r="B183" i="8"/>
  <c r="B21" i="8"/>
  <c r="B446" i="8"/>
  <c r="B366" i="8"/>
  <c r="B306" i="8"/>
  <c r="B226" i="8"/>
  <c r="B186" i="8"/>
  <c r="B126" i="8"/>
  <c r="B46" i="8"/>
  <c r="B6" i="8"/>
  <c r="B323" i="8"/>
  <c r="B445" i="8"/>
  <c r="B425" i="8"/>
  <c r="B405" i="8"/>
  <c r="B385" i="8"/>
  <c r="B365" i="8"/>
  <c r="B345" i="8"/>
  <c r="B325" i="8"/>
  <c r="B305" i="8"/>
  <c r="B285" i="8"/>
  <c r="B265" i="8"/>
  <c r="B245" i="8"/>
  <c r="B225" i="8"/>
  <c r="B205" i="8"/>
  <c r="B185" i="8"/>
  <c r="B165" i="8"/>
  <c r="B145" i="8"/>
  <c r="B125" i="8"/>
  <c r="B105" i="8"/>
  <c r="B85" i="8"/>
  <c r="B65" i="8"/>
  <c r="B45" i="8"/>
  <c r="B444" i="8"/>
  <c r="B424" i="8"/>
  <c r="B404" i="8"/>
  <c r="B384" i="8"/>
  <c r="B364" i="8"/>
  <c r="B344" i="8"/>
  <c r="B324" i="8"/>
  <c r="B304" i="8"/>
  <c r="B284" i="8"/>
  <c r="B264" i="8"/>
  <c r="B244" i="8"/>
  <c r="B224" i="8"/>
  <c r="B204" i="8"/>
  <c r="B184" i="8"/>
  <c r="B164" i="8"/>
  <c r="B144" i="8"/>
  <c r="B124" i="8"/>
  <c r="B104" i="8"/>
  <c r="B84" i="8"/>
  <c r="B64" i="8"/>
  <c r="B44" i="8"/>
  <c r="B421" i="8"/>
  <c r="B158" i="8"/>
  <c r="B397" i="8"/>
  <c r="B297" i="8"/>
  <c r="B177" i="8"/>
  <c r="B157" i="8"/>
  <c r="B137" i="8"/>
  <c r="B117" i="8"/>
  <c r="B97" i="8"/>
  <c r="B77" i="8"/>
  <c r="B57" i="8"/>
  <c r="B37" i="8"/>
  <c r="B17" i="8"/>
  <c r="B381" i="8"/>
  <c r="B119" i="8"/>
  <c r="B98" i="8"/>
  <c r="B337" i="8"/>
  <c r="B416" i="8"/>
  <c r="B136" i="8"/>
  <c r="B435" i="8"/>
  <c r="B355" i="8"/>
  <c r="B335" i="8"/>
  <c r="B315" i="8"/>
  <c r="B295" i="8"/>
  <c r="B275" i="8"/>
  <c r="B235" i="8"/>
  <c r="B195" i="8"/>
  <c r="B175" i="8"/>
  <c r="B155" i="8"/>
  <c r="B135" i="8"/>
  <c r="B115" i="8"/>
  <c r="B95" i="8"/>
  <c r="B75" i="8"/>
  <c r="B55" i="8"/>
  <c r="B35" i="8"/>
  <c r="B15" i="8"/>
  <c r="B441" i="8"/>
  <c r="B178" i="8"/>
  <c r="B377" i="8"/>
  <c r="B276" i="8"/>
  <c r="B415" i="8"/>
  <c r="B255" i="8"/>
  <c r="B434" i="8"/>
  <c r="B354" i="8"/>
  <c r="B274" i="8"/>
  <c r="B174" i="8"/>
  <c r="B34" i="8"/>
  <c r="B401" i="8"/>
  <c r="B261" i="8"/>
  <c r="B161" i="8"/>
  <c r="B81" i="8"/>
  <c r="B380" i="8"/>
  <c r="B240" i="8"/>
  <c r="B120" i="8"/>
  <c r="B439" i="8"/>
  <c r="B339" i="8"/>
  <c r="B239" i="8"/>
  <c r="B139" i="8"/>
  <c r="B39" i="8"/>
  <c r="B438" i="8"/>
  <c r="B318" i="8"/>
  <c r="B198" i="8"/>
  <c r="B78" i="8"/>
  <c r="B237" i="8"/>
  <c r="B436" i="8"/>
  <c r="B336" i="8"/>
  <c r="B176" i="8"/>
  <c r="B36" i="8"/>
  <c r="B455" i="8"/>
  <c r="B395" i="8"/>
  <c r="B375" i="8"/>
  <c r="B215" i="8"/>
  <c r="B454" i="8"/>
  <c r="B414" i="8"/>
  <c r="B394" i="8"/>
  <c r="B374" i="8"/>
  <c r="B334" i="8"/>
  <c r="B314" i="8"/>
  <c r="B294" i="8"/>
  <c r="B254" i="8"/>
  <c r="B234" i="8"/>
  <c r="B214" i="8"/>
  <c r="B194" i="8"/>
  <c r="B154" i="8"/>
  <c r="B134" i="8"/>
  <c r="B114" i="8"/>
  <c r="B94" i="8"/>
  <c r="B74" i="8"/>
  <c r="B54" i="8"/>
  <c r="B14" i="8"/>
  <c r="B453" i="8"/>
  <c r="B433" i="8"/>
  <c r="B413" i="8"/>
  <c r="B393" i="8"/>
  <c r="B373" i="8"/>
  <c r="B353" i="8"/>
  <c r="B333" i="8"/>
  <c r="B313" i="8"/>
  <c r="B293" i="8"/>
  <c r="B273" i="8"/>
  <c r="B253" i="8"/>
  <c r="B233" i="8"/>
  <c r="B213" i="8"/>
  <c r="B193" i="8"/>
  <c r="B173" i="8"/>
  <c r="B153" i="8"/>
  <c r="B133" i="8"/>
  <c r="B113" i="8"/>
  <c r="B93" i="8"/>
  <c r="B73" i="8"/>
  <c r="B53" i="8"/>
  <c r="B33" i="8"/>
  <c r="B13" i="8"/>
  <c r="B422" i="8"/>
  <c r="B342" i="8"/>
  <c r="B262" i="8"/>
  <c r="B202" i="8"/>
  <c r="B122" i="8"/>
  <c r="B321" i="8"/>
  <c r="B221" i="8"/>
  <c r="B121" i="8"/>
  <c r="B400" i="8"/>
  <c r="B300" i="8"/>
  <c r="B180" i="8"/>
  <c r="B60" i="8"/>
  <c r="B379" i="8"/>
  <c r="B219" i="8"/>
  <c r="B358" i="8"/>
  <c r="B218" i="8"/>
  <c r="B38" i="8"/>
  <c r="B437" i="8"/>
  <c r="B257" i="8"/>
  <c r="B296" i="8"/>
  <c r="B56" i="8"/>
  <c r="B372" i="8"/>
  <c r="B92" i="8"/>
  <c r="B281" i="8"/>
  <c r="B179" i="8"/>
  <c r="B278" i="8"/>
  <c r="B357" i="8"/>
  <c r="B216" i="8"/>
  <c r="B292" i="8"/>
  <c r="B411" i="8"/>
  <c r="B71" i="8"/>
  <c r="B362" i="8"/>
  <c r="B242" i="8"/>
  <c r="B341" i="8"/>
  <c r="B181" i="8"/>
  <c r="B61" i="8"/>
  <c r="B279" i="8"/>
  <c r="B59" i="8"/>
  <c r="B398" i="8"/>
  <c r="B238" i="8"/>
  <c r="B18" i="8"/>
  <c r="B457" i="8"/>
  <c r="B317" i="8"/>
  <c r="B236" i="8"/>
  <c r="B392" i="8"/>
  <c r="B312" i="8"/>
  <c r="B212" i="8"/>
  <c r="B172" i="8"/>
  <c r="B72" i="8"/>
  <c r="B32" i="8"/>
  <c r="B451" i="8"/>
  <c r="B331" i="8"/>
  <c r="B231" i="8"/>
  <c r="B151" i="8"/>
  <c r="B51" i="8"/>
  <c r="B450" i="8"/>
  <c r="B430" i="8"/>
  <c r="B410" i="8"/>
  <c r="B390" i="8"/>
  <c r="B370" i="8"/>
  <c r="B350" i="8"/>
  <c r="B330" i="8"/>
  <c r="B310" i="8"/>
  <c r="B290" i="8"/>
  <c r="B270" i="8"/>
  <c r="B250" i="8"/>
  <c r="B230" i="8"/>
  <c r="B210" i="8"/>
  <c r="B190" i="8"/>
  <c r="B170" i="8"/>
  <c r="B150" i="8"/>
  <c r="B130" i="8"/>
  <c r="B110" i="8"/>
  <c r="B90" i="8"/>
  <c r="B70" i="8"/>
  <c r="B50" i="8"/>
  <c r="B30" i="8"/>
  <c r="B10" i="8"/>
  <c r="B402" i="8"/>
  <c r="B282" i="8"/>
  <c r="B182" i="8"/>
  <c r="B142" i="8"/>
  <c r="B82" i="8"/>
  <c r="B360" i="8"/>
  <c r="B260" i="8"/>
  <c r="B160" i="8"/>
  <c r="B80" i="8"/>
  <c r="B359" i="8"/>
  <c r="B259" i="8"/>
  <c r="B79" i="8"/>
  <c r="B5" i="8"/>
  <c r="A5" i="8" s="1"/>
  <c r="B338" i="8"/>
  <c r="B138" i="8"/>
  <c r="B417" i="8"/>
  <c r="B277" i="8"/>
  <c r="B456" i="8"/>
  <c r="B376" i="8"/>
  <c r="B256" i="8"/>
  <c r="B116" i="8"/>
  <c r="B16" i="8"/>
  <c r="B432" i="8"/>
  <c r="B332" i="8"/>
  <c r="B232" i="8"/>
  <c r="B112" i="8"/>
  <c r="B391" i="8"/>
  <c r="B311" i="8"/>
  <c r="B211" i="8"/>
  <c r="B131" i="8"/>
  <c r="B11" i="8"/>
  <c r="B449" i="8"/>
  <c r="B429" i="8"/>
  <c r="B409" i="8"/>
  <c r="B389" i="8"/>
  <c r="B369" i="8"/>
  <c r="B349" i="8"/>
  <c r="B329" i="8"/>
  <c r="B309" i="8"/>
  <c r="B289" i="8"/>
  <c r="B269" i="8"/>
  <c r="B249" i="8"/>
  <c r="B229" i="8"/>
  <c r="B209" i="8"/>
  <c r="B189" i="8"/>
  <c r="B169" i="8"/>
  <c r="B149" i="8"/>
  <c r="B129" i="8"/>
  <c r="B109" i="8"/>
  <c r="B89" i="8"/>
  <c r="B69" i="8"/>
  <c r="B49" i="8"/>
  <c r="B29" i="8"/>
  <c r="B9" i="8"/>
  <c r="B322" i="8"/>
  <c r="B361" i="8"/>
  <c r="B241" i="8"/>
  <c r="B141" i="8"/>
  <c r="B41" i="8"/>
  <c r="B420" i="8"/>
  <c r="B320" i="8"/>
  <c r="B280" i="8"/>
  <c r="B200" i="8"/>
  <c r="B100" i="8"/>
  <c r="B419" i="8"/>
  <c r="B319" i="8"/>
  <c r="B199" i="8"/>
  <c r="B99" i="8"/>
  <c r="B378" i="8"/>
  <c r="B258" i="8"/>
  <c r="B58" i="8"/>
  <c r="B197" i="8"/>
  <c r="B396" i="8"/>
  <c r="B316" i="8"/>
  <c r="B156" i="8"/>
  <c r="B76" i="8"/>
  <c r="B452" i="8"/>
  <c r="B352" i="8"/>
  <c r="B252" i="8"/>
  <c r="B192" i="8"/>
  <c r="B152" i="8"/>
  <c r="B52" i="8"/>
  <c r="B12" i="8"/>
  <c r="B371" i="8"/>
  <c r="B271" i="8"/>
  <c r="B191" i="8"/>
  <c r="B111" i="8"/>
  <c r="B31" i="8"/>
  <c r="B448" i="8"/>
  <c r="B428" i="8"/>
  <c r="B408" i="8"/>
  <c r="B388" i="8"/>
  <c r="B368" i="8"/>
  <c r="B348" i="8"/>
  <c r="B328" i="8"/>
  <c r="B308" i="8"/>
  <c r="B288" i="8"/>
  <c r="B268" i="8"/>
  <c r="B248" i="8"/>
  <c r="B228" i="8"/>
  <c r="B208" i="8"/>
  <c r="B188" i="8"/>
  <c r="B168" i="8"/>
  <c r="B148" i="8"/>
  <c r="B128" i="8"/>
  <c r="B108" i="8"/>
  <c r="B88" i="8"/>
  <c r="B68" i="8"/>
  <c r="B48" i="8"/>
  <c r="B28" i="8"/>
  <c r="B8" i="8"/>
  <c r="B442" i="8"/>
  <c r="B382" i="8"/>
  <c r="B302" i="8"/>
  <c r="B222" i="8"/>
  <c r="B162" i="8"/>
  <c r="B102" i="8"/>
  <c r="B301" i="8"/>
  <c r="B201" i="8"/>
  <c r="B101" i="8"/>
  <c r="B440" i="8"/>
  <c r="B340" i="8"/>
  <c r="B220" i="8"/>
  <c r="B140" i="8"/>
  <c r="B40" i="8"/>
  <c r="B399" i="8"/>
  <c r="B299" i="8"/>
  <c r="B159" i="8"/>
  <c r="B19" i="8"/>
  <c r="B418" i="8"/>
  <c r="B298" i="8"/>
  <c r="B118" i="8"/>
  <c r="B217" i="8"/>
  <c r="B356" i="8"/>
  <c r="B196" i="8"/>
  <c r="B96" i="8"/>
  <c r="B412" i="8"/>
  <c r="B272" i="8"/>
  <c r="B132" i="8"/>
  <c r="B431" i="8"/>
  <c r="B351" i="8"/>
  <c r="B291" i="8"/>
  <c r="B251" i="8"/>
  <c r="B171" i="8"/>
  <c r="B91" i="8"/>
  <c r="B447" i="8"/>
  <c r="B427" i="8"/>
  <c r="B407" i="8"/>
  <c r="B387" i="8"/>
  <c r="B367" i="8"/>
  <c r="B347" i="8"/>
  <c r="B327" i="8"/>
  <c r="B307" i="8"/>
  <c r="B287" i="8"/>
  <c r="B267" i="8"/>
  <c r="B247" i="8"/>
  <c r="B227" i="8"/>
  <c r="B207" i="8"/>
  <c r="B187" i="8"/>
  <c r="B167" i="8"/>
  <c r="B147" i="8"/>
  <c r="B127" i="8"/>
  <c r="B107" i="8"/>
  <c r="B87" i="8"/>
  <c r="B67" i="8"/>
  <c r="B47" i="8"/>
  <c r="B27" i="8"/>
  <c r="B7" i="8"/>
  <c r="J13" i="7"/>
  <c r="D64" i="7"/>
  <c r="F37" i="7"/>
  <c r="G37" i="7"/>
  <c r="I12" i="7"/>
  <c r="H25" i="7"/>
  <c r="F12" i="7"/>
  <c r="F49" i="7"/>
  <c r="E64" i="7"/>
  <c r="J52" i="7"/>
  <c r="H37" i="7"/>
  <c r="M13" i="7"/>
  <c r="F50" i="7"/>
  <c r="M58" i="7"/>
  <c r="I14" i="5"/>
  <c r="J50" i="7"/>
  <c r="F25" i="7"/>
  <c r="E12" i="7"/>
  <c r="D36" i="7"/>
  <c r="I24" i="7"/>
  <c r="I25" i="7"/>
  <c r="A6" i="9"/>
  <c r="C5" i="5"/>
  <c r="K5" i="5" s="1"/>
  <c r="F14" i="5"/>
  <c r="G19" i="7"/>
  <c r="D32" i="7"/>
  <c r="O43" i="7"/>
  <c r="N43" i="7" s="1"/>
  <c r="G14" i="5"/>
  <c r="D7" i="7"/>
  <c r="H19" i="7"/>
  <c r="E32" i="7"/>
  <c r="K57" i="7"/>
  <c r="H14" i="5"/>
  <c r="G7" i="7"/>
  <c r="I19" i="7"/>
  <c r="F32" i="7"/>
  <c r="D44" i="7"/>
  <c r="M57" i="7"/>
  <c r="F12" i="5"/>
  <c r="C12" i="5"/>
  <c r="K12" i="5" s="1"/>
  <c r="D25" i="5"/>
  <c r="G5" i="5"/>
  <c r="C25" i="5"/>
  <c r="K25" i="5" s="1"/>
  <c r="J11" i="5"/>
  <c r="J20" i="5"/>
  <c r="J24" i="5"/>
  <c r="F7" i="5"/>
  <c r="E7" i="5"/>
  <c r="I5" i="5"/>
  <c r="H5" i="5"/>
  <c r="F21" i="5"/>
  <c r="C7" i="5"/>
  <c r="K7" i="5" s="1"/>
  <c r="C21" i="5"/>
  <c r="F5" i="5"/>
  <c r="I20" i="5"/>
  <c r="E16" i="5"/>
  <c r="E21" i="5"/>
  <c r="J5" i="5"/>
  <c r="D21" i="5"/>
  <c r="E5" i="5"/>
  <c r="D5" i="5"/>
  <c r="I40" i="7"/>
  <c r="G32" i="7"/>
  <c r="G44" i="7"/>
  <c r="H32" i="7"/>
  <c r="J58" i="7"/>
  <c r="D16" i="5"/>
  <c r="M8" i="7"/>
  <c r="K45" i="7"/>
  <c r="O45" i="7"/>
  <c r="N45" i="7" s="1"/>
  <c r="F20" i="5"/>
  <c r="M27" i="7"/>
  <c r="O21" i="7"/>
  <c r="N21" i="7" s="1"/>
  <c r="E16" i="7"/>
  <c r="G28" i="7"/>
  <c r="K40" i="7"/>
  <c r="H54" i="7"/>
  <c r="D62" i="7"/>
  <c r="M32" i="7"/>
  <c r="D9" i="7"/>
  <c r="K16" i="7"/>
  <c r="M40" i="7"/>
  <c r="O48" i="7"/>
  <c r="N48" i="7" s="1"/>
  <c r="E62" i="7"/>
  <c r="I32" i="7"/>
  <c r="G8" i="7"/>
  <c r="F40" i="7"/>
  <c r="H15" i="7"/>
  <c r="O16" i="7"/>
  <c r="N16" i="7" s="1"/>
  <c r="E29" i="7"/>
  <c r="I35" i="7"/>
  <c r="F55" i="7"/>
  <c r="F62" i="7"/>
  <c r="F20" i="7"/>
  <c r="I27" i="7"/>
  <c r="J8" i="7"/>
  <c r="H40" i="7"/>
  <c r="J40" i="7"/>
  <c r="D24" i="7"/>
  <c r="F29" i="7"/>
  <c r="J35" i="7"/>
  <c r="O40" i="7"/>
  <c r="N40" i="7" s="1"/>
  <c r="D49" i="7"/>
  <c r="H55" i="7"/>
  <c r="I62" i="7"/>
  <c r="O58" i="7"/>
  <c r="N58" i="7" s="1"/>
  <c r="J20" i="7"/>
  <c r="E21" i="7"/>
  <c r="E18" i="9"/>
  <c r="E17" i="9"/>
  <c r="E16" i="9"/>
  <c r="C6" i="9"/>
  <c r="G54" i="7"/>
  <c r="K11" i="7"/>
  <c r="D17" i="7"/>
  <c r="E24" i="7"/>
  <c r="G29" i="7"/>
  <c r="K35" i="7"/>
  <c r="E49" i="7"/>
  <c r="M45" i="7"/>
  <c r="J32" i="7"/>
  <c r="D59" i="7"/>
  <c r="O11" i="7"/>
  <c r="N11" i="7" s="1"/>
  <c r="E17" i="7"/>
  <c r="F24" i="7"/>
  <c r="H29" i="7"/>
  <c r="M35" i="7"/>
  <c r="K32" i="7"/>
  <c r="K27" i="7"/>
  <c r="O8" i="7"/>
  <c r="N8" i="7" s="1"/>
  <c r="B15" i="9"/>
  <c r="G65" i="7"/>
  <c r="K63" i="7"/>
  <c r="G60" i="7"/>
  <c r="K58" i="7"/>
  <c r="G55" i="7"/>
  <c r="K53" i="7"/>
  <c r="G50" i="7"/>
  <c r="K48" i="7"/>
  <c r="G45" i="7"/>
  <c r="K43" i="7"/>
  <c r="G40" i="7"/>
  <c r="K38" i="7"/>
  <c r="G35" i="7"/>
  <c r="K33" i="7"/>
  <c r="G30" i="7"/>
  <c r="K28" i="7"/>
  <c r="G25" i="7"/>
  <c r="K23" i="7"/>
  <c r="G20" i="7"/>
  <c r="K18" i="7"/>
  <c r="G15" i="7"/>
  <c r="K13" i="7"/>
  <c r="G10" i="7"/>
  <c r="K8" i="7"/>
  <c r="G5" i="7"/>
  <c r="B13" i="9"/>
  <c r="E65" i="7"/>
  <c r="I63" i="7"/>
  <c r="E60" i="7"/>
  <c r="I58" i="7"/>
  <c r="E55" i="7"/>
  <c r="I53" i="7"/>
  <c r="E50" i="7"/>
  <c r="I48" i="7"/>
  <c r="E45" i="7"/>
  <c r="I43" i="7"/>
  <c r="E40" i="7"/>
  <c r="I38" i="7"/>
  <c r="E35" i="7"/>
  <c r="I33" i="7"/>
  <c r="E30" i="7"/>
  <c r="I28" i="7"/>
  <c r="E25" i="7"/>
  <c r="I23" i="7"/>
  <c r="E20" i="7"/>
  <c r="I18" i="7"/>
  <c r="E15" i="7"/>
  <c r="I13" i="7"/>
  <c r="E10" i="7"/>
  <c r="I8" i="7"/>
  <c r="E5" i="7"/>
  <c r="B12" i="9"/>
  <c r="M66" i="7"/>
  <c r="D65" i="7"/>
  <c r="H63" i="7"/>
  <c r="M61" i="7"/>
  <c r="D60" i="7"/>
  <c r="H58" i="7"/>
  <c r="M56" i="7"/>
  <c r="D55" i="7"/>
  <c r="H53" i="7"/>
  <c r="M51" i="7"/>
  <c r="D50" i="7"/>
  <c r="H48" i="7"/>
  <c r="M46" i="7"/>
  <c r="D45" i="7"/>
  <c r="H43" i="7"/>
  <c r="M41" i="7"/>
  <c r="D40" i="7"/>
  <c r="H38" i="7"/>
  <c r="M36" i="7"/>
  <c r="D35" i="7"/>
  <c r="H33" i="7"/>
  <c r="M31" i="7"/>
  <c r="D30" i="7"/>
  <c r="H28" i="7"/>
  <c r="M26" i="7"/>
  <c r="D25" i="7"/>
  <c r="H23" i="7"/>
  <c r="M21" i="7"/>
  <c r="D20" i="7"/>
  <c r="H18" i="7"/>
  <c r="M16" i="7"/>
  <c r="D15" i="7"/>
  <c r="H13" i="7"/>
  <c r="M11" i="7"/>
  <c r="D10" i="7"/>
  <c r="H8" i="7"/>
  <c r="M6" i="7"/>
  <c r="D5" i="7"/>
  <c r="B11" i="9"/>
  <c r="K66" i="7"/>
  <c r="G63" i="7"/>
  <c r="K61" i="7"/>
  <c r="G58" i="7"/>
  <c r="K56" i="7"/>
  <c r="G53" i="7"/>
  <c r="K51" i="7"/>
  <c r="G48" i="7"/>
  <c r="J66" i="7"/>
  <c r="O64" i="7"/>
  <c r="N64" i="7" s="1"/>
  <c r="F63" i="7"/>
  <c r="J61" i="7"/>
  <c r="O59" i="7"/>
  <c r="N59" i="7" s="1"/>
  <c r="F58" i="7"/>
  <c r="J56" i="7"/>
  <c r="O54" i="7"/>
  <c r="N54" i="7" s="1"/>
  <c r="F53" i="7"/>
  <c r="J51" i="7"/>
  <c r="O49" i="7"/>
  <c r="N49" i="7" s="1"/>
  <c r="F48" i="7"/>
  <c r="J46" i="7"/>
  <c r="O44" i="7"/>
  <c r="N44" i="7" s="1"/>
  <c r="F43" i="7"/>
  <c r="J41" i="7"/>
  <c r="O39" i="7"/>
  <c r="N39" i="7" s="1"/>
  <c r="F38" i="7"/>
  <c r="J36" i="7"/>
  <c r="O34" i="7"/>
  <c r="N34" i="7" s="1"/>
  <c r="F33" i="7"/>
  <c r="J31" i="7"/>
  <c r="O29" i="7"/>
  <c r="N29" i="7" s="1"/>
  <c r="F28" i="7"/>
  <c r="J26" i="7"/>
  <c r="O24" i="7"/>
  <c r="N24" i="7" s="1"/>
  <c r="F23" i="7"/>
  <c r="J21" i="7"/>
  <c r="O19" i="7"/>
  <c r="N19" i="7" s="1"/>
  <c r="F18" i="7"/>
  <c r="J16" i="7"/>
  <c r="O14" i="7"/>
  <c r="N14" i="7" s="1"/>
  <c r="F13" i="7"/>
  <c r="J11" i="7"/>
  <c r="O9" i="7"/>
  <c r="N9" i="7" s="1"/>
  <c r="F8" i="7"/>
  <c r="J6" i="7"/>
  <c r="B29" i="9"/>
  <c r="I66" i="7"/>
  <c r="E63" i="7"/>
  <c r="I61" i="7"/>
  <c r="E58" i="7"/>
  <c r="I56" i="7"/>
  <c r="E53" i="7"/>
  <c r="I51" i="7"/>
  <c r="E48" i="7"/>
  <c r="I46" i="7"/>
  <c r="E43" i="7"/>
  <c r="I41" i="7"/>
  <c r="E38" i="7"/>
  <c r="I36" i="7"/>
  <c r="E33" i="7"/>
  <c r="I31" i="7"/>
  <c r="E28" i="7"/>
  <c r="I26" i="7"/>
  <c r="E23" i="7"/>
  <c r="I21" i="7"/>
  <c r="E18" i="7"/>
  <c r="I16" i="7"/>
  <c r="E13" i="7"/>
  <c r="I11" i="7"/>
  <c r="E8" i="7"/>
  <c r="I6" i="7"/>
  <c r="B28" i="9"/>
  <c r="H66" i="7"/>
  <c r="M64" i="7"/>
  <c r="D63" i="7"/>
  <c r="H61" i="7"/>
  <c r="M59" i="7"/>
  <c r="D58" i="7"/>
  <c r="H56" i="7"/>
  <c r="M54" i="7"/>
  <c r="D53" i="7"/>
  <c r="H51" i="7"/>
  <c r="M49" i="7"/>
  <c r="D48" i="7"/>
  <c r="H46" i="7"/>
  <c r="M44" i="7"/>
  <c r="D43" i="7"/>
  <c r="H41" i="7"/>
  <c r="M39" i="7"/>
  <c r="D38" i="7"/>
  <c r="H36" i="7"/>
  <c r="M34" i="7"/>
  <c r="D33" i="7"/>
  <c r="H31" i="7"/>
  <c r="M29" i="7"/>
  <c r="D28" i="7"/>
  <c r="H26" i="7"/>
  <c r="M24" i="7"/>
  <c r="D23" i="7"/>
  <c r="H21" i="7"/>
  <c r="M19" i="7"/>
  <c r="D18" i="7"/>
  <c r="H16" i="7"/>
  <c r="M14" i="7"/>
  <c r="D13" i="7"/>
  <c r="H11" i="7"/>
  <c r="M9" i="7"/>
  <c r="D8" i="7"/>
  <c r="H6" i="7"/>
  <c r="B27" i="9"/>
  <c r="G66" i="7"/>
  <c r="K64" i="7"/>
  <c r="G61" i="7"/>
  <c r="K59" i="7"/>
  <c r="G56" i="7"/>
  <c r="K54" i="7"/>
  <c r="G51" i="7"/>
  <c r="K49" i="7"/>
  <c r="G46" i="7"/>
  <c r="K44" i="7"/>
  <c r="G41" i="7"/>
  <c r="K39" i="7"/>
  <c r="G36" i="7"/>
  <c r="K34" i="7"/>
  <c r="G31" i="7"/>
  <c r="K29" i="7"/>
  <c r="G26" i="7"/>
  <c r="K24" i="7"/>
  <c r="G21" i="7"/>
  <c r="K19" i="7"/>
  <c r="G16" i="7"/>
  <c r="K14" i="7"/>
  <c r="G11" i="7"/>
  <c r="K9" i="7"/>
  <c r="G6" i="7"/>
  <c r="B26" i="9"/>
  <c r="F66" i="7"/>
  <c r="J64" i="7"/>
  <c r="O62" i="7"/>
  <c r="N62" i="7" s="1"/>
  <c r="F61" i="7"/>
  <c r="J59" i="7"/>
  <c r="O57" i="7"/>
  <c r="N57" i="7" s="1"/>
  <c r="F56" i="7"/>
  <c r="J54" i="7"/>
  <c r="O52" i="7"/>
  <c r="N52" i="7" s="1"/>
  <c r="F51" i="7"/>
  <c r="J49" i="7"/>
  <c r="O47" i="7"/>
  <c r="N47" i="7" s="1"/>
  <c r="F46" i="7"/>
  <c r="J44" i="7"/>
  <c r="O42" i="7"/>
  <c r="N42" i="7" s="1"/>
  <c r="F41" i="7"/>
  <c r="J39" i="7"/>
  <c r="O37" i="7"/>
  <c r="N37" i="7" s="1"/>
  <c r="F36" i="7"/>
  <c r="J34" i="7"/>
  <c r="O32" i="7"/>
  <c r="N32" i="7" s="1"/>
  <c r="F31" i="7"/>
  <c r="J29" i="7"/>
  <c r="O27" i="7"/>
  <c r="N27" i="7" s="1"/>
  <c r="F26" i="7"/>
  <c r="J24" i="7"/>
  <c r="O22" i="7"/>
  <c r="N22" i="7" s="1"/>
  <c r="F21" i="7"/>
  <c r="J19" i="7"/>
  <c r="O17" i="7"/>
  <c r="N17" i="7" s="1"/>
  <c r="F16" i="7"/>
  <c r="J14" i="7"/>
  <c r="O12" i="7"/>
  <c r="N12" i="7" s="1"/>
  <c r="F11" i="7"/>
  <c r="J9" i="7"/>
  <c r="O7" i="7"/>
  <c r="N7" i="7" s="1"/>
  <c r="F6" i="7"/>
  <c r="B25" i="9"/>
  <c r="E66" i="7"/>
  <c r="I64" i="7"/>
  <c r="E61" i="7"/>
  <c r="I59" i="7"/>
  <c r="E56" i="7"/>
  <c r="I54" i="7"/>
  <c r="E51" i="7"/>
  <c r="I49" i="7"/>
  <c r="E46" i="7"/>
  <c r="I44" i="7"/>
  <c r="E41" i="7"/>
  <c r="I39" i="7"/>
  <c r="B24" i="9"/>
  <c r="D66" i="7"/>
  <c r="B23" i="9"/>
  <c r="M63" i="7"/>
  <c r="J60" i="7"/>
  <c r="H57" i="7"/>
  <c r="F54" i="7"/>
  <c r="D51" i="7"/>
  <c r="J48" i="7"/>
  <c r="J45" i="7"/>
  <c r="I42" i="7"/>
  <c r="H39" i="7"/>
  <c r="E37" i="7"/>
  <c r="F34" i="7"/>
  <c r="D29" i="7"/>
  <c r="K26" i="7"/>
  <c r="O23" i="7"/>
  <c r="N23" i="7" s="1"/>
  <c r="D21" i="7"/>
  <c r="M18" i="7"/>
  <c r="O15" i="7"/>
  <c r="N15" i="7" s="1"/>
  <c r="G13" i="7"/>
  <c r="M10" i="7"/>
  <c r="J5" i="7"/>
  <c r="B22" i="9"/>
  <c r="O66" i="7"/>
  <c r="N66" i="7" s="1"/>
  <c r="J63" i="7"/>
  <c r="I60" i="7"/>
  <c r="G57" i="7"/>
  <c r="E54" i="7"/>
  <c r="I45" i="7"/>
  <c r="H42" i="7"/>
  <c r="G39" i="7"/>
  <c r="D37" i="7"/>
  <c r="E34" i="7"/>
  <c r="O31" i="7"/>
  <c r="N31" i="7" s="1"/>
  <c r="E26" i="7"/>
  <c r="J18" i="7"/>
  <c r="K10" i="7"/>
  <c r="M7" i="7"/>
  <c r="I5" i="7"/>
  <c r="B21" i="9"/>
  <c r="H60" i="7"/>
  <c r="F57" i="7"/>
  <c r="D54" i="7"/>
  <c r="O50" i="7"/>
  <c r="N50" i="7" s="1"/>
  <c r="M47" i="7"/>
  <c r="H45" i="7"/>
  <c r="G42" i="7"/>
  <c r="F39" i="7"/>
  <c r="D34" i="7"/>
  <c r="K31" i="7"/>
  <c r="O28" i="7"/>
  <c r="N28" i="7" s="1"/>
  <c r="D26" i="7"/>
  <c r="M23" i="7"/>
  <c r="O20" i="7"/>
  <c r="N20" i="7" s="1"/>
  <c r="G18" i="7"/>
  <c r="M15" i="7"/>
  <c r="J10" i="7"/>
  <c r="K7" i="7"/>
  <c r="H5" i="7"/>
  <c r="B20" i="9"/>
  <c r="O65" i="7"/>
  <c r="N65" i="7" s="1"/>
  <c r="M62" i="7"/>
  <c r="F60" i="7"/>
  <c r="E57" i="7"/>
  <c r="K47" i="7"/>
  <c r="F45" i="7"/>
  <c r="F42" i="7"/>
  <c r="E39" i="7"/>
  <c r="O36" i="7"/>
  <c r="N36" i="7" s="1"/>
  <c r="E31" i="7"/>
  <c r="J23" i="7"/>
  <c r="K15" i="7"/>
  <c r="M12" i="7"/>
  <c r="I10" i="7"/>
  <c r="J7" i="7"/>
  <c r="F5" i="7"/>
  <c r="B19" i="9"/>
  <c r="K62" i="7"/>
  <c r="D57" i="7"/>
  <c r="O53" i="7"/>
  <c r="N53" i="7" s="1"/>
  <c r="M50" i="7"/>
  <c r="J47" i="7"/>
  <c r="E42" i="7"/>
  <c r="D39" i="7"/>
  <c r="K36" i="7"/>
  <c r="O33" i="7"/>
  <c r="N33" i="7" s="1"/>
  <c r="D31" i="7"/>
  <c r="M28" i="7"/>
  <c r="O25" i="7"/>
  <c r="N25" i="7" s="1"/>
  <c r="G23" i="7"/>
  <c r="M20" i="7"/>
  <c r="J15" i="7"/>
  <c r="K12" i="7"/>
  <c r="H10" i="7"/>
  <c r="I7" i="7"/>
  <c r="B18" i="9"/>
  <c r="M65" i="7"/>
  <c r="J62" i="7"/>
  <c r="H59" i="7"/>
  <c r="K50" i="7"/>
  <c r="I47" i="7"/>
  <c r="H44" i="7"/>
  <c r="D42" i="7"/>
  <c r="E36" i="7"/>
  <c r="J28" i="7"/>
  <c r="K20" i="7"/>
  <c r="M17" i="7"/>
  <c r="I15" i="7"/>
  <c r="J12" i="7"/>
  <c r="F10" i="7"/>
  <c r="H7" i="7"/>
  <c r="B16" i="9"/>
  <c r="J65" i="7"/>
  <c r="H62" i="7"/>
  <c r="F59" i="7"/>
  <c r="D56" i="7"/>
  <c r="J53" i="7"/>
  <c r="I50" i="7"/>
  <c r="G47" i="7"/>
  <c r="F44" i="7"/>
  <c r="O41" i="7"/>
  <c r="N41" i="7" s="1"/>
  <c r="J33" i="7"/>
  <c r="K25" i="7"/>
  <c r="M22" i="7"/>
  <c r="I20" i="7"/>
  <c r="J17" i="7"/>
  <c r="F15" i="7"/>
  <c r="H12" i="7"/>
  <c r="I9" i="7"/>
  <c r="F7" i="7"/>
  <c r="B14" i="9"/>
  <c r="I65" i="7"/>
  <c r="G62" i="7"/>
  <c r="E59" i="7"/>
  <c r="H50" i="7"/>
  <c r="F47" i="7"/>
  <c r="E44" i="7"/>
  <c r="K41" i="7"/>
  <c r="M38" i="7"/>
  <c r="O35" i="7"/>
  <c r="N35" i="7" s="1"/>
  <c r="G33" i="7"/>
  <c r="M30" i="7"/>
  <c r="J25" i="7"/>
  <c r="K22" i="7"/>
  <c r="H20" i="7"/>
  <c r="I17" i="7"/>
  <c r="G12" i="7"/>
  <c r="H9" i="7"/>
  <c r="E7" i="7"/>
  <c r="B17" i="9"/>
  <c r="O61" i="7"/>
  <c r="N61" i="7" s="1"/>
  <c r="I52" i="7"/>
  <c r="M48" i="7"/>
  <c r="M43" i="7"/>
  <c r="O38" i="7"/>
  <c r="N38" i="7" s="1"/>
  <c r="H35" i="7"/>
  <c r="H27" i="7"/>
  <c r="F19" i="7"/>
  <c r="E11" i="7"/>
  <c r="O6" i="7"/>
  <c r="N6" i="7" s="1"/>
  <c r="D61" i="7"/>
  <c r="O56" i="7"/>
  <c r="N56" i="7" s="1"/>
  <c r="H52" i="7"/>
  <c r="J43" i="7"/>
  <c r="J38" i="7"/>
  <c r="F35" i="7"/>
  <c r="O30" i="7"/>
  <c r="N30" i="7" s="1"/>
  <c r="G27" i="7"/>
  <c r="E19" i="7"/>
  <c r="I14" i="7"/>
  <c r="D11" i="7"/>
  <c r="K6" i="7"/>
  <c r="K65" i="7"/>
  <c r="G52" i="7"/>
  <c r="H47" i="7"/>
  <c r="G43" i="7"/>
  <c r="G38" i="7"/>
  <c r="K30" i="7"/>
  <c r="F27" i="7"/>
  <c r="J22" i="7"/>
  <c r="D19" i="7"/>
  <c r="H14" i="7"/>
  <c r="E6" i="7"/>
  <c r="H65" i="7"/>
  <c r="O60" i="7"/>
  <c r="N60" i="7" s="1"/>
  <c r="O55" i="7"/>
  <c r="N55" i="7" s="1"/>
  <c r="F52" i="7"/>
  <c r="E47" i="7"/>
  <c r="I34" i="7"/>
  <c r="J30" i="7"/>
  <c r="E27" i="7"/>
  <c r="I22" i="7"/>
  <c r="G14" i="7"/>
  <c r="O10" i="7"/>
  <c r="N10" i="7" s="1"/>
  <c r="D6" i="7"/>
  <c r="F65" i="7"/>
  <c r="E52" i="7"/>
  <c r="D47" i="7"/>
  <c r="M42" i="7"/>
  <c r="H34" i="7"/>
  <c r="I30" i="7"/>
  <c r="D27" i="7"/>
  <c r="H22" i="7"/>
  <c r="O18" i="7"/>
  <c r="N18" i="7" s="1"/>
  <c r="F14" i="7"/>
  <c r="M60" i="7"/>
  <c r="M55" i="7"/>
  <c r="D52" i="7"/>
  <c r="K42" i="7"/>
  <c r="M37" i="7"/>
  <c r="G34" i="7"/>
  <c r="H30" i="7"/>
  <c r="G22" i="7"/>
  <c r="E14" i="7"/>
  <c r="O5" i="7"/>
  <c r="N5" i="7" s="1"/>
  <c r="H64" i="7"/>
  <c r="K60" i="7"/>
  <c r="K55" i="7"/>
  <c r="O46" i="7"/>
  <c r="N46" i="7" s="1"/>
  <c r="J42" i="7"/>
  <c r="K37" i="7"/>
  <c r="F30" i="7"/>
  <c r="O26" i="7"/>
  <c r="N26" i="7" s="1"/>
  <c r="F22" i="7"/>
  <c r="D14" i="7"/>
  <c r="G9" i="7"/>
  <c r="G64" i="7"/>
  <c r="J55" i="7"/>
  <c r="O51" i="7"/>
  <c r="N51" i="7" s="1"/>
  <c r="K46" i="7"/>
  <c r="J37" i="7"/>
  <c r="M33" i="7"/>
  <c r="E22" i="7"/>
  <c r="K17" i="7"/>
  <c r="F9" i="7"/>
  <c r="M5" i="7"/>
  <c r="F64" i="7"/>
  <c r="G59" i="7"/>
  <c r="I55" i="7"/>
  <c r="D46" i="7"/>
  <c r="D41" i="7"/>
  <c r="I37" i="7"/>
  <c r="I29" i="7"/>
  <c r="M25" i="7"/>
  <c r="D22" i="7"/>
  <c r="H17" i="7"/>
  <c r="O13" i="7"/>
  <c r="N13" i="7" s="1"/>
  <c r="E9" i="7"/>
  <c r="K5" i="7"/>
  <c r="F17" i="7"/>
  <c r="G24" i="7"/>
  <c r="G49" i="7"/>
  <c r="I57" i="7"/>
  <c r="O63" i="7"/>
  <c r="N63" i="7" s="1"/>
  <c r="K52" i="7"/>
  <c r="M52" i="7"/>
  <c r="J27" i="7"/>
  <c r="M53" i="7"/>
  <c r="K21" i="7"/>
  <c r="D16" i="7"/>
  <c r="D12" i="7"/>
  <c r="G17" i="7"/>
  <c r="H24" i="7"/>
  <c r="H49" i="7"/>
  <c r="J57" i="7"/>
  <c r="I7" i="5"/>
  <c r="F16" i="5"/>
  <c r="E25" i="5"/>
  <c r="I9" i="5"/>
  <c r="G16" i="5"/>
  <c r="F25" i="5"/>
  <c r="J9" i="5"/>
  <c r="H16" i="5"/>
  <c r="G25" i="5"/>
  <c r="I16" i="5"/>
  <c r="H25" i="5"/>
  <c r="C10" i="5"/>
  <c r="K10" i="5" s="1"/>
  <c r="D18" i="5"/>
  <c r="I25" i="5"/>
  <c r="D10" i="5"/>
  <c r="C19" i="5"/>
  <c r="K19" i="5" s="1"/>
  <c r="J25" i="5"/>
  <c r="E10" i="5"/>
  <c r="D19" i="5"/>
  <c r="G11" i="5"/>
  <c r="E22" i="5"/>
  <c r="C20" i="5"/>
  <c r="K20" i="5" s="1"/>
  <c r="J17" i="5"/>
  <c r="H15" i="5"/>
  <c r="F13" i="5"/>
  <c r="D11" i="5"/>
  <c r="I6" i="5"/>
  <c r="J23" i="5"/>
  <c r="H21" i="5"/>
  <c r="F19" i="5"/>
  <c r="D17" i="5"/>
  <c r="I12" i="5"/>
  <c r="G10" i="5"/>
  <c r="E8" i="5"/>
  <c r="C6" i="5"/>
  <c r="K6" i="5" s="1"/>
  <c r="I23" i="5"/>
  <c r="G21" i="5"/>
  <c r="E19" i="5"/>
  <c r="C17" i="5"/>
  <c r="K17" i="5" s="1"/>
  <c r="J14" i="5"/>
  <c r="H12" i="5"/>
  <c r="F10" i="5"/>
  <c r="D8" i="5"/>
  <c r="H23" i="5"/>
  <c r="E14" i="5"/>
  <c r="H9" i="5"/>
  <c r="G23" i="5"/>
  <c r="J18" i="5"/>
  <c r="D14" i="5"/>
  <c r="G9" i="5"/>
  <c r="F23" i="5"/>
  <c r="I18" i="5"/>
  <c r="C14" i="5"/>
  <c r="K14" i="5" s="1"/>
  <c r="E9" i="5"/>
  <c r="E23" i="5"/>
  <c r="H18" i="5"/>
  <c r="C8" i="5"/>
  <c r="K8" i="5" s="1"/>
  <c r="D23" i="5"/>
  <c r="G18" i="5"/>
  <c r="I13" i="5"/>
  <c r="C23" i="5"/>
  <c r="K23" i="5" s="1"/>
  <c r="F18" i="5"/>
  <c r="G12" i="5"/>
  <c r="J7" i="5"/>
  <c r="J22" i="5"/>
  <c r="E12" i="5"/>
  <c r="H7" i="5"/>
  <c r="H22" i="5"/>
  <c r="J16" i="5"/>
  <c r="D12" i="5"/>
  <c r="G7" i="5"/>
  <c r="I11" i="5"/>
  <c r="H20" i="5"/>
  <c r="G6" i="9"/>
  <c r="E13" i="9"/>
  <c r="E12" i="9"/>
  <c r="G24" i="5"/>
  <c r="E11" i="9"/>
  <c r="E6" i="9"/>
  <c r="D6" i="5"/>
  <c r="F8" i="5"/>
  <c r="H10" i="5"/>
  <c r="J12" i="5"/>
  <c r="C15" i="5"/>
  <c r="K15" i="5" s="1"/>
  <c r="E17" i="5"/>
  <c r="G19" i="5"/>
  <c r="I21" i="5"/>
  <c r="E6" i="5"/>
  <c r="G8" i="5"/>
  <c r="I10" i="5"/>
  <c r="D15" i="5"/>
  <c r="F17" i="5"/>
  <c r="H19" i="5"/>
  <c r="J21" i="5"/>
  <c r="C24" i="5"/>
  <c r="K24" i="5" s="1"/>
  <c r="F6" i="5"/>
  <c r="H8" i="5"/>
  <c r="J10" i="5"/>
  <c r="C13" i="5"/>
  <c r="K13" i="5" s="1"/>
  <c r="E15" i="5"/>
  <c r="G17" i="5"/>
  <c r="I19" i="5"/>
  <c r="K21" i="5"/>
  <c r="D24" i="5"/>
  <c r="G6" i="5"/>
  <c r="I8" i="5"/>
  <c r="D13" i="5"/>
  <c r="F15" i="5"/>
  <c r="H17" i="5"/>
  <c r="J19" i="5"/>
  <c r="C22" i="5"/>
  <c r="K22" i="5" s="1"/>
  <c r="E24" i="5"/>
  <c r="H6" i="5"/>
  <c r="J8" i="5"/>
  <c r="C11" i="5"/>
  <c r="K11" i="5" s="1"/>
  <c r="E13" i="5"/>
  <c r="G15" i="5"/>
  <c r="I17" i="5"/>
  <c r="D22" i="5"/>
  <c r="F24" i="5"/>
  <c r="J6" i="5"/>
  <c r="C9" i="5"/>
  <c r="K9" i="5" s="1"/>
  <c r="E11" i="5"/>
  <c r="G13" i="5"/>
  <c r="I15" i="5"/>
  <c r="D20" i="5"/>
  <c r="F22" i="5"/>
  <c r="H24" i="5"/>
  <c r="D9" i="5"/>
  <c r="F11" i="5"/>
  <c r="H13" i="5"/>
  <c r="J15" i="5"/>
  <c r="C18" i="5"/>
  <c r="K18" i="5" s="1"/>
  <c r="E20" i="5"/>
  <c r="G22" i="5"/>
  <c r="I24" i="5"/>
  <c r="D7" i="5"/>
  <c r="F9" i="5"/>
  <c r="H11" i="5"/>
  <c r="J13" i="5"/>
  <c r="C16" i="5"/>
  <c r="K16" i="5" s="1"/>
  <c r="E18" i="5"/>
  <c r="G20" i="5"/>
  <c r="I22" i="5"/>
  <c r="A7" i="8" l="1"/>
  <c r="A42" i="8"/>
  <c r="A267" i="8"/>
  <c r="A196" i="8"/>
  <c r="A222" i="8"/>
  <c r="A92" i="8"/>
  <c r="A149" i="8"/>
  <c r="A17" i="8"/>
  <c r="A228" i="8"/>
  <c r="A192" i="8"/>
  <c r="A130" i="8"/>
  <c r="A260" i="8"/>
  <c r="A331" i="8"/>
  <c r="A262" i="8"/>
  <c r="A253" i="8"/>
  <c r="A234" i="8"/>
  <c r="A318" i="8"/>
  <c r="A366" i="8"/>
  <c r="A135" i="8"/>
  <c r="A124" i="8"/>
  <c r="A85" i="8"/>
  <c r="A287" i="8"/>
  <c r="A356" i="8"/>
  <c r="A302" i="8"/>
  <c r="A248" i="8"/>
  <c r="A252" i="8"/>
  <c r="A41" i="8"/>
  <c r="A169" i="8"/>
  <c r="A112" i="8"/>
  <c r="A360" i="8"/>
  <c r="A150" i="8"/>
  <c r="A451" i="8"/>
  <c r="A242" i="8"/>
  <c r="A372" i="8"/>
  <c r="A342" i="8"/>
  <c r="A273" i="8"/>
  <c r="A254" i="8"/>
  <c r="A438" i="8"/>
  <c r="A34" i="8"/>
  <c r="A155" i="8"/>
  <c r="A37" i="8"/>
  <c r="A144" i="8"/>
  <c r="A105" i="8"/>
  <c r="A420" i="8"/>
  <c r="A391" i="8"/>
  <c r="A307" i="8"/>
  <c r="A217" i="8"/>
  <c r="A382" i="8"/>
  <c r="A268" i="8"/>
  <c r="A352" i="8"/>
  <c r="A141" i="8"/>
  <c r="A189" i="8"/>
  <c r="A232" i="8"/>
  <c r="A21" i="8"/>
  <c r="A170" i="8"/>
  <c r="A32" i="8"/>
  <c r="A362" i="8"/>
  <c r="A56" i="8"/>
  <c r="A422" i="8"/>
  <c r="A293" i="8"/>
  <c r="A294" i="8"/>
  <c r="A39" i="8"/>
  <c r="A174" i="8"/>
  <c r="A175" i="8"/>
  <c r="A57" i="8"/>
  <c r="A164" i="8"/>
  <c r="A125" i="8"/>
  <c r="A209" i="8"/>
  <c r="A184" i="8"/>
  <c r="A367" i="8"/>
  <c r="A418" i="8"/>
  <c r="A283" i="8"/>
  <c r="A328" i="8"/>
  <c r="A156" i="8"/>
  <c r="A22" i="8"/>
  <c r="A249" i="8"/>
  <c r="A16" i="8"/>
  <c r="A182" i="8"/>
  <c r="A230" i="8"/>
  <c r="A212" i="8"/>
  <c r="A263" i="8"/>
  <c r="A437" i="8"/>
  <c r="A106" i="8"/>
  <c r="A353" i="8"/>
  <c r="A374" i="8"/>
  <c r="A339" i="8"/>
  <c r="A434" i="8"/>
  <c r="A275" i="8"/>
  <c r="A117" i="8"/>
  <c r="A224" i="8"/>
  <c r="A185" i="8"/>
  <c r="A387" i="8"/>
  <c r="A19" i="8"/>
  <c r="A46" i="8"/>
  <c r="A348" i="8"/>
  <c r="A316" i="8"/>
  <c r="A322" i="8"/>
  <c r="A269" i="8"/>
  <c r="A116" i="8"/>
  <c r="A282" i="8"/>
  <c r="A250" i="8"/>
  <c r="A312" i="8"/>
  <c r="A423" i="8"/>
  <c r="A38" i="8"/>
  <c r="A246" i="8"/>
  <c r="A373" i="8"/>
  <c r="A394" i="8"/>
  <c r="A439" i="8"/>
  <c r="A255" i="8"/>
  <c r="A295" i="8"/>
  <c r="A137" i="8"/>
  <c r="A244" i="8"/>
  <c r="A205" i="8"/>
  <c r="A123" i="8"/>
  <c r="A393" i="8"/>
  <c r="A157" i="8"/>
  <c r="A225" i="8"/>
  <c r="A299" i="8"/>
  <c r="A413" i="8"/>
  <c r="A47" i="8"/>
  <c r="A447" i="8"/>
  <c r="A399" i="8"/>
  <c r="A8" i="8"/>
  <c r="A408" i="8"/>
  <c r="A58" i="8"/>
  <c r="A323" i="8"/>
  <c r="A329" i="8"/>
  <c r="A456" i="8"/>
  <c r="A203" i="8"/>
  <c r="A310" i="8"/>
  <c r="A317" i="8"/>
  <c r="A406" i="8"/>
  <c r="A219" i="8"/>
  <c r="A33" i="8"/>
  <c r="A433" i="8"/>
  <c r="A215" i="8"/>
  <c r="A380" i="8"/>
  <c r="A377" i="8"/>
  <c r="A355" i="8"/>
  <c r="A297" i="8"/>
  <c r="A304" i="8"/>
  <c r="A265" i="8"/>
  <c r="A67" i="8"/>
  <c r="A91" i="8"/>
  <c r="A40" i="8"/>
  <c r="A28" i="8"/>
  <c r="A428" i="8"/>
  <c r="A258" i="8"/>
  <c r="A126" i="8"/>
  <c r="A349" i="8"/>
  <c r="A277" i="8"/>
  <c r="A303" i="8"/>
  <c r="A330" i="8"/>
  <c r="A457" i="8"/>
  <c r="A71" i="8"/>
  <c r="A379" i="8"/>
  <c r="A53" i="8"/>
  <c r="A453" i="8"/>
  <c r="A375" i="8"/>
  <c r="A81" i="8"/>
  <c r="A178" i="8"/>
  <c r="A435" i="8"/>
  <c r="A397" i="8"/>
  <c r="A324" i="8"/>
  <c r="A285" i="8"/>
  <c r="A392" i="8"/>
  <c r="A346" i="8"/>
  <c r="A120" i="8"/>
  <c r="A264" i="8"/>
  <c r="A426" i="8"/>
  <c r="A335" i="8"/>
  <c r="A127" i="8"/>
  <c r="A291" i="8"/>
  <c r="A340" i="8"/>
  <c r="A88" i="8"/>
  <c r="A111" i="8"/>
  <c r="A199" i="8"/>
  <c r="A9" i="8"/>
  <c r="A409" i="8"/>
  <c r="A338" i="8"/>
  <c r="A226" i="8"/>
  <c r="A390" i="8"/>
  <c r="A398" i="8"/>
  <c r="A216" i="8"/>
  <c r="A300" i="8"/>
  <c r="A113" i="8"/>
  <c r="A74" i="8"/>
  <c r="A36" i="8"/>
  <c r="A401" i="8"/>
  <c r="A326" i="8"/>
  <c r="A337" i="8"/>
  <c r="A183" i="8"/>
  <c r="A384" i="8"/>
  <c r="A345" i="8"/>
  <c r="A308" i="8"/>
  <c r="A229" i="8"/>
  <c r="A210" i="8"/>
  <c r="A143" i="8"/>
  <c r="A333" i="8"/>
  <c r="A204" i="8"/>
  <c r="A396" i="8"/>
  <c r="A427" i="8"/>
  <c r="A197" i="8"/>
  <c r="A309" i="8"/>
  <c r="A83" i="8"/>
  <c r="A358" i="8"/>
  <c r="A276" i="8"/>
  <c r="A171" i="8"/>
  <c r="A48" i="8"/>
  <c r="A369" i="8"/>
  <c r="A443" i="8"/>
  <c r="A18" i="8"/>
  <c r="A395" i="8"/>
  <c r="A136" i="8"/>
  <c r="A305" i="8"/>
  <c r="A147" i="8"/>
  <c r="A351" i="8"/>
  <c r="A440" i="8"/>
  <c r="A108" i="8"/>
  <c r="A191" i="8"/>
  <c r="A319" i="8"/>
  <c r="A29" i="8"/>
  <c r="A429" i="8"/>
  <c r="A10" i="8"/>
  <c r="A410" i="8"/>
  <c r="A59" i="8"/>
  <c r="A357" i="8"/>
  <c r="A400" i="8"/>
  <c r="A133" i="8"/>
  <c r="A94" i="8"/>
  <c r="A176" i="8"/>
  <c r="A62" i="8"/>
  <c r="A15" i="8"/>
  <c r="A98" i="8"/>
  <c r="A186" i="8"/>
  <c r="A404" i="8"/>
  <c r="A365" i="8"/>
  <c r="A327" i="8"/>
  <c r="A288" i="8"/>
  <c r="A190" i="8"/>
  <c r="A139" i="8"/>
  <c r="A361" i="8"/>
  <c r="A239" i="8"/>
  <c r="A289" i="8"/>
  <c r="A292" i="8"/>
  <c r="A167" i="8"/>
  <c r="A431" i="8"/>
  <c r="A101" i="8"/>
  <c r="A128" i="8"/>
  <c r="A271" i="8"/>
  <c r="A419" i="8"/>
  <c r="A49" i="8"/>
  <c r="A449" i="8"/>
  <c r="A79" i="8"/>
  <c r="A30" i="8"/>
  <c r="A430" i="8"/>
  <c r="A279" i="8"/>
  <c r="A278" i="8"/>
  <c r="A121" i="8"/>
  <c r="A153" i="8"/>
  <c r="A114" i="8"/>
  <c r="A336" i="8"/>
  <c r="A63" i="8"/>
  <c r="A35" i="8"/>
  <c r="A119" i="8"/>
  <c r="A24" i="8"/>
  <c r="A424" i="8"/>
  <c r="A385" i="8"/>
  <c r="A241" i="8"/>
  <c r="A87" i="8"/>
  <c r="A68" i="8"/>
  <c r="A138" i="8"/>
  <c r="A416" i="8"/>
  <c r="A187" i="8"/>
  <c r="A132" i="8"/>
  <c r="A201" i="8"/>
  <c r="A148" i="8"/>
  <c r="A371" i="8"/>
  <c r="A100" i="8"/>
  <c r="A69" i="8"/>
  <c r="A11" i="8"/>
  <c r="A259" i="8"/>
  <c r="A50" i="8"/>
  <c r="A450" i="8"/>
  <c r="A20" i="8"/>
  <c r="A179" i="8"/>
  <c r="A221" i="8"/>
  <c r="A173" i="8"/>
  <c r="A134" i="8"/>
  <c r="A436" i="8"/>
  <c r="A243" i="8"/>
  <c r="A55" i="8"/>
  <c r="A381" i="8"/>
  <c r="A44" i="8"/>
  <c r="A444" i="8"/>
  <c r="A405" i="8"/>
  <c r="A452" i="8"/>
  <c r="A82" i="8"/>
  <c r="A296" i="8"/>
  <c r="A103" i="8"/>
  <c r="A313" i="8"/>
  <c r="A274" i="8"/>
  <c r="A195" i="8"/>
  <c r="A77" i="8"/>
  <c r="A145" i="8"/>
  <c r="A298" i="8"/>
  <c r="A76" i="8"/>
  <c r="A142" i="8"/>
  <c r="A257" i="8"/>
  <c r="A334" i="8"/>
  <c r="A235" i="8"/>
  <c r="A165" i="8"/>
  <c r="A159" i="8"/>
  <c r="A256" i="8"/>
  <c r="A218" i="8"/>
  <c r="A315" i="8"/>
  <c r="A376" i="8"/>
  <c r="A107" i="8"/>
  <c r="A31" i="8"/>
  <c r="A446" i="8"/>
  <c r="A238" i="8"/>
  <c r="A455" i="8"/>
  <c r="A364" i="8"/>
  <c r="A207" i="8"/>
  <c r="A272" i="8"/>
  <c r="A301" i="8"/>
  <c r="A168" i="8"/>
  <c r="A12" i="8"/>
  <c r="A200" i="8"/>
  <c r="A89" i="8"/>
  <c r="A131" i="8"/>
  <c r="A359" i="8"/>
  <c r="A70" i="8"/>
  <c r="A51" i="8"/>
  <c r="A61" i="8"/>
  <c r="A281" i="8"/>
  <c r="A321" i="8"/>
  <c r="A193" i="8"/>
  <c r="A154" i="8"/>
  <c r="A237" i="8"/>
  <c r="A343" i="8"/>
  <c r="A75" i="8"/>
  <c r="A403" i="8"/>
  <c r="A64" i="8"/>
  <c r="A25" i="8"/>
  <c r="A425" i="8"/>
  <c r="A118" i="8"/>
  <c r="A72" i="8"/>
  <c r="A407" i="8"/>
  <c r="A206" i="8"/>
  <c r="A402" i="8"/>
  <c r="A26" i="8"/>
  <c r="A415" i="8"/>
  <c r="A448" i="8"/>
  <c r="A417" i="8"/>
  <c r="A411" i="8"/>
  <c r="A14" i="8"/>
  <c r="A441" i="8"/>
  <c r="A344" i="8"/>
  <c r="A220" i="8"/>
  <c r="A99" i="8"/>
  <c r="A370" i="8"/>
  <c r="A93" i="8"/>
  <c r="A421" i="8"/>
  <c r="A227" i="8"/>
  <c r="A412" i="8"/>
  <c r="A102" i="8"/>
  <c r="A188" i="8"/>
  <c r="A52" i="8"/>
  <c r="A280" i="8"/>
  <c r="A109" i="8"/>
  <c r="A211" i="8"/>
  <c r="A80" i="8"/>
  <c r="A90" i="8"/>
  <c r="A151" i="8"/>
  <c r="A181" i="8"/>
  <c r="A383" i="8"/>
  <c r="A122" i="8"/>
  <c r="A213" i="8"/>
  <c r="A194" i="8"/>
  <c r="A78" i="8"/>
  <c r="A6" i="8"/>
  <c r="A95" i="8"/>
  <c r="A306" i="8"/>
  <c r="A84" i="8"/>
  <c r="A45" i="8"/>
  <c r="A445" i="8"/>
  <c r="A442" i="8"/>
  <c r="A332" i="8"/>
  <c r="A43" i="8"/>
  <c r="A314" i="8"/>
  <c r="A347" i="8"/>
  <c r="A23" i="8"/>
  <c r="A432" i="8"/>
  <c r="A172" i="8"/>
  <c r="A363" i="8"/>
  <c r="A354" i="8"/>
  <c r="A97" i="8"/>
  <c r="A368" i="8"/>
  <c r="A270" i="8"/>
  <c r="A414" i="8"/>
  <c r="A27" i="8"/>
  <c r="A388" i="8"/>
  <c r="A223" i="8"/>
  <c r="A290" i="8"/>
  <c r="A236" i="8"/>
  <c r="A166" i="8"/>
  <c r="A13" i="8"/>
  <c r="A454" i="8"/>
  <c r="A240" i="8"/>
  <c r="A177" i="8"/>
  <c r="A284" i="8"/>
  <c r="A245" i="8"/>
  <c r="A140" i="8"/>
  <c r="A378" i="8"/>
  <c r="A286" i="8"/>
  <c r="A350" i="8"/>
  <c r="A60" i="8"/>
  <c r="A73" i="8"/>
  <c r="A161" i="8"/>
  <c r="A158" i="8"/>
  <c r="A251" i="8"/>
  <c r="A389" i="8"/>
  <c r="A66" i="8"/>
  <c r="A180" i="8"/>
  <c r="A54" i="8"/>
  <c r="A261" i="8"/>
  <c r="A163" i="8"/>
  <c r="A325" i="8"/>
  <c r="A247" i="8"/>
  <c r="A96" i="8"/>
  <c r="A162" i="8"/>
  <c r="A208" i="8"/>
  <c r="A152" i="8"/>
  <c r="A320" i="8"/>
  <c r="A129" i="8"/>
  <c r="A311" i="8"/>
  <c r="A160" i="8"/>
  <c r="A110" i="8"/>
  <c r="A231" i="8"/>
  <c r="A341" i="8"/>
  <c r="A386" i="8"/>
  <c r="A202" i="8"/>
  <c r="A233" i="8"/>
  <c r="A214" i="8"/>
  <c r="A198" i="8"/>
  <c r="A146" i="8"/>
  <c r="A115" i="8"/>
  <c r="A266" i="8"/>
  <c r="A104" i="8"/>
  <c r="A65" i="8"/>
  <c r="A86" i="8"/>
</calcChain>
</file>

<file path=xl/sharedStrings.xml><?xml version="1.0" encoding="utf-8"?>
<sst xmlns="http://schemas.openxmlformats.org/spreadsheetml/2006/main" count="7532" uniqueCount="2153">
  <si>
    <t>FUNCTIONAL SCOPE LIST – HỆ THỐNG QUẢN LÝ NHIỆM VỤ KHCN</t>
  </si>
  <si>
    <t>Phiên bản đồng bộ theo BRD 0.9.3 và HLD 3.3-draft: CAP-01…CAP-20, 28 luồng nghiệp vụ, phân pha chính thức, nguyên tắc nghiệm thu hai mức (CAP-14…CAP-18 nghiệm thu năng lực nền tại Pha 1). Phân hệ Trợ lý AI (CAP-21) là đề xuất tùy chọn, chờ khách chốt A7; 23 tính năng nguồn được truy vết qua REQ-064…REQ-068. Đây là danh mục phạm vi chức năng, chưa phải WBS ước lượng.</t>
  </si>
  <si>
    <t>STT</t>
  </si>
  <si>
    <t>Feature ID</t>
  </si>
  <si>
    <t>Phân hệ</t>
  </si>
  <si>
    <t>Module</t>
  </si>
  <si>
    <t>Nhóm chức năng</t>
  </si>
  <si>
    <t>Chức năng</t>
  </si>
  <si>
    <t>Mô tả phạm vi</t>
  </si>
  <si>
    <t>Vai trò chính</t>
  </si>
  <si>
    <t>Loại</t>
  </si>
  <si>
    <t>Quy trình/RD</t>
  </si>
  <si>
    <t>Capability ID</t>
  </si>
  <si>
    <t>Priority</t>
  </si>
  <si>
    <t>Release đề xuất</t>
  </si>
  <si>
    <t>Trạng thái phạm vi</t>
  </si>
  <si>
    <t>Nguồn/Thay đổi</t>
  </si>
  <si>
    <t>Định hướng nghiệm thu/Ghi chú</t>
  </si>
  <si>
    <t>Requirement/NFR ID</t>
  </si>
  <si>
    <t>IAM-SSO-001</t>
  </si>
  <si>
    <t>Truy cập, Tổ chức &amp; Phân quyền</t>
  </si>
  <si>
    <t>Đăng nhập &amp; SSO</t>
  </si>
  <si>
    <t>Xác thực</t>
  </si>
  <si>
    <t>Đăng nhập qua SSO/OIDC</t>
  </si>
  <si>
    <t>Chuyển hướng đến Identity Provider, nhận token và tạo phiên làm việc hợp lệ.</t>
  </si>
  <si>
    <t>Tất cả người dùng</t>
  </si>
  <si>
    <t>Nền tảng</t>
  </si>
  <si>
    <t>CAP-20</t>
  </si>
  <si>
    <t>Must</t>
  </si>
  <si>
    <t>Pha 1</t>
  </si>
  <si>
    <t>Đề xuất trong phạm vi</t>
  </si>
  <si>
    <t>Hiệu chỉnh từ VHT_WBS</t>
  </si>
  <si>
    <t>Đăng nhập thành công bằng tài khoản hợp lệ; lỗi xác thực không làm lộ thông tin nhạy cảm.</t>
  </si>
  <si>
    <t>IAM-SSO-002</t>
  </si>
  <si>
    <t>Đăng xuất tập trung</t>
  </si>
  <si>
    <t>Kết thúc phiên ứng dụng và phiên SSO theo chính sách tổ chức.</t>
  </si>
  <si>
    <t>IAM-SSO-003</t>
  </si>
  <si>
    <t>Bảo mật phiên</t>
  </si>
  <si>
    <t>Gia hạn và hết hạn phiên</t>
  </si>
  <si>
    <t>Quản lý refresh token, timeout không hoạt động và bắt buộc đăng nhập lại.</t>
  </si>
  <si>
    <t>Bảo mật</t>
  </si>
  <si>
    <t>Bổ sung</t>
  </si>
  <si>
    <t>IAM-SSO-004</t>
  </si>
  <si>
    <t>Hồ sơ người dùng</t>
  </si>
  <si>
    <t>Xem hồ sơ và ngữ cảnh đăng nhập</t>
  </si>
  <si>
    <t>Hiển thị người dùng, đơn vị, vai trò, phạm vi dữ liệu và quyền hiệu lực.</t>
  </si>
  <si>
    <t>IAM-ORG-001</t>
  </si>
  <si>
    <t>Cơ cấu tổ chức</t>
  </si>
  <si>
    <t>Đơn vị tổ chức</t>
  </si>
  <si>
    <t>Xem danh sách Đơn vị tổ chức</t>
  </si>
  <si>
    <t>Tra cứu danh sách, phân trang, sắp xếp và lọc Đơn vị tổ chức theo các tiêu chí nghiệp vụ.</t>
  </si>
  <si>
    <t>Quản trị hệ thống</t>
  </si>
  <si>
    <t>Nghiệp vụ</t>
  </si>
  <si>
    <t>Bổ sung theo EPIC01</t>
  </si>
  <si>
    <t>Danh sách hiển thị đúng phạm vi dữ liệu và hỗ trợ lọc/xuất theo quyền.</t>
  </si>
  <si>
    <t>IAM-ORG-002</t>
  </si>
  <si>
    <t>Tạo mới Đơn vị tổ chức</t>
  </si>
  <si>
    <t>Khởi tạo Đơn vị tổ chức, kiểm tra dữ liệu bắt buộc và lưu nháp trước khi hoàn tất.</t>
  </si>
  <si>
    <t>Dữ liệu hợp lệ được lưu; lỗi validation hiển thị tại trường tương ứng.</t>
  </si>
  <si>
    <t>IAM-ORG-003</t>
  </si>
  <si>
    <t>Xem chi tiết Đơn vị tổ chức</t>
  </si>
  <si>
    <t>Hiển thị thông tin tổng quan, dữ liệu chi tiết, tài liệu liên quan và trạng thái của Đơn vị tổ chức.</t>
  </si>
  <si>
    <t>Thông tin hiển thị đúng phiên bản và quyền truy cập.</t>
  </si>
  <si>
    <t>IAM-ORG-004</t>
  </si>
  <si>
    <t>Chỉnh sửa Đơn vị tổ chức</t>
  </si>
  <si>
    <t>Cập nhật Đơn vị tổ chức khi trạng thái và quyền người dùng cho phép; kiểm soát xung đột cập nhật.</t>
  </si>
  <si>
    <t>Chỉ trường được phép sửa có hiệu lực và thay đổi được ghi lịch sử.</t>
  </si>
  <si>
    <t>IAM-ORG-005</t>
  </si>
  <si>
    <t>Xóa/Ngừng sử dụng Đơn vị tổ chức</t>
  </si>
  <si>
    <t>Xóa logic hoặc ngừng sử dụng Đơn vị tổ chức sau khi kiểm tra ràng buộc tham chiếu.</t>
  </si>
  <si>
    <t>Quản trị/Cán bộ nghiệp vụ</t>
  </si>
  <si>
    <t>Should</t>
  </si>
  <si>
    <t>Không xóa vật lý dữ liệu đã phát sinh giao dịch; cảnh báo rõ quan hệ phụ thuộc.</t>
  </si>
  <si>
    <t>IAM-ORG-006</t>
  </si>
  <si>
    <t>Xem lịch sử Đơn vị tổ chức</t>
  </si>
  <si>
    <t>Theo dõi phiên bản, thay đổi dữ liệu, người thực hiện và lịch sử xử lý của Đơn vị tổ chức.</t>
  </si>
  <si>
    <t>Cán bộ nghiệp vụ/Quản trị</t>
  </si>
  <si>
    <t>Audit</t>
  </si>
  <si>
    <t>Lịch sử không thể sửa và truy vết được trước/sau của thay đổi quan trọng.</t>
  </si>
  <si>
    <t>IAM-ORG-007</t>
  </si>
  <si>
    <t>Cây tổ chức</t>
  </si>
  <si>
    <t>Quản lý cây tổ chức đa cấp</t>
  </si>
  <si>
    <t>Thiết lập quan hệ cha-con, cấp đơn vị, hiệu lực và lịch sử thay đổi cơ cấu.</t>
  </si>
  <si>
    <t>Cấu hình</t>
  </si>
  <si>
    <t>IAM-ORG-008</t>
  </si>
  <si>
    <t>Chức danh</t>
  </si>
  <si>
    <t>Quản lý chức danh và vị trí công việc</t>
  </si>
  <si>
    <t>Khai báo chức danh, vị trí, cấp quản lý và ánh xạ dữ liệu nhân sự.</t>
  </si>
  <si>
    <t>IAM-USR-001</t>
  </si>
  <si>
    <t>Người dùng &amp; định danh</t>
  </si>
  <si>
    <t>Người dùng ứng dụng</t>
  </si>
  <si>
    <t>Xem danh sách Người dùng ứng dụng</t>
  </si>
  <si>
    <t>Tra cứu danh sách, phân trang, sắp xếp và lọc Người dùng ứng dụng theo các tiêu chí nghiệp vụ.</t>
  </si>
  <si>
    <t>Bổ sung theo EPIC02</t>
  </si>
  <si>
    <t>IAM-USR-002</t>
  </si>
  <si>
    <t>Tạo mới Người dùng ứng dụng</t>
  </si>
  <si>
    <t>Khởi tạo Người dùng ứng dụng, kiểm tra dữ liệu bắt buộc và lưu nháp trước khi hoàn tất.</t>
  </si>
  <si>
    <t>IAM-USR-003</t>
  </si>
  <si>
    <t>Xem chi tiết Người dùng ứng dụng</t>
  </si>
  <si>
    <t>Hiển thị thông tin tổng quan, dữ liệu chi tiết, tài liệu liên quan và trạng thái của Người dùng ứng dụng.</t>
  </si>
  <si>
    <t>IAM-USR-004</t>
  </si>
  <si>
    <t>Chỉnh sửa Người dùng ứng dụng</t>
  </si>
  <si>
    <t>Cập nhật Người dùng ứng dụng khi trạng thái và quyền người dùng cho phép; kiểm soát xung đột cập nhật.</t>
  </si>
  <si>
    <t>IAM-USR-005</t>
  </si>
  <si>
    <t>Xóa/Ngừng sử dụng Người dùng ứng dụng</t>
  </si>
  <si>
    <t>Xóa logic hoặc ngừng sử dụng Người dùng ứng dụng sau khi kiểm tra ràng buộc tham chiếu.</t>
  </si>
  <si>
    <t>IAM-USR-006</t>
  </si>
  <si>
    <t>Xem lịch sử Người dùng ứng dụng</t>
  </si>
  <si>
    <t>Theo dõi phiên bản, thay đổi dữ liệu, người thực hiện và lịch sử xử lý của Người dùng ứng dụng.</t>
  </si>
  <si>
    <t>IAM-USR-007</t>
  </si>
  <si>
    <t>Đồng bộ</t>
  </si>
  <si>
    <t>Đồng bộ người dùng từ AD/QLNS</t>
  </si>
  <si>
    <t>Đồng bộ hồ sơ, đơn vị, chức danh và trạng thái người dùng; ghi nhận sai lệch.</t>
  </si>
  <si>
    <t>Tích hợp</t>
  </si>
  <si>
    <t>IAM-USR-008</t>
  </si>
  <si>
    <t>Phân công</t>
  </si>
  <si>
    <t>Gán vai trò và phạm vi dữ liệu cho người dùng</t>
  </si>
  <si>
    <t>Mỗi assignment gồm user, role, data scope, đơn vị/nhiệm vụ và thời hạn hiệu lực.</t>
  </si>
  <si>
    <t>Phân quyền</t>
  </si>
  <si>
    <t>Bổ sung theo recfactor-module-user-role</t>
  </si>
  <si>
    <t>IAM-USR-009</t>
  </si>
  <si>
    <t>Ủy quyền và người thay thế</t>
  </si>
  <si>
    <t>Thiết lập ủy quyền theo thời gian, phạm vi task/quy trình và ngăn xung đột phân quyền.</t>
  </si>
  <si>
    <t>Người dùng/Quản trị</t>
  </si>
  <si>
    <t>CAP-20; CAP-13</t>
  </si>
  <si>
    <t>Pha 2</t>
  </si>
  <si>
    <t>IAM-RBAC-001</t>
  </si>
  <si>
    <t>Vai trò &amp; phân quyền</t>
  </si>
  <si>
    <t>Vai trò nghiệp vụ</t>
  </si>
  <si>
    <t>Xem danh sách Vai trò nghiệp vụ</t>
  </si>
  <si>
    <t>Tra cứu danh sách, phân trang, sắp xếp và lọc Vai trò nghiệp vụ theo các tiêu chí nghiệp vụ.</t>
  </si>
  <si>
    <t>Bổ sung theo EPIC03</t>
  </si>
  <si>
    <t>IAM-RBAC-002</t>
  </si>
  <si>
    <t>Tạo mới Vai trò nghiệp vụ</t>
  </si>
  <si>
    <t>Khởi tạo Vai trò nghiệp vụ, kiểm tra dữ liệu bắt buộc và lưu nháp trước khi hoàn tất.</t>
  </si>
  <si>
    <t>IAM-RBAC-003</t>
  </si>
  <si>
    <t>Xem chi tiết Vai trò nghiệp vụ</t>
  </si>
  <si>
    <t>Hiển thị thông tin tổng quan, dữ liệu chi tiết, tài liệu liên quan và trạng thái của Vai trò nghiệp vụ.</t>
  </si>
  <si>
    <t>IAM-RBAC-004</t>
  </si>
  <si>
    <t>Chỉnh sửa Vai trò nghiệp vụ</t>
  </si>
  <si>
    <t>Cập nhật Vai trò nghiệp vụ khi trạng thái và quyền người dùng cho phép; kiểm soát xung đột cập nhật.</t>
  </si>
  <si>
    <t>IAM-RBAC-005</t>
  </si>
  <si>
    <t>Xóa/Ngừng sử dụng Vai trò nghiệp vụ</t>
  </si>
  <si>
    <t>Xóa logic hoặc ngừng sử dụng Vai trò nghiệp vụ sau khi kiểm tra ràng buộc tham chiếu.</t>
  </si>
  <si>
    <t>IAM-RBAC-006</t>
  </si>
  <si>
    <t>Xem lịch sử Vai trò nghiệp vụ</t>
  </si>
  <si>
    <t>Theo dõi phiên bản, thay đổi dữ liệu, người thực hiện và lịch sử xử lý của Vai trò nghiệp vụ.</t>
  </si>
  <si>
    <t>IAM-RBAC-007</t>
  </si>
  <si>
    <t>Ma trận quyền</t>
  </si>
  <si>
    <t>Cấu hình ma trận Role × Chức năng × Quyền</t>
  </si>
  <si>
    <t>Quản lý quyền xem, tạo, sửa, xóa, trình, duyệt, xuất và quản trị theo vai trò.</t>
  </si>
  <si>
    <t>IAM-RBAC-008</t>
  </si>
  <si>
    <t>Phạm vi dữ liệu</t>
  </si>
  <si>
    <t>Cấu hình loại phạm vi dữ liệu</t>
  </si>
  <si>
    <t>Hỗ trợ bản thân, đơn vị, cây đơn vị, nhiệm vụ được giao và toàn hệ thống.</t>
  </si>
  <si>
    <t>IAM-RBAC-009</t>
  </si>
  <si>
    <t>Mô phỏng</t>
  </si>
  <si>
    <t>Mô phỏng quyền hiệu lực</t>
  </si>
  <si>
    <t>Giải thích quyền thao tác từ role policy và phạm vi dữ liệu từ user assignment.</t>
  </si>
  <si>
    <t>Quản trị hệ thống/Audit</t>
  </si>
  <si>
    <t>MIS-MISSION-001</t>
  </si>
  <si>
    <t>Quản lý Nhiệm vụ KHCN</t>
  </si>
  <si>
    <t>Hồ sơ nhiệm vụ</t>
  </si>
  <si>
    <t>Nhiệm vụ KHCN</t>
  </si>
  <si>
    <t>Xem danh sách Nhiệm vụ KHCN</t>
  </si>
  <si>
    <t>Tra cứu danh sách, phân trang, sắp xếp và lọc Nhiệm vụ KHCN theo các tiêu chí nghiệp vụ.</t>
  </si>
  <si>
    <t>Cán bộ KHCN/Chủ nhiệm</t>
  </si>
  <si>
    <t>CAP-02; CAP-04</t>
  </si>
  <si>
    <t>MIS-MISSION-002</t>
  </si>
  <si>
    <t>Tạo mới Nhiệm vụ KHCN</t>
  </si>
  <si>
    <t>Khởi tạo Nhiệm vụ KHCN, kiểm tra dữ liệu bắt buộc và lưu nháp trước khi hoàn tất.</t>
  </si>
  <si>
    <t>MIS-MISSION-003</t>
  </si>
  <si>
    <t>Xem chi tiết Nhiệm vụ KHCN</t>
  </si>
  <si>
    <t>Hiển thị thông tin tổng quan, dữ liệu chi tiết, tài liệu liên quan và trạng thái của Nhiệm vụ KHCN.</t>
  </si>
  <si>
    <t>MIS-MISSION-004</t>
  </si>
  <si>
    <t>Chỉnh sửa Nhiệm vụ KHCN</t>
  </si>
  <si>
    <t>Cập nhật Nhiệm vụ KHCN khi trạng thái và quyền người dùng cho phép; kiểm soát xung đột cập nhật.</t>
  </si>
  <si>
    <t>MIS-MISSION-005</t>
  </si>
  <si>
    <t>Xóa/Ngừng sử dụng Nhiệm vụ KHCN</t>
  </si>
  <si>
    <t>Xóa logic hoặc ngừng sử dụng Nhiệm vụ KHCN sau khi kiểm tra ràng buộc tham chiếu.</t>
  </si>
  <si>
    <t>MIS-MISSION-006</t>
  </si>
  <si>
    <t>Xem lịch sử Nhiệm vụ KHCN</t>
  </si>
  <si>
    <t>Theo dõi phiên bản, thay đổi dữ liệu, người thực hiện và lịch sử xử lý của Nhiệm vụ KHCN.</t>
  </si>
  <si>
    <t>MIS-MISSION-007</t>
  </si>
  <si>
    <t>Vòng đời</t>
  </si>
  <si>
    <t>Quản lý trạng thái vòng đời nhiệm vụ</t>
  </si>
  <si>
    <t>Quản lý chuyển trạng thái từ đề xuất, phê duyệt, thực hiện, điều chỉnh, nghiệm thu, quyết toán đến đóng nhiệm vụ.</t>
  </si>
  <si>
    <t>Cán bộ KHCN</t>
  </si>
  <si>
    <t>RD01-RD10</t>
  </si>
  <si>
    <t>MIS-MISSION-008</t>
  </si>
  <si>
    <t>Cột mốc quản trị</t>
  </si>
  <si>
    <t>Ánh xạ mọi quy trình vào bộ cột mốc bất biến</t>
  </si>
  <si>
    <t>Mọi process version phải ánh xạ về các cột mốc KhoiTao, xét duyệt, thực hiện, nghiệm thu, quyết toán, tạm dừng, dừng và lưu trữ để báo cáo không phụ thuộc chi tiết BPMN.</t>
  </si>
  <si>
    <t>Quản trị quy trình/Cán bộ KHCN</t>
  </si>
  <si>
    <t>Bổ sung theo BRD mục 7</t>
  </si>
  <si>
    <t>MIS-MISSION-009</t>
  </si>
  <si>
    <t>Điều kiện chuyển giai đoạn</t>
  </si>
  <si>
    <t>Kiểm tra sự kiện kết thúc và điều kiện ràng buộc</t>
  </si>
  <si>
    <t>Chỉ cho khởi tạo giai đoạn kế tiếp khi cột mốc và bằng chứng bắt buộc của giai đoạn trước đã hợp lệ.</t>
  </si>
  <si>
    <t>Cán bộ KHCN/Hệ thống</t>
  </si>
  <si>
    <t>Workflow</t>
  </si>
  <si>
    <t>RD01-RD06</t>
  </si>
  <si>
    <t>Bổ sung theo CAP-02/BRD 0.9</t>
  </si>
  <si>
    <t>MIS-MISSION-010</t>
  </si>
  <si>
    <t>Hoàn thành nội dung</t>
  </si>
  <si>
    <t>Xác nhận đủ điều kiện chuyển sang nghiệm thu</t>
  </si>
  <si>
    <t>Người có thẩm quyền xác nhận nội dung đề tài hoàn thành; hệ thống chỉ gợi ý từ PLM/QLNS và không tự động làm kẹt hồ sơ khi đồng bộ lỗi.</t>
  </si>
  <si>
    <t>Cán bộ KHCN/Người có thẩm quyền</t>
  </si>
  <si>
    <t>RD03→RD05</t>
  </si>
  <si>
    <t>Cần xác nhận</t>
  </si>
  <si>
    <t>Chờ chốt B2 của BRD.</t>
  </si>
  <si>
    <t>MIS-MISSION-011</t>
  </si>
  <si>
    <t>Quan hệ hồ sơ</t>
  </si>
  <si>
    <t>Liên kết nhiệm vụ với các hồ sơ quy trình</t>
  </si>
  <si>
    <t>Tổng hợp toàn bộ dossier, process instance, quyết định, tài liệu và sản phẩm theo missionId.</t>
  </si>
  <si>
    <t>MIS-MISSION-012</t>
  </si>
  <si>
    <t>Tra cứu</t>
  </si>
  <si>
    <t>Tìm kiếm nâng cao nhiệm vụ</t>
  </si>
  <si>
    <t>Tìm theo mã, tên, lĩnh vực, cấp, đơn vị, chủ nhiệm, trạng thái, thời gian và nguồn kinh phí.</t>
  </si>
  <si>
    <t>Người dùng nghiệp vụ</t>
  </si>
  <si>
    <t>MIS-MISSION-013</t>
  </si>
  <si>
    <t>Mã hóa</t>
  </si>
  <si>
    <t>Sinh và quản lý mã nhiệm vụ</t>
  </si>
  <si>
    <t>Sinh mã theo quy tắc cấu hình, bảo đảm duy nhất và hỗ trợ mã kế thừa từ hệ thống ngoài.</t>
  </si>
  <si>
    <t>MIS-MISSION-014</t>
  </si>
  <si>
    <t>Tổng quan 360°</t>
  </si>
  <si>
    <t>Xem hồ sơ nhiệm vụ 360°</t>
  </si>
  <si>
    <t>Hiển thị thông tin, tiến độ, kinh phí, nhân sự, hồ sơ, hội đồng, sản phẩm, rủi ro và lịch sử trên một màn hình.</t>
  </si>
  <si>
    <t>Cán bộ KHCN/Lãnh đạo/Chủ nhiệm</t>
  </si>
  <si>
    <t>MIS-MISSION-015</t>
  </si>
  <si>
    <t>Phân loại</t>
  </si>
  <si>
    <t>Quản lý lĩnh vực, cấp và loại nhiệm vụ</t>
  </si>
  <si>
    <t>Áp dụng danh mục và rule theo lĩnh vực nghiên cứu, cấp quản lý, loại hình và mức độ bảo mật.</t>
  </si>
  <si>
    <t>PRP-RD01-001</t>
  </si>
  <si>
    <t>Chủ trương &amp; Xét duyệt</t>
  </si>
  <si>
    <t>Xét duyệt chủ trương</t>
  </si>
  <si>
    <t>Hồ sơ chủ trương</t>
  </si>
  <si>
    <t>Xem danh sách Hồ sơ chủ trương</t>
  </si>
  <si>
    <t>Tra cứu danh sách, phân trang, sắp xếp và lọc Hồ sơ chủ trương theo các tiêu chí nghiệp vụ.</t>
  </si>
  <si>
    <t>Người đề xuất/Cán bộ KHCN</t>
  </si>
  <si>
    <t>RD01.01/RD01.02</t>
  </si>
  <si>
    <t>CAP-04; CAP-08</t>
  </si>
  <si>
    <t>Hiệu chỉnh theo BRD 0.9</t>
  </si>
  <si>
    <t>PRP-RD01-002</t>
  </si>
  <si>
    <t>Tạo mới Hồ sơ chủ trương</t>
  </si>
  <si>
    <t>Khởi tạo Hồ sơ chủ trương, kiểm tra dữ liệu bắt buộc và lưu nháp trước khi hoàn tất.</t>
  </si>
  <si>
    <t>PRP-RD01-003</t>
  </si>
  <si>
    <t>Xem chi tiết Hồ sơ chủ trương</t>
  </si>
  <si>
    <t>Hiển thị thông tin tổng quan, dữ liệu chi tiết, tài liệu liên quan và trạng thái của Hồ sơ chủ trương.</t>
  </si>
  <si>
    <t>PRP-RD01-004</t>
  </si>
  <si>
    <t>Chỉnh sửa Hồ sơ chủ trương</t>
  </si>
  <si>
    <t>Cập nhật Hồ sơ chủ trương khi trạng thái và quyền người dùng cho phép; kiểm soát xung đột cập nhật.</t>
  </si>
  <si>
    <t>PRP-RD01-005</t>
  </si>
  <si>
    <t>Xóa/Ngừng sử dụng Hồ sơ chủ trương</t>
  </si>
  <si>
    <t>Xóa logic hoặc ngừng sử dụng Hồ sơ chủ trương sau khi kiểm tra ràng buộc tham chiếu.</t>
  </si>
  <si>
    <t>PRP-RD01-006</t>
  </si>
  <si>
    <t>Trình duyệt Hồ sơ chủ trương</t>
  </si>
  <si>
    <t>Kiểm tra điều kiện, khóa phiên bản trình và khởi tạo/tiếp tục quy trình phê duyệt Hồ sơ chủ trương.</t>
  </si>
  <si>
    <t>Người lập/Chủ nhiệm nhiệm vụ</t>
  </si>
  <si>
    <t>Tạo đúng process instance, business key và task đầu tiên; không submit trùng.</t>
  </si>
  <si>
    <t>PRP-RD01-007</t>
  </si>
  <si>
    <t>Xem lịch sử Hồ sơ chủ trương</t>
  </si>
  <si>
    <t>Theo dõi phiên bản, thay đổi dữ liệu, người thực hiện và lịch sử xử lý của Hồ sơ chủ trương.</t>
  </si>
  <si>
    <t>PRP-RD01-008</t>
  </si>
  <si>
    <t>Nội dung đề xuất</t>
  </si>
  <si>
    <t>Khai báo căn cứ, mục tiêu, phạm vi và hiệu quả dự kiến</t>
  </si>
  <si>
    <t>Ghi nhận đầy đủ cơ sở hình thành, mục tiêu, phạm vi, sản phẩm và giá trị dự kiến của chủ trương.</t>
  </si>
  <si>
    <t>Người đề xuất</t>
  </si>
  <si>
    <t>RD01</t>
  </si>
  <si>
    <t>PRP-RD01-009</t>
  </si>
  <si>
    <t>Dự kiến nguồn lực</t>
  </si>
  <si>
    <t>Khai báo kinh phí, tiến độ và nguồn lực dự kiến</t>
  </si>
  <si>
    <t>Quản lý tổng mức dự kiến, nguồn vốn, thời gian và đơn vị chủ trì/phối hợp.</t>
  </si>
  <si>
    <t>PRP-RD01-010</t>
  </si>
  <si>
    <t>Kết quả</t>
  </si>
  <si>
    <t>Lập và ban hành quyết định chủ trương</t>
  </si>
  <si>
    <t>Tạo quyết định từ mẫu, thực hiện xác nhận điện tử hoặc ký số theo phương án được chốt, ban hành và cập nhật kết quả vào nhiệm vụ.</t>
  </si>
  <si>
    <t>Cán bộ KHCN/Lãnh đạo</t>
  </si>
  <si>
    <t>Chờ chốt A2 của BRD.</t>
  </si>
  <si>
    <t>PRP-RD02-001</t>
  </si>
  <si>
    <t>Xét duyệt nhiệm vụ</t>
  </si>
  <si>
    <t>Hồ sơ xét duyệt nhiệm vụ</t>
  </si>
  <si>
    <t>Xem danh sách Hồ sơ xét duyệt nhiệm vụ</t>
  </si>
  <si>
    <t>Tra cứu danh sách, phân trang, sắp xếp và lọc Hồ sơ xét duyệt nhiệm vụ theo các tiêu chí nghiệp vụ.</t>
  </si>
  <si>
    <t>Chủ nhiệm/Cán bộ KHCN</t>
  </si>
  <si>
    <t>RD02.01/RD02.02</t>
  </si>
  <si>
    <t>PRP-RD02-002</t>
  </si>
  <si>
    <t>Tạo mới Hồ sơ xét duyệt nhiệm vụ</t>
  </si>
  <si>
    <t>Khởi tạo Hồ sơ xét duyệt nhiệm vụ, kiểm tra dữ liệu bắt buộc và lưu nháp trước khi hoàn tất.</t>
  </si>
  <si>
    <t>PRP-RD02-003</t>
  </si>
  <si>
    <t>Xem chi tiết Hồ sơ xét duyệt nhiệm vụ</t>
  </si>
  <si>
    <t>Hiển thị thông tin tổng quan, dữ liệu chi tiết, tài liệu liên quan và trạng thái của Hồ sơ xét duyệt nhiệm vụ.</t>
  </si>
  <si>
    <t>PRP-RD02-004</t>
  </si>
  <si>
    <t>Chỉnh sửa Hồ sơ xét duyệt nhiệm vụ</t>
  </si>
  <si>
    <t>Cập nhật Hồ sơ xét duyệt nhiệm vụ khi trạng thái và quyền người dùng cho phép; kiểm soát xung đột cập nhật.</t>
  </si>
  <si>
    <t>PRP-RD02-005</t>
  </si>
  <si>
    <t>Xóa/Ngừng sử dụng Hồ sơ xét duyệt nhiệm vụ</t>
  </si>
  <si>
    <t>Xóa logic hoặc ngừng sử dụng Hồ sơ xét duyệt nhiệm vụ sau khi kiểm tra ràng buộc tham chiếu.</t>
  </si>
  <si>
    <t>PRP-RD02-006</t>
  </si>
  <si>
    <t>Trình duyệt Hồ sơ xét duyệt nhiệm vụ</t>
  </si>
  <si>
    <t>Kiểm tra điều kiện, khóa phiên bản trình và khởi tạo/tiếp tục quy trình phê duyệt Hồ sơ xét duyệt nhiệm vụ.</t>
  </si>
  <si>
    <t>PRP-RD02-007</t>
  </si>
  <si>
    <t>Xem lịch sử Hồ sơ xét duyệt nhiệm vụ</t>
  </si>
  <si>
    <t>Theo dõi phiên bản, thay đổi dữ liệu, người thực hiện và lịch sử xử lý của Hồ sơ xét duyệt nhiệm vụ.</t>
  </si>
  <si>
    <t>PRP-RD02-008</t>
  </si>
  <si>
    <t>Thuyết minh</t>
  </si>
  <si>
    <t>Lập thuyết minh nhiệm vụ</t>
  </si>
  <si>
    <t>Quản lý mục tiêu, nội dung nghiên cứu, phương pháp, sản phẩm, kế hoạch và tổ chức thực hiện.</t>
  </si>
  <si>
    <t>Chủ nhiệm nhiệm vụ</t>
  </si>
  <si>
    <t>RD02</t>
  </si>
  <si>
    <t>PRP-RD02-009</t>
  </si>
  <si>
    <t>Dự toán</t>
  </si>
  <si>
    <t>Lập và thẩm định dự toán</t>
  </si>
  <si>
    <t>Khai báo khoản mục, nguồn kinh phí, năm thực hiện; kiểm tra định mức và tổng hợp thẩm định.</t>
  </si>
  <si>
    <t>Chủ nhiệm/Tài chính/Cán bộ KHCN</t>
  </si>
  <si>
    <t>PRP-RD02-010</t>
  </si>
  <si>
    <t>Thẩm định</t>
  </si>
  <si>
    <t>Phân công thẩm định và tổng hợp ý kiến</t>
  </si>
  <si>
    <t>Phân công chuyên gia/đơn vị, thu nhận ý kiến, yêu cầu bổ sung và tổng hợp kết quả.</t>
  </si>
  <si>
    <t>Cán bộ KHCN/Chuyên gia</t>
  </si>
  <si>
    <t>PRP-RD02-011</t>
  </si>
  <si>
    <t>Ban hành quyết định giao nhiệm vụ</t>
  </si>
  <si>
    <t>Sinh quyết định từ kết quả duyệt, thực hiện xác nhận điện tử hoặc ký số theo phương án được chốt, cấp mã và kích hoạt giai đoạn thực hiện.</t>
  </si>
  <si>
    <t>TSK-WORK-001</t>
  </si>
  <si>
    <t>Không gian làm việc &amp; Task</t>
  </si>
  <si>
    <t>Việc của tôi</t>
  </si>
  <si>
    <t>Danh sách công việc</t>
  </si>
  <si>
    <t>Xem danh sách việc của tôi</t>
  </si>
  <si>
    <t>Tổng hợp task Camunda và ngữ cảnh nghiệp vụ, phân nhóm chờ xử lý, đã xử lý, quá hạn và được ủy quyền.</t>
  </si>
  <si>
    <t>Tất cả người dùng nghiệp vụ</t>
  </si>
  <si>
    <t>CAP-07</t>
  </si>
  <si>
    <t>TSK-WORK-002</t>
  </si>
  <si>
    <t>Tìm kiếm, lọc và lưu chế độ xem</t>
  </si>
  <si>
    <t>Lọc theo quy trình, loại hồ sơ, đơn vị, hạn xử lý, trạng thái và mức ưu tiên; lưu bộ lọc cá nhân.</t>
  </si>
  <si>
    <t>TSK-WORK-003</t>
  </si>
  <si>
    <t>Chi tiết task</t>
  </si>
  <si>
    <t>Xem màn hình xử lý task hợp nhất</t>
  </si>
  <si>
    <t>Hiển thị nhiệm vụ, hồ sơ, tài liệu, biểu mẫu, lịch sử, SLA và action khả dụng.</t>
  </si>
  <si>
    <t>Người xử lý</t>
  </si>
  <si>
    <t>TSK-ACTION-001</t>
  </si>
  <si>
    <t>Xử lý task</t>
  </si>
  <si>
    <t>Thao tác chuẩn</t>
  </si>
  <si>
    <t>Nhận/claim task</t>
  </si>
  <si>
    <t>Nhận xử lý task đang ở nhóm ứng viên.</t>
  </si>
  <si>
    <t>Người xử lý/Người lập</t>
  </si>
  <si>
    <t>CAP-08</t>
  </si>
  <si>
    <t>TSK-ACTION-002</t>
  </si>
  <si>
    <t>Gửi duyệt hồ sơ</t>
  </si>
  <si>
    <t>Khóa phiên bản hồ sơ và chuyển vào tuyến xử lý.</t>
  </si>
  <si>
    <t>TSK-ACTION-003</t>
  </si>
  <si>
    <t>Đồng ý duyệt</t>
  </si>
  <si>
    <t>Hoàn tất task với outcome APPROVE và định tuyến bước tiếp theo.</t>
  </si>
  <si>
    <t>TSK-ACTION-004</t>
  </si>
  <si>
    <t>Yêu cầu điều chỉnh/bổ sung</t>
  </si>
  <si>
    <t>Trả hồ sơ theo nhánh RETURN, bắt buộc ghi lý do và nội dung cần bổ sung.</t>
  </si>
  <si>
    <t>TSK-ACTION-005</t>
  </si>
  <si>
    <t>Từ chối duyệt</t>
  </si>
  <si>
    <t>Hoàn tất task theo nhánh REJECT, bắt buộc lý do và xác nhận.</t>
  </si>
  <si>
    <t>TSK-ACTION-006</t>
  </si>
  <si>
    <t>Bổ sung ý kiến/thảo luận</t>
  </si>
  <si>
    <t>Trao đổi theo hồ sơ/task, hỗ trợ mention và thông báo.</t>
  </si>
  <si>
    <t>TSK-ACTION-007</t>
  </si>
  <si>
    <t>Tải lên và xem tài liệu</t>
  </si>
  <si>
    <t>Quản lý tài liệu hỗ trợ theo quyền xem/tải.</t>
  </si>
  <si>
    <t>TSK-ACTION-008</t>
  </si>
  <si>
    <t>Xuất PDF/In hồ sơ</t>
  </si>
  <si>
    <t>Kết xuất hồ sơ theo mẫu và quyền dữ liệu.</t>
  </si>
  <si>
    <t>TSK-ACTION-009</t>
  </si>
  <si>
    <t>Xem lịch sử và audit</t>
  </si>
  <si>
    <t>Theo dõi timeline xử lý, action và thay đổi dữ liệu.</t>
  </si>
  <si>
    <t>TSK-ACTION-010</t>
  </si>
  <si>
    <t>Ủy quyền/chuyển giao task</t>
  </si>
  <si>
    <t>Delegate hoặc reassign theo quyền, thời hạn và audit.</t>
  </si>
  <si>
    <t>CAP-08; CAP-13</t>
  </si>
  <si>
    <t>TSK-ACTION-011</t>
  </si>
  <si>
    <t>Gửi thay mặt</t>
  </si>
  <si>
    <t>Cho phép người có quyền tạo/trình hồ sơ thay mặt người khác với audit rõ ràng.</t>
  </si>
  <si>
    <t>TSK-PROXY-001</t>
  </si>
  <si>
    <t>Nhập liệu thay cấp Tập đoàn</t>
  </si>
  <si>
    <t>Quan hệ nhập liệu thay</t>
  </si>
  <si>
    <t>Nhập liệu thay cho CQ KHCN Tập đoàn</t>
  </si>
  <si>
    <t>Người thao tác: Chuyên quản CLKHCN; phạm vi: Nhận xét, công văn, báo cáo thẩm định. Bắt buộc lưu người quyết định thật, người nhập và văn bản gốc.</t>
  </si>
  <si>
    <t>Chuyên quản VHT</t>
  </si>
  <si>
    <t>Các luồng cấp Tập đoàn (.02)</t>
  </si>
  <si>
    <t>CAP-12</t>
  </si>
  <si>
    <t>Bổ sung theo CAP-12/BRD 0.9</t>
  </si>
  <si>
    <t>TSK-PROXY-002</t>
  </si>
  <si>
    <t>Nhập liệu thay cho Hội đồng xét duyệt Tập đoàn</t>
  </si>
  <si>
    <t>Người thao tác: Chuyên quản CLKHCN; phạm vi: Danh sách hội đồng, phiếu nhận xét, phiếu đánh giá, biên bản các phiên. Bắt buộc lưu người quyết định thật, người nhập và văn bản gốc.</t>
  </si>
  <si>
    <t>TSK-PROXY-003</t>
  </si>
  <si>
    <t>Nhập liệu thay cho Hội đồng Tập đoàn</t>
  </si>
  <si>
    <t>Người thao tác: Chuyên quản CLKHCN/TCKT/MS/NS; phạm vi: Nhận xét và kết quả phê duyệt. Bắt buộc lưu người quyết định thật, người nhập và văn bản gốc.</t>
  </si>
  <si>
    <t>TSK-PROXY-004</t>
  </si>
  <si>
    <t>Nhập liệu thay cho HĐ KHCN Tập đoàn</t>
  </si>
  <si>
    <t>Người thao tác: Chuyên quản CLKHCN/TCKT/MS/NS; phạm vi: Nhận xét, công văn, báo cáo thẩm định. Bắt buộc lưu người quyết định thật, người nhập và văn bản gốc.</t>
  </si>
  <si>
    <t>TSK-PROXY-005</t>
  </si>
  <si>
    <t>Nhập liệu thay cho Cơ quan nghiệp vụ Tập đoàn</t>
  </si>
  <si>
    <t>TSK-PROXY-006</t>
  </si>
  <si>
    <t>Nhập liệu thay cho BTGĐ Tập đoàn</t>
  </si>
  <si>
    <t>Người thao tác: Chuyên quản CLKHCN; phạm vi: Kết quả phê duyệt các quyết định. Bắt buộc lưu người quyết định thật, người nhập và văn bản gốc.</t>
  </si>
  <si>
    <t>TSK-EXC-001</t>
  </si>
  <si>
    <t>Xử lý ngoại lệ có kiểm soát</t>
  </si>
  <si>
    <t>Exception action</t>
  </si>
  <si>
    <t>Yêu cầu bỏ qua Hội đồng</t>
  </si>
  <si>
    <t>Tạo exception request, yêu cầu lý do/bằng chứng và cấp duyệt độc lập.</t>
  </si>
  <si>
    <t>Người yêu cầu/Người duyệt ngoại lệ</t>
  </si>
  <si>
    <t>CAP-14</t>
  </si>
  <si>
    <t>Could</t>
  </si>
  <si>
    <t>Pha 3</t>
  </si>
  <si>
    <t>Bổ sung theo controlled-exception-handling</t>
  </si>
  <si>
    <t>TSK-EXC-002</t>
  </si>
  <si>
    <t>Yêu cầu trình cấp cao hơn</t>
  </si>
  <si>
    <t>Xin thay đổi tuyến phê duyệt chuẩn theo exception policy.</t>
  </si>
  <si>
    <t>TSK-EXC-003</t>
  </si>
  <si>
    <t>Yêu cầu bỏ qua bước</t>
  </si>
  <si>
    <t>Xin bỏ qua bước được phép và ghi rõ bước bị bỏ qua.</t>
  </si>
  <si>
    <t>TSK-EXC-004</t>
  </si>
  <si>
    <t>Yêu cầu thêm người thẩm định</t>
  </si>
  <si>
    <t>Bổ sung reviewer ngoài tuyến chuẩn theo chính sách.</t>
  </si>
  <si>
    <t>TSK-EXC-005</t>
  </si>
  <si>
    <t>Yêu cầu thay người xử lý</t>
  </si>
  <si>
    <t>Thay approver khi vắng mặt, sai phân công hoặc đổi thẩm quyền.</t>
  </si>
  <si>
    <t>TSK-EXC-006</t>
  </si>
  <si>
    <t>Yêu cầu mở lại bước</t>
  </si>
  <si>
    <t>Mở lại bước đã hoàn tất với kiểm soát chặt và bằng chứng.</t>
  </si>
  <si>
    <t>TSK-EXC-007</t>
  </si>
  <si>
    <t>Yêu cầu hoàn tất thủ công</t>
  </si>
  <si>
    <t>Xử lý trường hợp lỗi tích hợp/Camunda, yêu cầu quyền vận hành.</t>
  </si>
  <si>
    <t>TSK-EXC-008</t>
  </si>
  <si>
    <t>Yêu cầu phê duyệt khẩn</t>
  </si>
  <si>
    <t>Áp dụng tuyến khẩn, SLA riêng và audit đầy đủ.</t>
  </si>
  <si>
    <t>DOC-DOS-001</t>
  </si>
  <si>
    <t>Hồ sơ, Tài liệu &amp; Biểu mẫu</t>
  </si>
  <si>
    <t>Quản trị hồ sơ</t>
  </si>
  <si>
    <t>Hồ sơ dùng chung</t>
  </si>
  <si>
    <t>Quản lý hồ sơ theo loại và phiên bản</t>
  </si>
  <si>
    <t>Dùng mô hình dossier chung cho RD01-RD10; lưu trạng thái, phiên bản, chủ thể và business key.</t>
  </si>
  <si>
    <t>CAP-04</t>
  </si>
  <si>
    <t>DOC-DOS-002</t>
  </si>
  <si>
    <t>Checklist thành phần hồ sơ</t>
  </si>
  <si>
    <t>Cấu hình và kiểm tra thành phần bắt buộc theo loại hồ sơ, bước và điều kiện nghiệp vụ.</t>
  </si>
  <si>
    <t>Người lập/Cán bộ KHCN</t>
  </si>
  <si>
    <t>DOC-DOS-003</t>
  </si>
  <si>
    <t>So sánh phiên bản hồ sơ</t>
  </si>
  <si>
    <t>Hiển thị khác biệt dữ liệu và tài liệu giữa các lần trình/bổ sung.</t>
  </si>
  <si>
    <t>Người xử lý/Audit</t>
  </si>
  <si>
    <t>DOC-DOS-004</t>
  </si>
  <si>
    <t>Khóa/mở khóa phiên bản trình duyệt</t>
  </si>
  <si>
    <t>Ngăn sửa dữ liệu đã trình; chỉ tạo phiên bản bổ sung theo đúng luồng.</t>
  </si>
  <si>
    <t>DOC-FORM-001</t>
  </si>
  <si>
    <t>Biểu mẫu động</t>
  </si>
  <si>
    <t>Biểu mẫu điện tử (eForm)</t>
  </si>
  <si>
    <t>Xem danh sách Biểu mẫu điện tử (eForm)</t>
  </si>
  <si>
    <t>Tra cứu danh sách, phân trang, sắp xếp và lọc Biểu mẫu điện tử (eForm) theo các tiêu chí nghiệp vụ.</t>
  </si>
  <si>
    <t>Quản trị cấu hình</t>
  </si>
  <si>
    <t>CAP-05</t>
  </si>
  <si>
    <t>DOC-FORM-002</t>
  </si>
  <si>
    <t>Tạo mới Biểu mẫu điện tử (eForm)</t>
  </si>
  <si>
    <t>Khởi tạo Biểu mẫu điện tử (eForm), kiểm tra dữ liệu bắt buộc và lưu nháp trước khi hoàn tất.</t>
  </si>
  <si>
    <t>DOC-FORM-003</t>
  </si>
  <si>
    <t>Sao chép Biểu mẫu điện tử (eForm)</t>
  </si>
  <si>
    <t>Tạo bản mới từ một Biểu mẫu điện tử (eForm) hiện hữu và loại bỏ các thông tin không được kế thừa.</t>
  </si>
  <si>
    <t>Bản sao có mã/phiên bản mới và không làm thay đổi bản nguồn.</t>
  </si>
  <si>
    <t>DOC-FORM-004</t>
  </si>
  <si>
    <t>Xem chi tiết Biểu mẫu điện tử (eForm)</t>
  </si>
  <si>
    <t>Hiển thị thông tin tổng quan, dữ liệu chi tiết, tài liệu liên quan và trạng thái của Biểu mẫu điện tử (eForm).</t>
  </si>
  <si>
    <t>DOC-FORM-005</t>
  </si>
  <si>
    <t>Chỉnh sửa Biểu mẫu điện tử (eForm)</t>
  </si>
  <si>
    <t>Cập nhật Biểu mẫu điện tử (eForm) khi trạng thái và quyền người dùng cho phép; kiểm soát xung đột cập nhật.</t>
  </si>
  <si>
    <t>DOC-FORM-006</t>
  </si>
  <si>
    <t>Xóa/Ngừng sử dụng Biểu mẫu điện tử (eForm)</t>
  </si>
  <si>
    <t>Xóa logic hoặc ngừng sử dụng Biểu mẫu điện tử (eForm) sau khi kiểm tra ràng buộc tham chiếu.</t>
  </si>
  <si>
    <t>DOC-FORM-007</t>
  </si>
  <si>
    <t>Xem lịch sử Biểu mẫu điện tử (eForm)</t>
  </si>
  <si>
    <t>Theo dõi phiên bản, thay đổi dữ liệu, người thực hiện và lịch sử xử lý của Biểu mẫu điện tử (eForm).</t>
  </si>
  <si>
    <t>DOC-FORM-008</t>
  </si>
  <si>
    <t>Thiết kế biểu mẫu</t>
  </si>
  <si>
    <t>Thiết kế section, field và layout</t>
  </si>
  <si>
    <t>Thiết kế form kéo-thả hoặc cấu hình schema với nhóm trường, cột và tab.</t>
  </si>
  <si>
    <t>Quản trị cấu hình/BA</t>
  </si>
  <si>
    <t>DOC-FORM-009</t>
  </si>
  <si>
    <t>Cấu hình kiểu dữ liệu và validation</t>
  </si>
  <si>
    <t>Khai báo text, number, date, list, table, attachment và rule validation.</t>
  </si>
  <si>
    <t>DOC-FORM-010</t>
  </si>
  <si>
    <t>Điều kiện hiển thị/readonly/bắt buộc</t>
  </si>
  <si>
    <t>Điều khiển trường theo vai trò, bước, trạng thái và business rule.</t>
  </si>
  <si>
    <t>DOC-FORM-011</t>
  </si>
  <si>
    <t>Gắn eForm vào quy trình và bước</t>
  </si>
  <si>
    <t>Version-lock form schema theo workflow version.</t>
  </si>
  <si>
    <t>DOC-FORM-012</t>
  </si>
  <si>
    <t>Xem trước và kiểm thử eForm</t>
  </si>
  <si>
    <t>Mô phỏng form với dữ liệu và ngữ cảnh quyền khác nhau.</t>
  </si>
  <si>
    <t>DOC-FORM-013</t>
  </si>
  <si>
    <t>Import/Export schema eForm</t>
  </si>
  <si>
    <t>Trao đổi schema có kiểm tra phiên bản và tính hợp lệ.</t>
  </si>
  <si>
    <t>DOC-TPL-001</t>
  </si>
  <si>
    <t>Mẫu văn bản</t>
  </si>
  <si>
    <t>Mẫu tài liệu Word/PDF</t>
  </si>
  <si>
    <t>Xem danh sách Mẫu tài liệu Word/PDF</t>
  </si>
  <si>
    <t>Tra cứu danh sách, phân trang, sắp xếp và lọc Mẫu tài liệu Word/PDF theo các tiêu chí nghiệp vụ.</t>
  </si>
  <si>
    <t>CAP-06</t>
  </si>
  <si>
    <t>Bổ sung theo EPIC08</t>
  </si>
  <si>
    <t>DOC-TPL-002</t>
  </si>
  <si>
    <t>Tạo mới Mẫu tài liệu Word/PDF</t>
  </si>
  <si>
    <t>Khởi tạo Mẫu tài liệu Word/PDF, kiểm tra dữ liệu bắt buộc và lưu nháp trước khi hoàn tất.</t>
  </si>
  <si>
    <t>DOC-TPL-003</t>
  </si>
  <si>
    <t>Sao chép Mẫu tài liệu Word/PDF</t>
  </si>
  <si>
    <t>Tạo bản mới từ một Mẫu tài liệu Word/PDF hiện hữu và loại bỏ các thông tin không được kế thừa.</t>
  </si>
  <si>
    <t>DOC-TPL-004</t>
  </si>
  <si>
    <t>Xem chi tiết Mẫu tài liệu Word/PDF</t>
  </si>
  <si>
    <t>Hiển thị thông tin tổng quan, dữ liệu chi tiết, tài liệu liên quan và trạng thái của Mẫu tài liệu Word/PDF.</t>
  </si>
  <si>
    <t>DOC-TPL-005</t>
  </si>
  <si>
    <t>Chỉnh sửa Mẫu tài liệu Word/PDF</t>
  </si>
  <si>
    <t>Cập nhật Mẫu tài liệu Word/PDF khi trạng thái và quyền người dùng cho phép; kiểm soát xung đột cập nhật.</t>
  </si>
  <si>
    <t>DOC-TPL-006</t>
  </si>
  <si>
    <t>Xóa/Ngừng sử dụng Mẫu tài liệu Word/PDF</t>
  </si>
  <si>
    <t>Xóa logic hoặc ngừng sử dụng Mẫu tài liệu Word/PDF sau khi kiểm tra ràng buộc tham chiếu.</t>
  </si>
  <si>
    <t>DOC-TPL-007</t>
  </si>
  <si>
    <t>Xem lịch sử Mẫu tài liệu Word/PDF</t>
  </si>
  <si>
    <t>Theo dõi phiên bản, thay đổi dữ liệu, người thực hiện và lịch sử xử lý của Mẫu tài liệu Word/PDF.</t>
  </si>
  <si>
    <t>DOC-TPL-008</t>
  </si>
  <si>
    <t>Merge field</t>
  </si>
  <si>
    <t>Quản lý biến trộn dữ liệu</t>
  </si>
  <si>
    <t>Khai báo và kiểm tra biến như mã nhiệm vụ, chủ nhiệm, kinh phí, kết quả duyệt.</t>
  </si>
  <si>
    <t>DOC-TPL-009</t>
  </si>
  <si>
    <t>Sinh tài liệu</t>
  </si>
  <si>
    <t>Sinh Word/PDF từ mẫu</t>
  </si>
  <si>
    <t>Trộn dữ liệu đúng phiên bản, lưu file sinh ra và liên kết với hồ sơ.</t>
  </si>
  <si>
    <t>DOC-FILE-001</t>
  </si>
  <si>
    <t>Quản lý tệp</t>
  </si>
  <si>
    <t>Tài liệu đính kèm</t>
  </si>
  <si>
    <t>Tải lên, tải xuống và xem trước tài liệu</t>
  </si>
  <si>
    <t>Lưu file ở object storage/DMS, metadata trong Core System; kiểm soát loại, dung lượng và virus.</t>
  </si>
  <si>
    <t>DOC-FILE-002</t>
  </si>
  <si>
    <t>Phiên bản hóa tài liệu</t>
  </si>
  <si>
    <t>Lưu nhiều phiên bản, người tải lên, checksum và trạng thái tài liệu.</t>
  </si>
  <si>
    <t>DOC-FILE-003</t>
  </si>
  <si>
    <t>Bảo mật tài liệu</t>
  </si>
  <si>
    <t>Phân quyền tài liệu và hồ sơ mật</t>
  </si>
  <si>
    <t>Kiểm soát quyền xem/tải/in theo vai trò, nhiệm vụ, mức mật và watermark.</t>
  </si>
  <si>
    <t>Quản trị/Người dùng nghiệp vụ</t>
  </si>
  <si>
    <t>DOC-FILE-004</t>
  </si>
  <si>
    <t>Ký số</t>
  </si>
  <si>
    <t>Ký số và kiểm tra chữ ký</t>
  </si>
  <si>
    <t>Tích hợp dịch vụ ký số, lưu chứng thư, thời gian ký và trạng thái kiểm tra.</t>
  </si>
  <si>
    <t>Lãnh đạo/Cán bộ KHCN</t>
  </si>
  <si>
    <t>Bổ sung theo kiến trúc</t>
  </si>
  <si>
    <t>COU-COUNCIL-001</t>
  </si>
  <si>
    <t>Hội đồng &amp; Thẩm định</t>
  </si>
  <si>
    <t>Quản lý hội đồng</t>
  </si>
  <si>
    <t>Hội đồng KHCN</t>
  </si>
  <si>
    <t>Xem danh sách Hội đồng KHCN</t>
  </si>
  <si>
    <t>Tra cứu danh sách, phân trang, sắp xếp và lọc Hội đồng KHCN theo các tiêu chí nghiệp vụ.</t>
  </si>
  <si>
    <t>Cán bộ KHCN/Thư ký</t>
  </si>
  <si>
    <t>RD01,RD02,RD04,RD05</t>
  </si>
  <si>
    <t>CAP-10</t>
  </si>
  <si>
    <t>COU-COUNCIL-002</t>
  </si>
  <si>
    <t>Tạo mới Hội đồng KHCN</t>
  </si>
  <si>
    <t>Khởi tạo Hội đồng KHCN, kiểm tra dữ liệu bắt buộc và lưu nháp trước khi hoàn tất.</t>
  </si>
  <si>
    <t>COU-COUNCIL-003</t>
  </si>
  <si>
    <t>Xem chi tiết Hội đồng KHCN</t>
  </si>
  <si>
    <t>Hiển thị thông tin tổng quan, dữ liệu chi tiết, tài liệu liên quan và trạng thái của Hội đồng KHCN.</t>
  </si>
  <si>
    <t>COU-COUNCIL-004</t>
  </si>
  <si>
    <t>Chỉnh sửa Hội đồng KHCN</t>
  </si>
  <si>
    <t>Cập nhật Hội đồng KHCN khi trạng thái và quyền người dùng cho phép; kiểm soát xung đột cập nhật.</t>
  </si>
  <si>
    <t>COU-COUNCIL-005</t>
  </si>
  <si>
    <t>Xóa/Ngừng sử dụng Hội đồng KHCN</t>
  </si>
  <si>
    <t>Xóa logic hoặc ngừng sử dụng Hội đồng KHCN sau khi kiểm tra ràng buộc tham chiếu.</t>
  </si>
  <si>
    <t>COU-COUNCIL-006</t>
  </si>
  <si>
    <t>Xem lịch sử Hội đồng KHCN</t>
  </si>
  <si>
    <t>Theo dõi phiên bản, thay đổi dữ liệu, người thực hiện và lịch sử xử lý của Hội đồng KHCN.</t>
  </si>
  <si>
    <t>COU-COUNCIL-007</t>
  </si>
  <si>
    <t>Loại hội đồng</t>
  </si>
  <si>
    <t>Quản lý HĐ KHCN Tổng Công ty theo lĩnh vực/giai đoạn</t>
  </si>
  <si>
    <t>Sinh danh sách tự động hoặc thủ công theo Quyết định thành lập; quản lý hiệu lực và lịch sử thay đổi.</t>
  </si>
  <si>
    <t>Bổ sung theo CAP-10/BRD 0.9</t>
  </si>
  <si>
    <t>COU-COUNCIL-008</t>
  </si>
  <si>
    <t>Quản lý HĐ xét duyệt cấp Cơ sở theo nhiệm vụ</t>
  </si>
  <si>
    <t>COU-COUNCIL-009</t>
  </si>
  <si>
    <t>Quản lý HĐ đánh giá cấp Cơ sở theo nhiệm vụ</t>
  </si>
  <si>
    <t>CAP-10; CAP-09</t>
  </si>
  <si>
    <t>COU-COUNCIL-010</t>
  </si>
  <si>
    <t>Quản lý HĐ nghiệm thu theo nhiệm vụ</t>
  </si>
  <si>
    <t>COU-COUNCIL-011</t>
  </si>
  <si>
    <t>Quản lý HĐ KHCN Tập đoàn do hệ thống cập nhật</t>
  </si>
  <si>
    <t>COU-COUNCIL-012</t>
  </si>
  <si>
    <t>Thành viên</t>
  </si>
  <si>
    <t>Quản lý thành viên, vai trò và xung đột lợi ích</t>
  </si>
  <si>
    <t>Gán chủ tịch, thư ký, phản biện, ủy viên; kiểm tra điều kiện và xung đột lợi ích.</t>
  </si>
  <si>
    <t>COU-COUNCIL-013</t>
  </si>
  <si>
    <t>Lịch họp</t>
  </si>
  <si>
    <t>Lập lịch và mời họp hội đồng</t>
  </si>
  <si>
    <t>Quản lý thời gian, địa điểm/online, tài liệu, RSVP và thông báo thay đổi.</t>
  </si>
  <si>
    <t>Thư ký/Thành viên hội đồng</t>
  </si>
  <si>
    <t>COU-APPRAISAL-001</t>
  </si>
  <si>
    <t>Đánh giá &amp; thẩm định</t>
  </si>
  <si>
    <t>Phiếu đánh giá</t>
  </si>
  <si>
    <t>Cấu hình và nhập phiếu đánh giá</t>
  </si>
  <si>
    <t>Phiếu theo loại hội đồng, tiêu chí, trọng số, nhận xét và kết luận.</t>
  </si>
  <si>
    <t>Chuyên gia/Thành viên hội đồng</t>
  </si>
  <si>
    <t>RD02,RD05</t>
  </si>
  <si>
    <t>CAP-09</t>
  </si>
  <si>
    <t>COU-APPRAISAL-002</t>
  </si>
  <si>
    <t>Phiếu nhận xét</t>
  </si>
  <si>
    <t>Lập và ký Phiếu nhận xét (PNX)</t>
  </si>
  <si>
    <t>Nhập nhận xét theo biểu mẫu chuẩn, gắn người nhận xét, phiên họp, hồ sơ và bằng chứng; không thay bằng bình luận tự do.</t>
  </si>
  <si>
    <t>Chuyên gia/Cơ quan nghiệp vụ</t>
  </si>
  <si>
    <t>Bổ sung theo CAP-09/BRD 0.9</t>
  </si>
  <si>
    <t>COU-APPRAISAL-003</t>
  </si>
  <si>
    <t>Lập và ký Phiếu đánh giá (PĐG)</t>
  </si>
  <si>
    <t>Chấm theo tiêu chí/trọng số của biểu mẫu chuẩn, lưu kết quả và bằng chứng thẩm định.</t>
  </si>
  <si>
    <t>Thành viên hội đồng</t>
  </si>
  <si>
    <t>COU-APPRAISAL-004</t>
  </si>
  <si>
    <t>Phiên họp</t>
  </si>
  <si>
    <t>Quản lý nhiều phiên họp cho một nhiệm vụ</t>
  </si>
  <si>
    <t>Mỗi phiên có danh sách tham dự, PNX/PĐG, kết luận và biên bản riêng; theo dõi quan hệ giữa các phiên.</t>
  </si>
  <si>
    <t>Thư ký/Hội đồng</t>
  </si>
  <si>
    <t>CAP-11</t>
  </si>
  <si>
    <t>Bổ sung theo CAP-11/BRD 0.9</t>
  </si>
  <si>
    <t>COU-APPRAISAL-005</t>
  </si>
  <si>
    <t>Kiểm tra tính hợp lệ của phiên họp</t>
  </si>
  <si>
    <t>Kiểm tra quorum và quy tắc kết luận trước khi khóa biên bản.</t>
  </si>
  <si>
    <t>Thư ký/Chủ tịch hội đồng</t>
  </si>
  <si>
    <t>Chờ chốt câu hỏi B4 của BRD.</t>
  </si>
  <si>
    <t>COU-APPRAISAL-006</t>
  </si>
  <si>
    <t>Tổng hợp</t>
  </si>
  <si>
    <t>Tổng hợp kết quả chấm và ý kiến</t>
  </si>
  <si>
    <t>Tổng hợp điểm, ý kiến khác biệt, quorum và đề xuất kết luận.</t>
  </si>
  <si>
    <t>Thư ký/Cán bộ KHCN</t>
  </si>
  <si>
    <t>COU-APPRAISAL-007</t>
  </si>
  <si>
    <t>Biên bản</t>
  </si>
  <si>
    <t>Lập và ban hành biên bản hội đồng</t>
  </si>
  <si>
    <t>Sinh biên bản từ mẫu, thu chữ ký/xác nhận theo phương án được chốt và gắn vào hồ sơ.</t>
  </si>
  <si>
    <t>COU-APPRAISAL-008</t>
  </si>
  <si>
    <t>Chuyên gia</t>
  </si>
  <si>
    <t>Quản lý kho chuyên gia</t>
  </si>
  <si>
    <t>Quản lý chuyên môn, đơn vị, kinh nghiệm, tình trạng và lịch sử tham gia.</t>
  </si>
  <si>
    <t>N/A</t>
  </si>
  <si>
    <t>EXE-PLAN-001</t>
  </si>
  <si>
    <t>Thực hiện Nhiệm vụ</t>
  </si>
  <si>
    <t>Kế hoạch &amp; tiến độ</t>
  </si>
  <si>
    <t>Kế hoạch thực hiện</t>
  </si>
  <si>
    <t>Đọc cấu trúc công việc và mốc tiến độ từ PLM</t>
  </si>
  <si>
    <t>Đồng bộ work package, milestone, deliverable, thời hạn và người phụ trách; PLM là hệ thống chủ dữ liệu.</t>
  </si>
  <si>
    <t>RD03.05</t>
  </si>
  <si>
    <t>CAP-16; CAP-15</t>
  </si>
  <si>
    <t>Hiệu chỉnh theo CAP-16/BRD 0.9</t>
  </si>
  <si>
    <t>EXE-PLAN-002</t>
  </si>
  <si>
    <t>Theo dõi tiến độ</t>
  </si>
  <si>
    <t>Hiển thị phần trăm hoàn thành và bằng chứng từ PLM</t>
  </si>
  <si>
    <t>Hiển thị dữ liệu đồng bộ, độ trễ và trạng thái đồng bộ; không cho PM QLKHCN ghi đè dữ liệu nguồn.</t>
  </si>
  <si>
    <t>EXE-PLAN-003</t>
  </si>
  <si>
    <t>Cảnh báo</t>
  </si>
  <si>
    <t>Cảnh báo chậm tiến độ và milestone</t>
  </si>
  <si>
    <t>So sánh kế hoạch/thực tế, phát hiện quá hạn và tạo cảnh báo/escalation.</t>
  </si>
  <si>
    <t>Chủ nhiệm/Cán bộ KHCN/Lãnh đạo</t>
  </si>
  <si>
    <t>Báo cáo</t>
  </si>
  <si>
    <t>RD03</t>
  </si>
  <si>
    <t>CAP-16</t>
  </si>
  <si>
    <t>EXE-HR-001</t>
  </si>
  <si>
    <t>Nhân sự đề tài</t>
  </si>
  <si>
    <t>Hiển thị nhân sự và trạng thái công việc từ QLNS</t>
  </si>
  <si>
    <t>Đồng bộ vai trò, thời gian tham gia, phân bổ và trạng thái công việc; QLNS là hệ thống chủ dữ liệu.</t>
  </si>
  <si>
    <t>RD03.01</t>
  </si>
  <si>
    <t>EXE-HR-002</t>
  </si>
  <si>
    <t>Chi phí nhân sự</t>
  </si>
  <si>
    <t>Theo dõi công sức và chi phí nhân sự</t>
  </si>
  <si>
    <t>Ghi nhận workload/timesheet khi áp dụng, đơn giá và chi phí theo nguồn.</t>
  </si>
  <si>
    <t>Chủ nhiệm/Tài chính</t>
  </si>
  <si>
    <t>EXE-BUD-001</t>
  </si>
  <si>
    <t>Kinh phí thực hiện</t>
  </si>
  <si>
    <t>Ngân sách</t>
  </si>
  <si>
    <t>Hiển thị ngân sách và chi phí từ SAP</t>
  </si>
  <si>
    <t>Đọc dự toán được duyệt, đã chi và còn lại; SAP là hệ thống chủ dữ liệu, PM QLKHCN chỉ hiển thị và cảnh báo.</t>
  </si>
  <si>
    <t>RD03.03</t>
  </si>
  <si>
    <t>EXE-BUD-002</t>
  </si>
  <si>
    <t>Giải ngân</t>
  </si>
  <si>
    <t>Theo dõi giải ngân và chi phí thực tế</t>
  </si>
  <si>
    <t>Nhận dữ liệu từ SAP hoặc nhập có kiểm soát; đối chiếu kế hoạch, cam kết và thực chi.</t>
  </si>
  <si>
    <t>Tài chính/Chủ nhiệm</t>
  </si>
  <si>
    <t>EXE-PROC-001</t>
  </si>
  <si>
    <t>Mua sắm</t>
  </si>
  <si>
    <t>Nhu cầu mua sắm</t>
  </si>
  <si>
    <t>Hiển thị tờ trình, gói thầu và hợp đồng từ hệ thống MS</t>
  </si>
  <si>
    <t>Liên kết dữ liệu mua sắm với nhiệm vụ; hệ thống MS là nguồn sự thật, PM QLKHCN chỉ đọc và cảnh báo.</t>
  </si>
  <si>
    <t>Chủ nhiệm/Mua sắm</t>
  </si>
  <si>
    <t>RD03.02</t>
  </si>
  <si>
    <t>EXE-ASSET-001</t>
  </si>
  <si>
    <t>Tài sản/Vật tư</t>
  </si>
  <si>
    <t>Tài sản hình thành</t>
  </si>
  <si>
    <t>Hiển thị VTLK, CCDC và TSCĐ từ QLTS</t>
  </si>
  <si>
    <t>Đồng bộ tài sản hình thành và trạng thái bàn giao; QLTS là nguồn sự thật.</t>
  </si>
  <si>
    <t>Chủ nhiệm/Quản lý tài sản</t>
  </si>
  <si>
    <t>RD03.04</t>
  </si>
  <si>
    <t>EXE-REPORT-001</t>
  </si>
  <si>
    <t>Báo cáo thực hiện</t>
  </si>
  <si>
    <t>Báo cáo định kỳ/đột xuất</t>
  </si>
  <si>
    <t>Xem danh sách Báo cáo định kỳ/đột xuất</t>
  </si>
  <si>
    <t>Tra cứu danh sách, phân trang, sắp xếp và lọc Báo cáo định kỳ/đột xuất theo các tiêu chí nghiệp vụ.</t>
  </si>
  <si>
    <t>RD03.06</t>
  </si>
  <si>
    <t>CAP-16; CAP-18</t>
  </si>
  <si>
    <t>EXE-REPORT-002</t>
  </si>
  <si>
    <t>Tạo mới Báo cáo định kỳ/đột xuất</t>
  </si>
  <si>
    <t>Khởi tạo Báo cáo định kỳ/đột xuất, kiểm tra dữ liệu bắt buộc và lưu nháp trước khi hoàn tất.</t>
  </si>
  <si>
    <t>EXE-REPORT-003</t>
  </si>
  <si>
    <t>Xem chi tiết Báo cáo định kỳ/đột xuất</t>
  </si>
  <si>
    <t>Hiển thị thông tin tổng quan, dữ liệu chi tiết, tài liệu liên quan và trạng thái của Báo cáo định kỳ/đột xuất.</t>
  </si>
  <si>
    <t>EXE-REPORT-004</t>
  </si>
  <si>
    <t>Chỉnh sửa Báo cáo định kỳ/đột xuất</t>
  </si>
  <si>
    <t>Cập nhật Báo cáo định kỳ/đột xuất khi trạng thái và quyền người dùng cho phép; kiểm soát xung đột cập nhật.</t>
  </si>
  <si>
    <t>EXE-REPORT-005</t>
  </si>
  <si>
    <t>Xóa/Ngừng sử dụng Báo cáo định kỳ/đột xuất</t>
  </si>
  <si>
    <t>Xóa logic hoặc ngừng sử dụng Báo cáo định kỳ/đột xuất sau khi kiểm tra ràng buộc tham chiếu.</t>
  </si>
  <si>
    <t>EXE-REPORT-006</t>
  </si>
  <si>
    <t>Trình duyệt Báo cáo định kỳ/đột xuất</t>
  </si>
  <si>
    <t>Kiểm tra điều kiện, khóa phiên bản trình và khởi tạo/tiếp tục quy trình phê duyệt Báo cáo định kỳ/đột xuất.</t>
  </si>
  <si>
    <t>EXE-REPORT-007</t>
  </si>
  <si>
    <t>Xem lịch sử Báo cáo định kỳ/đột xuất</t>
  </si>
  <si>
    <t>Theo dõi phiên bản, thay đổi dữ liệu, người thực hiện và lịch sử xử lý của Báo cáo định kỳ/đột xuất.</t>
  </si>
  <si>
    <t>EXE-REPORT-008</t>
  </si>
  <si>
    <t>Tổng hợp tiến độ, kinh phí, sản phẩm và rủi ro</t>
  </si>
  <si>
    <t>Tạo báo cáo kỳ từ dữ liệu thực hiện và cho phép giải trình sai lệch. Nguồn dữ liệu Pha 1 cần chốt theo câu hỏi A3 của BRD.</t>
  </si>
  <si>
    <t>ADJ-RD04-001</t>
  </si>
  <si>
    <t>Điều chỉnh, Tạm dừng &amp; Dừng</t>
  </si>
  <si>
    <t>Điều chỉnh nhiệm vụ</t>
  </si>
  <si>
    <t>Hồ sơ đổi chủ nhiệm cấp Cơ sở</t>
  </si>
  <si>
    <t>Xem danh sách Hồ sơ đổi chủ nhiệm cấp Cơ sở</t>
  </si>
  <si>
    <t>Tra cứu danh sách, phân trang, sắp xếp và lọc Hồ sơ đổi chủ nhiệm cấp Cơ sở theo các tiêu chí nghiệp vụ.</t>
  </si>
  <si>
    <t>RD04.01</t>
  </si>
  <si>
    <t>ADJ-RD04-002</t>
  </si>
  <si>
    <t>Tạo mới Hồ sơ đổi chủ nhiệm cấp Cơ sở</t>
  </si>
  <si>
    <t>Khởi tạo Hồ sơ đổi chủ nhiệm cấp Cơ sở, kiểm tra dữ liệu bắt buộc và lưu nháp trước khi hoàn tất.</t>
  </si>
  <si>
    <t>ADJ-RD04-003</t>
  </si>
  <si>
    <t>Xem chi tiết Hồ sơ đổi chủ nhiệm cấp Cơ sở</t>
  </si>
  <si>
    <t>Hiển thị thông tin tổng quan, dữ liệu chi tiết, tài liệu liên quan và trạng thái của Hồ sơ đổi chủ nhiệm cấp Cơ sở.</t>
  </si>
  <si>
    <t>ADJ-RD04-004</t>
  </si>
  <si>
    <t>Chỉnh sửa Hồ sơ đổi chủ nhiệm cấp Cơ sở</t>
  </si>
  <si>
    <t>Cập nhật Hồ sơ đổi chủ nhiệm cấp Cơ sở khi trạng thái và quyền người dùng cho phép; kiểm soát xung đột cập nhật.</t>
  </si>
  <si>
    <t>ADJ-RD04-005</t>
  </si>
  <si>
    <t>Xóa/Ngừng sử dụng Hồ sơ đổi chủ nhiệm cấp Cơ sở</t>
  </si>
  <si>
    <t>Xóa logic hoặc ngừng sử dụng Hồ sơ đổi chủ nhiệm cấp Cơ sở sau khi kiểm tra ràng buộc tham chiếu.</t>
  </si>
  <si>
    <t>ADJ-RD04-006</t>
  </si>
  <si>
    <t>Trình duyệt Hồ sơ đổi chủ nhiệm cấp Cơ sở</t>
  </si>
  <si>
    <t>Kiểm tra điều kiện, khóa phiên bản trình và khởi tạo/tiếp tục quy trình phê duyệt Hồ sơ đổi chủ nhiệm cấp Cơ sở.</t>
  </si>
  <si>
    <t>ADJ-RD04-007</t>
  </si>
  <si>
    <t>Xem lịch sử Hồ sơ đổi chủ nhiệm cấp Cơ sở</t>
  </si>
  <si>
    <t>Theo dõi phiên bản, thay đổi dữ liệu, người thực hiện và lịch sử xử lý của Hồ sơ đổi chủ nhiệm cấp Cơ sở.</t>
  </si>
  <si>
    <t>ADJ-RD04-008</t>
  </si>
  <si>
    <t>Hồ sơ điều chỉnh nội dung/dự toán không tăng tổng cấp Cơ sở</t>
  </si>
  <si>
    <t>Xem danh sách Hồ sơ điều chỉnh nội dung/dự toán không tăng tổng cấp Cơ sở</t>
  </si>
  <si>
    <t>Tra cứu danh sách, phân trang, sắp xếp và lọc Hồ sơ điều chỉnh nội dung/dự toán không tăng tổng cấp Cơ sở theo các tiêu chí nghiệp vụ.</t>
  </si>
  <si>
    <t>RD04.02</t>
  </si>
  <si>
    <t>ADJ-RD04-009</t>
  </si>
  <si>
    <t>Tạo mới Hồ sơ điều chỉnh nội dung/dự toán không tăng tổng cấp Cơ sở</t>
  </si>
  <si>
    <t>Khởi tạo Hồ sơ điều chỉnh nội dung/dự toán không tăng tổng cấp Cơ sở, kiểm tra dữ liệu bắt buộc và lưu nháp trước khi hoàn tất.</t>
  </si>
  <si>
    <t>ADJ-RD04-010</t>
  </si>
  <si>
    <t>Xem chi tiết Hồ sơ điều chỉnh nội dung/dự toán không tăng tổng cấp Cơ sở</t>
  </si>
  <si>
    <t>Hiển thị thông tin tổng quan, dữ liệu chi tiết, tài liệu liên quan và trạng thái của Hồ sơ điều chỉnh nội dung/dự toán không tăng tổng cấp Cơ sở.</t>
  </si>
  <si>
    <t>ADJ-RD04-011</t>
  </si>
  <si>
    <t>Chỉnh sửa Hồ sơ điều chỉnh nội dung/dự toán không tăng tổng cấp Cơ sở</t>
  </si>
  <si>
    <t>Cập nhật Hồ sơ điều chỉnh nội dung/dự toán không tăng tổng cấp Cơ sở khi trạng thái và quyền người dùng cho phép; kiểm soát xung đột cập nhật.</t>
  </si>
  <si>
    <t>ADJ-RD04-012</t>
  </si>
  <si>
    <t>Xóa/Ngừng sử dụng Hồ sơ điều chỉnh nội dung/dự toán không tăng tổng cấp Cơ sở</t>
  </si>
  <si>
    <t>Xóa logic hoặc ngừng sử dụng Hồ sơ điều chỉnh nội dung/dự toán không tăng tổng cấp Cơ sở sau khi kiểm tra ràng buộc tham chiếu.</t>
  </si>
  <si>
    <t>ADJ-RD04-013</t>
  </si>
  <si>
    <t>Trình duyệt Hồ sơ điều chỉnh nội dung/dự toán không tăng tổng cấp Cơ sở</t>
  </si>
  <si>
    <t>Kiểm tra điều kiện, khóa phiên bản trình và khởi tạo/tiếp tục quy trình phê duyệt Hồ sơ điều chỉnh nội dung/dự toán không tăng tổng cấp Cơ sở.</t>
  </si>
  <si>
    <t>ADJ-RD04-014</t>
  </si>
  <si>
    <t>Xem lịch sử Hồ sơ điều chỉnh nội dung/dự toán không tăng tổng cấp Cơ sở</t>
  </si>
  <si>
    <t>Theo dõi phiên bản, thay đổi dữ liệu, người thực hiện và lịch sử xử lý của Hồ sơ điều chỉnh nội dung/dự toán không tăng tổng cấp Cơ sở.</t>
  </si>
  <si>
    <t>ADJ-RD04-015</t>
  </si>
  <si>
    <t>Hồ sơ điều chỉnh mục tiêu/tăng dự toán không vượt chủ trương cấp Cơ sở</t>
  </si>
  <si>
    <t>Xem danh sách Hồ sơ điều chỉnh mục tiêu/tăng dự toán không vượt chủ trương cấp Cơ sở</t>
  </si>
  <si>
    <t>Tra cứu danh sách, phân trang, sắp xếp và lọc Hồ sơ điều chỉnh mục tiêu/tăng dự toán không vượt chủ trương cấp Cơ sở theo các tiêu chí nghiệp vụ.</t>
  </si>
  <si>
    <t>RD04.03</t>
  </si>
  <si>
    <t>ADJ-RD04-016</t>
  </si>
  <si>
    <t>Tạo mới Hồ sơ điều chỉnh mục tiêu/tăng dự toán không vượt chủ trương cấp Cơ sở</t>
  </si>
  <si>
    <t>Khởi tạo Hồ sơ điều chỉnh mục tiêu/tăng dự toán không vượt chủ trương cấp Cơ sở, kiểm tra dữ liệu bắt buộc và lưu nháp trước khi hoàn tất.</t>
  </si>
  <si>
    <t>ADJ-RD04-017</t>
  </si>
  <si>
    <t>Xem chi tiết Hồ sơ điều chỉnh mục tiêu/tăng dự toán không vượt chủ trương cấp Cơ sở</t>
  </si>
  <si>
    <t>Hiển thị thông tin tổng quan, dữ liệu chi tiết, tài liệu liên quan và trạng thái của Hồ sơ điều chỉnh mục tiêu/tăng dự toán không vượt chủ trương cấp Cơ sở.</t>
  </si>
  <si>
    <t>ADJ-RD04-018</t>
  </si>
  <si>
    <t>Chỉnh sửa Hồ sơ điều chỉnh mục tiêu/tăng dự toán không vượt chủ trương cấp Cơ sở</t>
  </si>
  <si>
    <t>Cập nhật Hồ sơ điều chỉnh mục tiêu/tăng dự toán không vượt chủ trương cấp Cơ sở khi trạng thái và quyền người dùng cho phép; kiểm soát xung đột cập nhật.</t>
  </si>
  <si>
    <t>ADJ-RD04-019</t>
  </si>
  <si>
    <t>Xóa/Ngừng sử dụng Hồ sơ điều chỉnh mục tiêu/tăng dự toán không vượt chủ trương cấp Cơ sở</t>
  </si>
  <si>
    <t>Xóa logic hoặc ngừng sử dụng Hồ sơ điều chỉnh mục tiêu/tăng dự toán không vượt chủ trương cấp Cơ sở sau khi kiểm tra ràng buộc tham chiếu.</t>
  </si>
  <si>
    <t>ADJ-RD04-020</t>
  </si>
  <si>
    <t>Trình duyệt Hồ sơ điều chỉnh mục tiêu/tăng dự toán không vượt chủ trương cấp Cơ sở</t>
  </si>
  <si>
    <t>Kiểm tra điều kiện, khóa phiên bản trình và khởi tạo/tiếp tục quy trình phê duyệt Hồ sơ điều chỉnh mục tiêu/tăng dự toán không vượt chủ trương cấp Cơ sở.</t>
  </si>
  <si>
    <t>ADJ-RD04-021</t>
  </si>
  <si>
    <t>Xem lịch sử Hồ sơ điều chỉnh mục tiêu/tăng dự toán không vượt chủ trương cấp Cơ sở</t>
  </si>
  <si>
    <t>Theo dõi phiên bản, thay đổi dữ liệu, người thực hiện và lịch sử xử lý của Hồ sơ điều chỉnh mục tiêu/tăng dự toán không vượt chủ trương cấp Cơ sở.</t>
  </si>
  <si>
    <t>ADJ-RD04-022</t>
  </si>
  <si>
    <t>Hồ sơ tạm dừng nhiệm vụ cấp Cơ sở</t>
  </si>
  <si>
    <t>Xem danh sách Hồ sơ tạm dừng nhiệm vụ cấp Cơ sở</t>
  </si>
  <si>
    <t>Tra cứu danh sách, phân trang, sắp xếp và lọc Hồ sơ tạm dừng nhiệm vụ cấp Cơ sở theo các tiêu chí nghiệp vụ.</t>
  </si>
  <si>
    <t>RD04.04</t>
  </si>
  <si>
    <t>ADJ-RD04-023</t>
  </si>
  <si>
    <t>Tạo mới Hồ sơ tạm dừng nhiệm vụ cấp Cơ sở</t>
  </si>
  <si>
    <t>Khởi tạo Hồ sơ tạm dừng nhiệm vụ cấp Cơ sở, kiểm tra dữ liệu bắt buộc và lưu nháp trước khi hoàn tất.</t>
  </si>
  <si>
    <t>ADJ-RD04-024</t>
  </si>
  <si>
    <t>Xem chi tiết Hồ sơ tạm dừng nhiệm vụ cấp Cơ sở</t>
  </si>
  <si>
    <t>Hiển thị thông tin tổng quan, dữ liệu chi tiết, tài liệu liên quan và trạng thái của Hồ sơ tạm dừng nhiệm vụ cấp Cơ sở.</t>
  </si>
  <si>
    <t>ADJ-RD04-025</t>
  </si>
  <si>
    <t>Chỉnh sửa Hồ sơ tạm dừng nhiệm vụ cấp Cơ sở</t>
  </si>
  <si>
    <t>Cập nhật Hồ sơ tạm dừng nhiệm vụ cấp Cơ sở khi trạng thái và quyền người dùng cho phép; kiểm soát xung đột cập nhật.</t>
  </si>
  <si>
    <t>ADJ-RD04-026</t>
  </si>
  <si>
    <t>Xóa/Ngừng sử dụng Hồ sơ tạm dừng nhiệm vụ cấp Cơ sở</t>
  </si>
  <si>
    <t>Xóa logic hoặc ngừng sử dụng Hồ sơ tạm dừng nhiệm vụ cấp Cơ sở sau khi kiểm tra ràng buộc tham chiếu.</t>
  </si>
  <si>
    <t>ADJ-RD04-027</t>
  </si>
  <si>
    <t>Trình duyệt Hồ sơ tạm dừng nhiệm vụ cấp Cơ sở</t>
  </si>
  <si>
    <t>Kiểm tra điều kiện, khóa phiên bản trình và khởi tạo/tiếp tục quy trình phê duyệt Hồ sơ tạm dừng nhiệm vụ cấp Cơ sở.</t>
  </si>
  <si>
    <t>ADJ-RD04-028</t>
  </si>
  <si>
    <t>Xem lịch sử Hồ sơ tạm dừng nhiệm vụ cấp Cơ sở</t>
  </si>
  <si>
    <t>Theo dõi phiên bản, thay đổi dữ liệu, người thực hiện và lịch sử xử lý của Hồ sơ tạm dừng nhiệm vụ cấp Cơ sở.</t>
  </si>
  <si>
    <t>ADJ-RD04-029</t>
  </si>
  <si>
    <t>Hồ sơ dừng nhiệm vụ cấp Cơ sở</t>
  </si>
  <si>
    <t>Xem danh sách Hồ sơ dừng nhiệm vụ cấp Cơ sở</t>
  </si>
  <si>
    <t>Tra cứu danh sách, phân trang, sắp xếp và lọc Hồ sơ dừng nhiệm vụ cấp Cơ sở theo các tiêu chí nghiệp vụ.</t>
  </si>
  <si>
    <t>RD04.05</t>
  </si>
  <si>
    <t>ADJ-RD04-030</t>
  </si>
  <si>
    <t>Tạo mới Hồ sơ dừng nhiệm vụ cấp Cơ sở</t>
  </si>
  <si>
    <t>Khởi tạo Hồ sơ dừng nhiệm vụ cấp Cơ sở, kiểm tra dữ liệu bắt buộc và lưu nháp trước khi hoàn tất.</t>
  </si>
  <si>
    <t>ADJ-RD04-031</t>
  </si>
  <si>
    <t>Xem chi tiết Hồ sơ dừng nhiệm vụ cấp Cơ sở</t>
  </si>
  <si>
    <t>Hiển thị thông tin tổng quan, dữ liệu chi tiết, tài liệu liên quan và trạng thái của Hồ sơ dừng nhiệm vụ cấp Cơ sở.</t>
  </si>
  <si>
    <t>ADJ-RD04-032</t>
  </si>
  <si>
    <t>Chỉnh sửa Hồ sơ dừng nhiệm vụ cấp Cơ sở</t>
  </si>
  <si>
    <t>Cập nhật Hồ sơ dừng nhiệm vụ cấp Cơ sở khi trạng thái và quyền người dùng cho phép; kiểm soát xung đột cập nhật.</t>
  </si>
  <si>
    <t>ADJ-RD04-033</t>
  </si>
  <si>
    <t>Xóa/Ngừng sử dụng Hồ sơ dừng nhiệm vụ cấp Cơ sở</t>
  </si>
  <si>
    <t>Xóa logic hoặc ngừng sử dụng Hồ sơ dừng nhiệm vụ cấp Cơ sở sau khi kiểm tra ràng buộc tham chiếu.</t>
  </si>
  <si>
    <t>ADJ-RD04-034</t>
  </si>
  <si>
    <t>Trình duyệt Hồ sơ dừng nhiệm vụ cấp Cơ sở</t>
  </si>
  <si>
    <t>Kiểm tra điều kiện, khóa phiên bản trình và khởi tạo/tiếp tục quy trình phê duyệt Hồ sơ dừng nhiệm vụ cấp Cơ sở.</t>
  </si>
  <si>
    <t>ADJ-RD04-035</t>
  </si>
  <si>
    <t>Xem lịch sử Hồ sơ dừng nhiệm vụ cấp Cơ sở</t>
  </si>
  <si>
    <t>Theo dõi phiên bản, thay đổi dữ liệu, người thực hiện và lịch sử xử lý của Hồ sơ dừng nhiệm vụ cấp Cơ sở.</t>
  </si>
  <si>
    <t>ADJ-RD04-036</t>
  </si>
  <si>
    <t>Hồ sơ đổi chủ nhiệm cấp Tập đoàn</t>
  </si>
  <si>
    <t>Xem danh sách Hồ sơ đổi chủ nhiệm cấp Tập đoàn</t>
  </si>
  <si>
    <t>Tra cứu danh sách, phân trang, sắp xếp và lọc Hồ sơ đổi chủ nhiệm cấp Tập đoàn theo các tiêu chí nghiệp vụ.</t>
  </si>
  <si>
    <t>RD04.06</t>
  </si>
  <si>
    <t>ADJ-RD04-037</t>
  </si>
  <si>
    <t>Tạo mới Hồ sơ đổi chủ nhiệm cấp Tập đoàn</t>
  </si>
  <si>
    <t>Khởi tạo Hồ sơ đổi chủ nhiệm cấp Tập đoàn, kiểm tra dữ liệu bắt buộc và lưu nháp trước khi hoàn tất.</t>
  </si>
  <si>
    <t>ADJ-RD04-038</t>
  </si>
  <si>
    <t>Xem chi tiết Hồ sơ đổi chủ nhiệm cấp Tập đoàn</t>
  </si>
  <si>
    <t>Hiển thị thông tin tổng quan, dữ liệu chi tiết, tài liệu liên quan và trạng thái của Hồ sơ đổi chủ nhiệm cấp Tập đoàn.</t>
  </si>
  <si>
    <t>ADJ-RD04-039</t>
  </si>
  <si>
    <t>Chỉnh sửa Hồ sơ đổi chủ nhiệm cấp Tập đoàn</t>
  </si>
  <si>
    <t>Cập nhật Hồ sơ đổi chủ nhiệm cấp Tập đoàn khi trạng thái và quyền người dùng cho phép; kiểm soát xung đột cập nhật.</t>
  </si>
  <si>
    <t>ADJ-RD04-040</t>
  </si>
  <si>
    <t>Xóa/Ngừng sử dụng Hồ sơ đổi chủ nhiệm cấp Tập đoàn</t>
  </si>
  <si>
    <t>Xóa logic hoặc ngừng sử dụng Hồ sơ đổi chủ nhiệm cấp Tập đoàn sau khi kiểm tra ràng buộc tham chiếu.</t>
  </si>
  <si>
    <t>ADJ-RD04-041</t>
  </si>
  <si>
    <t>Trình duyệt Hồ sơ đổi chủ nhiệm cấp Tập đoàn</t>
  </si>
  <si>
    <t>Kiểm tra điều kiện, khóa phiên bản trình và khởi tạo/tiếp tục quy trình phê duyệt Hồ sơ đổi chủ nhiệm cấp Tập đoàn.</t>
  </si>
  <si>
    <t>ADJ-RD04-042</t>
  </si>
  <si>
    <t>Xem lịch sử Hồ sơ đổi chủ nhiệm cấp Tập đoàn</t>
  </si>
  <si>
    <t>Theo dõi phiên bản, thay đổi dữ liệu, người thực hiện và lịch sử xử lý của Hồ sơ đổi chủ nhiệm cấp Tập đoàn.</t>
  </si>
  <si>
    <t>ADJ-RD04-043</t>
  </si>
  <si>
    <t>Hồ sơ điều chỉnh nội dung/dự toán không tăng tổng cấp Tập đoàn</t>
  </si>
  <si>
    <t>Xem danh sách Hồ sơ điều chỉnh nội dung/dự toán không tăng tổng cấp Tập đoàn</t>
  </si>
  <si>
    <t>Tra cứu danh sách, phân trang, sắp xếp và lọc Hồ sơ điều chỉnh nội dung/dự toán không tăng tổng cấp Tập đoàn theo các tiêu chí nghiệp vụ.</t>
  </si>
  <si>
    <t>RD04.07</t>
  </si>
  <si>
    <t>ADJ-RD04-044</t>
  </si>
  <si>
    <t>Tạo mới Hồ sơ điều chỉnh nội dung/dự toán không tăng tổng cấp Tập đoàn</t>
  </si>
  <si>
    <t>Khởi tạo Hồ sơ điều chỉnh nội dung/dự toán không tăng tổng cấp Tập đoàn, kiểm tra dữ liệu bắt buộc và lưu nháp trước khi hoàn tất.</t>
  </si>
  <si>
    <t>ADJ-RD04-045</t>
  </si>
  <si>
    <t>Xem chi tiết Hồ sơ điều chỉnh nội dung/dự toán không tăng tổng cấp Tập đoàn</t>
  </si>
  <si>
    <t>Hiển thị thông tin tổng quan, dữ liệu chi tiết, tài liệu liên quan và trạng thái của Hồ sơ điều chỉnh nội dung/dự toán không tăng tổng cấp Tập đoàn.</t>
  </si>
  <si>
    <t>ADJ-RD04-046</t>
  </si>
  <si>
    <t>Chỉnh sửa Hồ sơ điều chỉnh nội dung/dự toán không tăng tổng cấp Tập đoàn</t>
  </si>
  <si>
    <t>Cập nhật Hồ sơ điều chỉnh nội dung/dự toán không tăng tổng cấp Tập đoàn khi trạng thái và quyền người dùng cho phép; kiểm soát xung đột cập nhật.</t>
  </si>
  <si>
    <t>ADJ-RD04-047</t>
  </si>
  <si>
    <t>Xóa/Ngừng sử dụng Hồ sơ điều chỉnh nội dung/dự toán không tăng tổng cấp Tập đoàn</t>
  </si>
  <si>
    <t>Xóa logic hoặc ngừng sử dụng Hồ sơ điều chỉnh nội dung/dự toán không tăng tổng cấp Tập đoàn sau khi kiểm tra ràng buộc tham chiếu.</t>
  </si>
  <si>
    <t>ADJ-RD04-048</t>
  </si>
  <si>
    <t>Trình duyệt Hồ sơ điều chỉnh nội dung/dự toán không tăng tổng cấp Tập đoàn</t>
  </si>
  <si>
    <t>Kiểm tra điều kiện, khóa phiên bản trình và khởi tạo/tiếp tục quy trình phê duyệt Hồ sơ điều chỉnh nội dung/dự toán không tăng tổng cấp Tập đoàn.</t>
  </si>
  <si>
    <t>ADJ-RD04-049</t>
  </si>
  <si>
    <t>Xem lịch sử Hồ sơ điều chỉnh nội dung/dự toán không tăng tổng cấp Tập đoàn</t>
  </si>
  <si>
    <t>Theo dõi phiên bản, thay đổi dữ liệu, người thực hiện và lịch sử xử lý của Hồ sơ điều chỉnh nội dung/dự toán không tăng tổng cấp Tập đoàn.</t>
  </si>
  <si>
    <t>ADJ-RD04-050</t>
  </si>
  <si>
    <t>Hồ sơ điều chỉnh mục tiêu/tăng dự toán không vượt chủ trương cấp Tập đoàn</t>
  </si>
  <si>
    <t>Xem danh sách Hồ sơ điều chỉnh mục tiêu/tăng dự toán không vượt chủ trương cấp Tập đoàn</t>
  </si>
  <si>
    <t>Tra cứu danh sách, phân trang, sắp xếp và lọc Hồ sơ điều chỉnh mục tiêu/tăng dự toán không vượt chủ trương cấp Tập đoàn theo các tiêu chí nghiệp vụ.</t>
  </si>
  <si>
    <t>RD04.08</t>
  </si>
  <si>
    <t>ADJ-RD04-051</t>
  </si>
  <si>
    <t>Tạo mới Hồ sơ điều chỉnh mục tiêu/tăng dự toán không vượt chủ trương cấp Tập đoàn</t>
  </si>
  <si>
    <t>Khởi tạo Hồ sơ điều chỉnh mục tiêu/tăng dự toán không vượt chủ trương cấp Tập đoàn, kiểm tra dữ liệu bắt buộc và lưu nháp trước khi hoàn tất.</t>
  </si>
  <si>
    <t>ADJ-RD04-052</t>
  </si>
  <si>
    <t>Xem chi tiết Hồ sơ điều chỉnh mục tiêu/tăng dự toán không vượt chủ trương cấp Tập đoàn</t>
  </si>
  <si>
    <t>Hiển thị thông tin tổng quan, dữ liệu chi tiết, tài liệu liên quan và trạng thái của Hồ sơ điều chỉnh mục tiêu/tăng dự toán không vượt chủ trương cấp Tập đoàn.</t>
  </si>
  <si>
    <t>ADJ-RD04-053</t>
  </si>
  <si>
    <t>Chỉnh sửa Hồ sơ điều chỉnh mục tiêu/tăng dự toán không vượt chủ trương cấp Tập đoàn</t>
  </si>
  <si>
    <t>Cập nhật Hồ sơ điều chỉnh mục tiêu/tăng dự toán không vượt chủ trương cấp Tập đoàn khi trạng thái và quyền người dùng cho phép; kiểm soát xung đột cập nhật.</t>
  </si>
  <si>
    <t>ADJ-RD04-054</t>
  </si>
  <si>
    <t>Xóa/Ngừng sử dụng Hồ sơ điều chỉnh mục tiêu/tăng dự toán không vượt chủ trương cấp Tập đoàn</t>
  </si>
  <si>
    <t>Xóa logic hoặc ngừng sử dụng Hồ sơ điều chỉnh mục tiêu/tăng dự toán không vượt chủ trương cấp Tập đoàn sau khi kiểm tra ràng buộc tham chiếu.</t>
  </si>
  <si>
    <t>ADJ-RD04-055</t>
  </si>
  <si>
    <t>Trình duyệt Hồ sơ điều chỉnh mục tiêu/tăng dự toán không vượt chủ trương cấp Tập đoàn</t>
  </si>
  <si>
    <t>Kiểm tra điều kiện, khóa phiên bản trình và khởi tạo/tiếp tục quy trình phê duyệt Hồ sơ điều chỉnh mục tiêu/tăng dự toán không vượt chủ trương cấp Tập đoàn.</t>
  </si>
  <si>
    <t>ADJ-RD04-056</t>
  </si>
  <si>
    <t>Xem lịch sử Hồ sơ điều chỉnh mục tiêu/tăng dự toán không vượt chủ trương cấp Tập đoàn</t>
  </si>
  <si>
    <t>Theo dõi phiên bản, thay đổi dữ liệu, người thực hiện và lịch sử xử lý của Hồ sơ điều chỉnh mục tiêu/tăng dự toán không vượt chủ trương cấp Tập đoàn.</t>
  </si>
  <si>
    <t>ADJ-RD04-057</t>
  </si>
  <si>
    <t>Hồ sơ tạm dừng nhiệm vụ cấp Tập đoàn</t>
  </si>
  <si>
    <t>Xem danh sách Hồ sơ tạm dừng nhiệm vụ cấp Tập đoàn</t>
  </si>
  <si>
    <t>Tra cứu danh sách, phân trang, sắp xếp và lọc Hồ sơ tạm dừng nhiệm vụ cấp Tập đoàn theo các tiêu chí nghiệp vụ.</t>
  </si>
  <si>
    <t>RD04.09</t>
  </si>
  <si>
    <t>ADJ-RD04-058</t>
  </si>
  <si>
    <t>Tạo mới Hồ sơ tạm dừng nhiệm vụ cấp Tập đoàn</t>
  </si>
  <si>
    <t>Khởi tạo Hồ sơ tạm dừng nhiệm vụ cấp Tập đoàn, kiểm tra dữ liệu bắt buộc và lưu nháp trước khi hoàn tất.</t>
  </si>
  <si>
    <t>ADJ-RD04-059</t>
  </si>
  <si>
    <t>Xem chi tiết Hồ sơ tạm dừng nhiệm vụ cấp Tập đoàn</t>
  </si>
  <si>
    <t>Hiển thị thông tin tổng quan, dữ liệu chi tiết, tài liệu liên quan và trạng thái của Hồ sơ tạm dừng nhiệm vụ cấp Tập đoàn.</t>
  </si>
  <si>
    <t>ADJ-RD04-060</t>
  </si>
  <si>
    <t>Chỉnh sửa Hồ sơ tạm dừng nhiệm vụ cấp Tập đoàn</t>
  </si>
  <si>
    <t>Cập nhật Hồ sơ tạm dừng nhiệm vụ cấp Tập đoàn khi trạng thái và quyền người dùng cho phép; kiểm soát xung đột cập nhật.</t>
  </si>
  <si>
    <t>ADJ-RD04-061</t>
  </si>
  <si>
    <t>Xóa/Ngừng sử dụng Hồ sơ tạm dừng nhiệm vụ cấp Tập đoàn</t>
  </si>
  <si>
    <t>Xóa logic hoặc ngừng sử dụng Hồ sơ tạm dừng nhiệm vụ cấp Tập đoàn sau khi kiểm tra ràng buộc tham chiếu.</t>
  </si>
  <si>
    <t>ADJ-RD04-062</t>
  </si>
  <si>
    <t>Trình duyệt Hồ sơ tạm dừng nhiệm vụ cấp Tập đoàn</t>
  </si>
  <si>
    <t>Kiểm tra điều kiện, khóa phiên bản trình và khởi tạo/tiếp tục quy trình phê duyệt Hồ sơ tạm dừng nhiệm vụ cấp Tập đoàn.</t>
  </si>
  <si>
    <t>ADJ-RD04-063</t>
  </si>
  <si>
    <t>Xem lịch sử Hồ sơ tạm dừng nhiệm vụ cấp Tập đoàn</t>
  </si>
  <si>
    <t>Theo dõi phiên bản, thay đổi dữ liệu, người thực hiện và lịch sử xử lý của Hồ sơ tạm dừng nhiệm vụ cấp Tập đoàn.</t>
  </si>
  <si>
    <t>ADJ-RD04-064</t>
  </si>
  <si>
    <t>Hồ sơ dừng nhiệm vụ cấp Tập đoàn</t>
  </si>
  <si>
    <t>Xem danh sách Hồ sơ dừng nhiệm vụ cấp Tập đoàn</t>
  </si>
  <si>
    <t>Tra cứu danh sách, phân trang, sắp xếp và lọc Hồ sơ dừng nhiệm vụ cấp Tập đoàn theo các tiêu chí nghiệp vụ.</t>
  </si>
  <si>
    <t>RD04.10</t>
  </si>
  <si>
    <t>ADJ-RD04-065</t>
  </si>
  <si>
    <t>Tạo mới Hồ sơ dừng nhiệm vụ cấp Tập đoàn</t>
  </si>
  <si>
    <t>Khởi tạo Hồ sơ dừng nhiệm vụ cấp Tập đoàn, kiểm tra dữ liệu bắt buộc và lưu nháp trước khi hoàn tất.</t>
  </si>
  <si>
    <t>ADJ-RD04-066</t>
  </si>
  <si>
    <t>Xem chi tiết Hồ sơ dừng nhiệm vụ cấp Tập đoàn</t>
  </si>
  <si>
    <t>Hiển thị thông tin tổng quan, dữ liệu chi tiết, tài liệu liên quan và trạng thái của Hồ sơ dừng nhiệm vụ cấp Tập đoàn.</t>
  </si>
  <si>
    <t>ADJ-RD04-067</t>
  </si>
  <si>
    <t>Chỉnh sửa Hồ sơ dừng nhiệm vụ cấp Tập đoàn</t>
  </si>
  <si>
    <t>Cập nhật Hồ sơ dừng nhiệm vụ cấp Tập đoàn khi trạng thái và quyền người dùng cho phép; kiểm soát xung đột cập nhật.</t>
  </si>
  <si>
    <t>ADJ-RD04-068</t>
  </si>
  <si>
    <t>Xóa/Ngừng sử dụng Hồ sơ dừng nhiệm vụ cấp Tập đoàn</t>
  </si>
  <si>
    <t>Xóa logic hoặc ngừng sử dụng Hồ sơ dừng nhiệm vụ cấp Tập đoàn sau khi kiểm tra ràng buộc tham chiếu.</t>
  </si>
  <si>
    <t>ADJ-RD04-069</t>
  </si>
  <si>
    <t>Trình duyệt Hồ sơ dừng nhiệm vụ cấp Tập đoàn</t>
  </si>
  <si>
    <t>Kiểm tra điều kiện, khóa phiên bản trình và khởi tạo/tiếp tục quy trình phê duyệt Hồ sơ dừng nhiệm vụ cấp Tập đoàn.</t>
  </si>
  <si>
    <t>ADJ-RD04-070</t>
  </si>
  <si>
    <t>Xem lịch sử Hồ sơ dừng nhiệm vụ cấp Tập đoàn</t>
  </si>
  <si>
    <t>Theo dõi phiên bản, thay đổi dữ liệu, người thực hiện và lịch sử xử lý của Hồ sơ dừng nhiệm vụ cấp Tập đoàn.</t>
  </si>
  <si>
    <t>ADJ-RD04-071</t>
  </si>
  <si>
    <t>Đánh giá tác động</t>
  </si>
  <si>
    <t>So sánh trước/sau và đánh giá tác động điều chỉnh</t>
  </si>
  <si>
    <t>Hiển thị thay đổi phạm vi, thời gian, kinh phí, nhân sự, sản phẩm và các hồ sơ phụ thuộc.</t>
  </si>
  <si>
    <t>Cán bộ KHCN/Người duyệt</t>
  </si>
  <si>
    <t>RD04</t>
  </si>
  <si>
    <t>ADJ-RD04-072</t>
  </si>
  <si>
    <t>Áp dụng kết quả</t>
  </si>
  <si>
    <t>Cập nhật baseline sau phê duyệt</t>
  </si>
  <si>
    <t>Chỉ cập nhật dữ liệu nhiệm vụ khi quyết định điều chỉnh đã được ban hành; giữ lịch sử baseline cũ.</t>
  </si>
  <si>
    <t>ACC-RD05-001</t>
  </si>
  <si>
    <t>Nghiệm thu</t>
  </si>
  <si>
    <t>Nghiệm thu nhiệm vụ</t>
  </si>
  <si>
    <t>Hồ sơ nghiệm thu</t>
  </si>
  <si>
    <t>Xem danh sách Hồ sơ nghiệm thu</t>
  </si>
  <si>
    <t>Tra cứu danh sách, phân trang, sắp xếp và lọc Hồ sơ nghiệm thu theo các tiêu chí nghiệp vụ.</t>
  </si>
  <si>
    <t>RD05.01/RD05.02</t>
  </si>
  <si>
    <t>ACC-RD05-002</t>
  </si>
  <si>
    <t>Tạo mới Hồ sơ nghiệm thu</t>
  </si>
  <si>
    <t>Khởi tạo Hồ sơ nghiệm thu, kiểm tra dữ liệu bắt buộc và lưu nháp trước khi hoàn tất.</t>
  </si>
  <si>
    <t>ACC-RD05-003</t>
  </si>
  <si>
    <t>Xem chi tiết Hồ sơ nghiệm thu</t>
  </si>
  <si>
    <t>Hiển thị thông tin tổng quan, dữ liệu chi tiết, tài liệu liên quan và trạng thái của Hồ sơ nghiệm thu.</t>
  </si>
  <si>
    <t>ACC-RD05-004</t>
  </si>
  <si>
    <t>Chỉnh sửa Hồ sơ nghiệm thu</t>
  </si>
  <si>
    <t>Cập nhật Hồ sơ nghiệm thu khi trạng thái và quyền người dùng cho phép; kiểm soát xung đột cập nhật.</t>
  </si>
  <si>
    <t>ACC-RD05-005</t>
  </si>
  <si>
    <t>Xóa/Ngừng sử dụng Hồ sơ nghiệm thu</t>
  </si>
  <si>
    <t>Xóa logic hoặc ngừng sử dụng Hồ sơ nghiệm thu sau khi kiểm tra ràng buộc tham chiếu.</t>
  </si>
  <si>
    <t>ACC-RD05-006</t>
  </si>
  <si>
    <t>Trình duyệt Hồ sơ nghiệm thu</t>
  </si>
  <si>
    <t>Kiểm tra điều kiện, khóa phiên bản trình và khởi tạo/tiếp tục quy trình phê duyệt Hồ sơ nghiệm thu.</t>
  </si>
  <si>
    <t>ACC-RD05-007</t>
  </si>
  <si>
    <t>Xem lịch sử Hồ sơ nghiệm thu</t>
  </si>
  <si>
    <t>Theo dõi phiên bản, thay đổi dữ liệu, người thực hiện và lịch sử xử lý của Hồ sơ nghiệm thu.</t>
  </si>
  <si>
    <t>ACC-RD05-008</t>
  </si>
  <si>
    <t>Điều kiện</t>
  </si>
  <si>
    <t>Kiểm tra điều kiện đăng ký nghiệm thu</t>
  </si>
  <si>
    <t>Kiểm tra tiến độ, sản phẩm, báo cáo, tài chính, tài liệu và nghĩa vụ cần hoàn thành.</t>
  </si>
  <si>
    <t>ACC-RD05-009</t>
  </si>
  <si>
    <t>Sản phẩm</t>
  </si>
  <si>
    <t>Đối chiếu sản phẩm đăng ký và thực tế</t>
  </si>
  <si>
    <t>So sánh số lượng, chất lượng, chỉ tiêu, bằng chứng và trạng thái bàn giao.</t>
  </si>
  <si>
    <t>Hội đồng/Cán bộ KHCN</t>
  </si>
  <si>
    <t>ACC-RD05-010</t>
  </si>
  <si>
    <t>Kết luận</t>
  </si>
  <si>
    <t>Xếp loại và công nhận kết quả nghiệm thu</t>
  </si>
  <si>
    <t>Tổng hợp hội đồng, xếp loại, yêu cầu hoàn thiện và ban hành quyết định công nhận.</t>
  </si>
  <si>
    <t>Hội đồng/Lãnh đạo/Cán bộ KHCN</t>
  </si>
  <si>
    <t>ACC-RD05-011</t>
  </si>
  <si>
    <t>Sau nghiệm thu</t>
  </si>
  <si>
    <t>Theo dõi hoàn thiện sau nghiệm thu</t>
  </si>
  <si>
    <t>Quản lý yêu cầu chỉnh sửa, hạn hoàn thành và xác nhận hồ sơ cuối cùng.</t>
  </si>
  <si>
    <t>SET-RD06-001</t>
  </si>
  <si>
    <t>Quyết toán</t>
  </si>
  <si>
    <t>Quyết toán nhiệm vụ</t>
  </si>
  <si>
    <t>Hồ sơ quyết toán</t>
  </si>
  <si>
    <t>Xem danh sách Hồ sơ quyết toán</t>
  </si>
  <si>
    <t>Tra cứu danh sách, phân trang, sắp xếp và lọc Hồ sơ quyết toán theo các tiêu chí nghiệp vụ.</t>
  </si>
  <si>
    <t>RD06.01/RD06.02</t>
  </si>
  <si>
    <t>SET-RD06-002</t>
  </si>
  <si>
    <t>Tạo mới Hồ sơ quyết toán</t>
  </si>
  <si>
    <t>Khởi tạo Hồ sơ quyết toán, kiểm tra dữ liệu bắt buộc và lưu nháp trước khi hoàn tất.</t>
  </si>
  <si>
    <t>SET-RD06-003</t>
  </si>
  <si>
    <t>Xem chi tiết Hồ sơ quyết toán</t>
  </si>
  <si>
    <t>Hiển thị thông tin tổng quan, dữ liệu chi tiết, tài liệu liên quan và trạng thái của Hồ sơ quyết toán.</t>
  </si>
  <si>
    <t>SET-RD06-004</t>
  </si>
  <si>
    <t>Chỉnh sửa Hồ sơ quyết toán</t>
  </si>
  <si>
    <t>Cập nhật Hồ sơ quyết toán khi trạng thái và quyền người dùng cho phép; kiểm soát xung đột cập nhật.</t>
  </si>
  <si>
    <t>SET-RD06-005</t>
  </si>
  <si>
    <t>Xóa/Ngừng sử dụng Hồ sơ quyết toán</t>
  </si>
  <si>
    <t>Xóa logic hoặc ngừng sử dụng Hồ sơ quyết toán sau khi kiểm tra ràng buộc tham chiếu.</t>
  </si>
  <si>
    <t>SET-RD06-006</t>
  </si>
  <si>
    <t>Trình duyệt Hồ sơ quyết toán</t>
  </si>
  <si>
    <t>Kiểm tra điều kiện, khóa phiên bản trình và khởi tạo/tiếp tục quy trình phê duyệt Hồ sơ quyết toán.</t>
  </si>
  <si>
    <t>SET-RD06-007</t>
  </si>
  <si>
    <t>Xem lịch sử Hồ sơ quyết toán</t>
  </si>
  <si>
    <t>Theo dõi phiên bản, thay đổi dữ liệu, người thực hiện và lịch sử xử lý của Hồ sơ quyết toán.</t>
  </si>
  <si>
    <t>SET-RD06-008</t>
  </si>
  <si>
    <t>Tổng hợp tài chính</t>
  </si>
  <si>
    <t>Tổng hợp dự toán, giải ngân và thực chi</t>
  </si>
  <si>
    <t>Đối chiếu theo nguồn, khoản mục, năm và chứng từ; tính chênh lệch có giải trình.</t>
  </si>
  <si>
    <t>SET-RD06-009</t>
  </si>
  <si>
    <t>Chứng từ</t>
  </si>
  <si>
    <t>Quản lý chứng từ quyết toán</t>
  </si>
  <si>
    <t>Liên kết chứng từ SAP/DMS, kiểm tra trùng, trạng thái hợp lệ và tài liệu bổ sung.</t>
  </si>
  <si>
    <t>SET-RD06-010</t>
  </si>
  <si>
    <t>Đối soát</t>
  </si>
  <si>
    <t>Đối soát dữ liệu tài chính với SAP</t>
  </si>
  <si>
    <t>Ghi nhận sai lệch, trạng thái xử lý và lịch sử đồng bộ/đối soát.</t>
  </si>
  <si>
    <t>Tài chính/Quản trị tích hợp</t>
  </si>
  <si>
    <t>SET-RD06-011</t>
  </si>
  <si>
    <t>Ban hành kết quả quyết toán và đóng tài chính</t>
  </si>
  <si>
    <t>Sinh quyết định/biên bản, cập nhật số quyết toán và khóa dữ liệu tài chính.</t>
  </si>
  <si>
    <t>Tài chính/Lãnh đạo</t>
  </si>
  <si>
    <t>OUT-PROD-001</t>
  </si>
  <si>
    <t>Sản phẩm Nghiên cứu &amp; SHTT</t>
  </si>
  <si>
    <t>Sản phẩm nghiên cứu</t>
  </si>
  <si>
    <t>Xem danh sách Sản phẩm nghiên cứu</t>
  </si>
  <si>
    <t>Tra cứu danh sách, phân trang, sắp xếp và lọc Sản phẩm nghiên cứu theo các tiêu chí nghiệp vụ.</t>
  </si>
  <si>
    <t>RD07</t>
  </si>
  <si>
    <t>Bổ sung theo decomposite-diagram</t>
  </si>
  <si>
    <t>OUT-PROD-002</t>
  </si>
  <si>
    <t>Tạo mới Sản phẩm nghiên cứu</t>
  </si>
  <si>
    <t>Khởi tạo Sản phẩm nghiên cứu, kiểm tra dữ liệu bắt buộc và lưu nháp trước khi hoàn tất.</t>
  </si>
  <si>
    <t>OUT-PROD-003</t>
  </si>
  <si>
    <t>Xem chi tiết Sản phẩm nghiên cứu</t>
  </si>
  <si>
    <t>Hiển thị thông tin tổng quan, dữ liệu chi tiết, tài liệu liên quan và trạng thái của Sản phẩm nghiên cứu.</t>
  </si>
  <si>
    <t>OUT-PROD-004</t>
  </si>
  <si>
    <t>Chỉnh sửa Sản phẩm nghiên cứu</t>
  </si>
  <si>
    <t>Cập nhật Sản phẩm nghiên cứu khi trạng thái và quyền người dùng cho phép; kiểm soát xung đột cập nhật.</t>
  </si>
  <si>
    <t>OUT-PROD-005</t>
  </si>
  <si>
    <t>Xóa/Ngừng sử dụng Sản phẩm nghiên cứu</t>
  </si>
  <si>
    <t>Xóa logic hoặc ngừng sử dụng Sản phẩm nghiên cứu sau khi kiểm tra ràng buộc tham chiếu.</t>
  </si>
  <si>
    <t>OUT-PROD-006</t>
  </si>
  <si>
    <t>Xem lịch sử Sản phẩm nghiên cứu</t>
  </si>
  <si>
    <t>Theo dõi phiên bản, thay đổi dữ liệu, người thực hiện và lịch sử xử lý của Sản phẩm nghiên cứu.</t>
  </si>
  <si>
    <t>OUT-PROD-007</t>
  </si>
  <si>
    <t>Đối chiếu</t>
  </si>
  <si>
    <t>Đối chiếu sản phẩm cam kết và thực tế</t>
  </si>
  <si>
    <t>Theo dõi chỉ tiêu, số lượng, chất lượng, trạng thái nghiệm thu, bàn giao và ứng dụng.</t>
  </si>
  <si>
    <t>OUT-IP-001</t>
  </si>
  <si>
    <t>Sở hữu trí tuệ</t>
  </si>
  <si>
    <t>Hồ sơ sở hữu trí tuệ</t>
  </si>
  <si>
    <t>Xem danh sách Hồ sơ sở hữu trí tuệ</t>
  </si>
  <si>
    <t>Tra cứu danh sách, phân trang, sắp xếp và lọc Hồ sơ sở hữu trí tuệ theo các tiêu chí nghiệp vụ.</t>
  </si>
  <si>
    <t>Chủ nhiệm/Cán bộ SHTT</t>
  </si>
  <si>
    <t>RD08</t>
  </si>
  <si>
    <t>OUT-IP-002</t>
  </si>
  <si>
    <t>Tạo mới Hồ sơ sở hữu trí tuệ</t>
  </si>
  <si>
    <t>Khởi tạo Hồ sơ sở hữu trí tuệ, kiểm tra dữ liệu bắt buộc và lưu nháp trước khi hoàn tất.</t>
  </si>
  <si>
    <t>OUT-IP-003</t>
  </si>
  <si>
    <t>Xem chi tiết Hồ sơ sở hữu trí tuệ</t>
  </si>
  <si>
    <t>Hiển thị thông tin tổng quan, dữ liệu chi tiết, tài liệu liên quan và trạng thái của Hồ sơ sở hữu trí tuệ.</t>
  </si>
  <si>
    <t>OUT-IP-004</t>
  </si>
  <si>
    <t>Chỉnh sửa Hồ sơ sở hữu trí tuệ</t>
  </si>
  <si>
    <t>Cập nhật Hồ sơ sở hữu trí tuệ khi trạng thái và quyền người dùng cho phép; kiểm soát xung đột cập nhật.</t>
  </si>
  <si>
    <t>OUT-IP-005</t>
  </si>
  <si>
    <t>Xóa/Ngừng sử dụng Hồ sơ sở hữu trí tuệ</t>
  </si>
  <si>
    <t>Xóa logic hoặc ngừng sử dụng Hồ sơ sở hữu trí tuệ sau khi kiểm tra ràng buộc tham chiếu.</t>
  </si>
  <si>
    <t>OUT-IP-006</t>
  </si>
  <si>
    <t>Trình duyệt Hồ sơ sở hữu trí tuệ</t>
  </si>
  <si>
    <t>Kiểm tra điều kiện, khóa phiên bản trình và khởi tạo/tiếp tục quy trình phê duyệt Hồ sơ sở hữu trí tuệ.</t>
  </si>
  <si>
    <t>OUT-IP-007</t>
  </si>
  <si>
    <t>Xem lịch sử Hồ sơ sở hữu trí tuệ</t>
  </si>
  <si>
    <t>Theo dõi phiên bản, thay đổi dữ liệu, người thực hiện và lịch sử xử lý của Hồ sơ sở hữu trí tuệ.</t>
  </si>
  <si>
    <t>OUT-IP-008</t>
  </si>
  <si>
    <t>Quyền sở hữu</t>
  </si>
  <si>
    <t>Quản lý tác giả, chủ sở hữu và tỷ lệ quyền</t>
  </si>
  <si>
    <t>Theo dõi cá nhân/tổ chức, quyền và căn cứ phân chia cho từng tài sản SHTT.</t>
  </si>
  <si>
    <t>Cán bộ SHTT</t>
  </si>
  <si>
    <t>RD08 thuộc Pha 1 nhưng nguồn mô tả còn mỏng (A4).</t>
  </si>
  <si>
    <t>OUT-IP-009</t>
  </si>
  <si>
    <t>Đăng ký bảo hộ</t>
  </si>
  <si>
    <t>Theo dõi trạng thái đơn và văn bằng bảo hộ</t>
  </si>
  <si>
    <t>Quản lý số đơn, ngày nộp, quốc gia, giai đoạn thẩm định, hiệu lực và gia hạn.</t>
  </si>
  <si>
    <t>OUT-PUB-001</t>
  </si>
  <si>
    <t>Công bố khoa học</t>
  </si>
  <si>
    <t>Bài báo/Sáng chế/Giải pháp hữu ích</t>
  </si>
  <si>
    <t>Xem danh sách Bài báo/Sáng chế/Giải pháp hữu ích</t>
  </si>
  <si>
    <t>Tra cứu danh sách, phân trang, sắp xếp và lọc Bài báo/Sáng chế/Giải pháp hữu ích theo các tiêu chí nghiệp vụ.</t>
  </si>
  <si>
    <t>RD07,RD08</t>
  </si>
  <si>
    <t>OUT-PUB-002</t>
  </si>
  <si>
    <t>Tạo mới Bài báo/Sáng chế/Giải pháp hữu ích</t>
  </si>
  <si>
    <t>Khởi tạo Bài báo/Sáng chế/Giải pháp hữu ích, kiểm tra dữ liệu bắt buộc và lưu nháp trước khi hoàn tất.</t>
  </si>
  <si>
    <t>OUT-PUB-003</t>
  </si>
  <si>
    <t>Xem chi tiết Bài báo/Sáng chế/Giải pháp hữu ích</t>
  </si>
  <si>
    <t>Hiển thị thông tin tổng quan, dữ liệu chi tiết, tài liệu liên quan và trạng thái của Bài báo/Sáng chế/Giải pháp hữu ích.</t>
  </si>
  <si>
    <t>OUT-PUB-004</t>
  </si>
  <si>
    <t>Chỉnh sửa Bài báo/Sáng chế/Giải pháp hữu ích</t>
  </si>
  <si>
    <t>Cập nhật Bài báo/Sáng chế/Giải pháp hữu ích khi trạng thái và quyền người dùng cho phép; kiểm soát xung đột cập nhật.</t>
  </si>
  <si>
    <t>OUT-PUB-005</t>
  </si>
  <si>
    <t>Xóa/Ngừng sử dụng Bài báo/Sáng chế/Giải pháp hữu ích</t>
  </si>
  <si>
    <t>Xóa logic hoặc ngừng sử dụng Bài báo/Sáng chế/Giải pháp hữu ích sau khi kiểm tra ràng buộc tham chiếu.</t>
  </si>
  <si>
    <t>OUT-PUB-006</t>
  </si>
  <si>
    <t>Xem lịch sử Bài báo/Sáng chế/Giải pháp hữu ích</t>
  </si>
  <si>
    <t>Theo dõi phiên bản, thay đổi dữ liệu, người thực hiện và lịch sử xử lý của Bài báo/Sáng chế/Giải pháp hữu ích.</t>
  </si>
  <si>
    <t>OUT-TECH-001</t>
  </si>
  <si>
    <t>Công nghệ &amp; chuyển giao</t>
  </si>
  <si>
    <t>Công nghệ lõi</t>
  </si>
  <si>
    <t>Quản lý công nghệ hình thành từ nhiệm vụ</t>
  </si>
  <si>
    <t>Theo dõi mô tả, TRL, khả năng ứng dụng, đơn vị tiếp nhận và bằng chứng chuyển giao.</t>
  </si>
  <si>
    <t>RPT-DASH-001</t>
  </si>
  <si>
    <t>Báo cáo &amp; Điều hành</t>
  </si>
  <si>
    <t>Dashboard lãnh đạo</t>
  </si>
  <si>
    <t>Tổng quan</t>
  </si>
  <si>
    <t>Dashboard đa cấp theo phạm vi dữ liệu</t>
  </si>
  <si>
    <t>Hiển thị KPI theo tập đoàn/đơn vị/lĩnh vực/cấp nhiệm vụ và hỗ trợ drill-down.</t>
  </si>
  <si>
    <t>RD09</t>
  </si>
  <si>
    <t>CAP-18</t>
  </si>
  <si>
    <t>RPT-DASH-002</t>
  </si>
  <si>
    <t>KPI</t>
  </si>
  <si>
    <t>KPI vòng đời nhiệm vụ</t>
  </si>
  <si>
    <t>Số lượng và trạng thái nhiệm vụ theo giai đoạn, đơn vị và lĩnh vực.</t>
  </si>
  <si>
    <t>RPT-DASH-003</t>
  </si>
  <si>
    <t>KPI tiến độ và SLA</t>
  </si>
  <si>
    <t>Tỷ lệ đúng hạn, task quá hạn, thời gian phê duyệt và bottleneck.</t>
  </si>
  <si>
    <t>RPT-DASH-004</t>
  </si>
  <si>
    <t>KPI kinh phí</t>
  </si>
  <si>
    <t>Dự toán, giải ngân, thực chi, quyết toán và chênh lệch.</t>
  </si>
  <si>
    <t>RPT-DASH-005</t>
  </si>
  <si>
    <t>KPI nhân sự</t>
  </si>
  <si>
    <t>Phân bổ chủ nhiệm, thành viên, chuyên gia và tải công việc.</t>
  </si>
  <si>
    <t>RPT-DASH-006</t>
  </si>
  <si>
    <t>KPI sản phẩm/SHTT</t>
  </si>
  <si>
    <t>Sản phẩm cam kết/thực tế, bài báo, sáng chế và trạng thái bảo hộ.</t>
  </si>
  <si>
    <t>RPT-DASH-007</t>
  </si>
  <si>
    <t>Cảnh báo điều hành</t>
  </si>
  <si>
    <t>Nhiệm vụ trễ, vượt dự toán, hồ sơ thiếu, hội đồng chậm và tích hợp lỗi.</t>
  </si>
  <si>
    <t>CAP-17</t>
  </si>
  <si>
    <t>RPT-REPORT-001</t>
  </si>
  <si>
    <t>Báo cáo nghiệp vụ</t>
  </si>
  <si>
    <t>Báo cáo chuẩn</t>
  </si>
  <si>
    <t>Danh mục báo cáo chuẩn RD09</t>
  </si>
  <si>
    <t>Cung cấp báo cáo tổng hợp nhiệm vụ, hồ sơ, tiến độ, kinh phí, nhân sự, sản phẩm và phê duyệt.</t>
  </si>
  <si>
    <t>RPT-REPORT-002</t>
  </si>
  <si>
    <t>Bộ lọc</t>
  </si>
  <si>
    <t>Lọc, nhóm và drill-down báo cáo</t>
  </si>
  <si>
    <t>Áp dụng thời gian, đơn vị, lĩnh vực, cấp nhiệm vụ, trạng thái và quyền dữ liệu.</t>
  </si>
  <si>
    <t>Người xem báo cáo</t>
  </si>
  <si>
    <t>RPT-REPORT-003</t>
  </si>
  <si>
    <t>Kết xuất</t>
  </si>
  <si>
    <t>Xuất Excel/PDF và lập lịch gửi báo cáo</t>
  </si>
  <si>
    <t>Kết xuất đúng dữ liệu theo quyền, lưu cấu hình và gửi định kỳ.</t>
  </si>
  <si>
    <t>ARC-LEGAL-001</t>
  </si>
  <si>
    <t>Lưu trữ, Pháp lý &amp; Tra cứu</t>
  </si>
  <si>
    <t>Hồ sơ pháp lý</t>
  </si>
  <si>
    <t>Xem danh sách Hồ sơ pháp lý</t>
  </si>
  <si>
    <t>Tra cứu danh sách, phân trang, sắp xếp và lọc Hồ sơ pháp lý theo các tiêu chí nghiệp vụ.</t>
  </si>
  <si>
    <t>Cán bộ KHCN/Pháp chế</t>
  </si>
  <si>
    <t>RD10</t>
  </si>
  <si>
    <t>ARC-LEGAL-002</t>
  </si>
  <si>
    <t>Tạo mới Hồ sơ pháp lý</t>
  </si>
  <si>
    <t>Khởi tạo Hồ sơ pháp lý, kiểm tra dữ liệu bắt buộc và lưu nháp trước khi hoàn tất.</t>
  </si>
  <si>
    <t>ARC-LEGAL-003</t>
  </si>
  <si>
    <t>Xem chi tiết Hồ sơ pháp lý</t>
  </si>
  <si>
    <t>Hiển thị thông tin tổng quan, dữ liệu chi tiết, tài liệu liên quan và trạng thái của Hồ sơ pháp lý.</t>
  </si>
  <si>
    <t>ARC-LEGAL-004</t>
  </si>
  <si>
    <t>Chỉnh sửa Hồ sơ pháp lý</t>
  </si>
  <si>
    <t>Cập nhật Hồ sơ pháp lý khi trạng thái và quyền người dùng cho phép; kiểm soát xung đột cập nhật.</t>
  </si>
  <si>
    <t>ARC-LEGAL-005</t>
  </si>
  <si>
    <t>Xóa/Ngừng sử dụng Hồ sơ pháp lý</t>
  </si>
  <si>
    <t>Xóa logic hoặc ngừng sử dụng Hồ sơ pháp lý sau khi kiểm tra ràng buộc tham chiếu.</t>
  </si>
  <si>
    <t>ARC-LEGAL-006</t>
  </si>
  <si>
    <t>Trình duyệt Hồ sơ pháp lý</t>
  </si>
  <si>
    <t>Kiểm tra điều kiện, khóa phiên bản trình và khởi tạo/tiếp tục quy trình phê duyệt Hồ sơ pháp lý.</t>
  </si>
  <si>
    <t>ARC-LEGAL-007</t>
  </si>
  <si>
    <t>Xem lịch sử Hồ sơ pháp lý</t>
  </si>
  <si>
    <t>Theo dõi phiên bản, thay đổi dữ liệu, người thực hiện và lịch sử xử lý của Hồ sơ pháp lý.</t>
  </si>
  <si>
    <t>ARC-LEGAL-008</t>
  </si>
  <si>
    <t>Phân loại quyết định, hợp đồng, phụ lục và biên bản</t>
  </si>
  <si>
    <t>Gắn loại tài liệu, nhiệm vụ, hiệu lực, mức mật và thời hạn lưu trữ.</t>
  </si>
  <si>
    <t>RD10 thuộc Pha 1 nhưng phạm vi cần chốt theo A4/A5.</t>
  </si>
  <si>
    <t>ARC-ARCH-001</t>
  </si>
  <si>
    <t>Lưu trữ điện tử</t>
  </si>
  <si>
    <t>Nộp lưu</t>
  </si>
  <si>
    <t>Đóng gói và nộp lưu hồ sơ hoàn tất</t>
  </si>
  <si>
    <t>Kiểm tra checklist, tạo gói hồ sơ, checksum, metadata và biên bản nộp lưu.</t>
  </si>
  <si>
    <t>Văn thư/Cán bộ KHCN</t>
  </si>
  <si>
    <t>Cần xác định Storage là hệ ngoài hay kho nội bộ.</t>
  </si>
  <si>
    <t>ARC-ARCH-002</t>
  </si>
  <si>
    <t>Vòng đời lưu trữ</t>
  </si>
  <si>
    <t>Quản lý thời hạn lưu và tiêu hủy</t>
  </si>
  <si>
    <t>Áp dụng retention schedule, legal hold và quy trình phê duyệt tiêu hủy.</t>
  </si>
  <si>
    <t>Văn thư/Pháp chế</t>
  </si>
  <si>
    <t>ARC-SEARCH-001</t>
  </si>
  <si>
    <t>Tra cứu toàn văn</t>
  </si>
  <si>
    <t>Tìm kiếm</t>
  </si>
  <si>
    <t>Tìm kiếm toàn cục</t>
  </si>
  <si>
    <t>Tìm nhiệm vụ, hồ sơ, quyết định, tài liệu, sản phẩm và metadata theo quyền.</t>
  </si>
  <si>
    <t>ARC-SEARCH-002</t>
  </si>
  <si>
    <t>Tìm kiếm toàn văn tài liệu</t>
  </si>
  <si>
    <t>Đánh chỉ mục nội dung được phép, hỗ trợ từ khóa, bộ lọc và highlight.</t>
  </si>
  <si>
    <t>CFG-WFD-001</t>
  </si>
  <si>
    <t>Quy trình &amp; Cấu hình Nghiệp vụ</t>
  </si>
  <si>
    <t>Định nghĩa quy trình</t>
  </si>
  <si>
    <t>Quy trình nghiệp vụ</t>
  </si>
  <si>
    <t>Xem danh sách Quy trình nghiệp vụ</t>
  </si>
  <si>
    <t>Tra cứu danh sách, phân trang, sắp xếp và lọc Quy trình nghiệp vụ theo các tiêu chí nghiệp vụ.</t>
  </si>
  <si>
    <t>Quản trị quy trình/BA</t>
  </si>
  <si>
    <t>CAP-01</t>
  </si>
  <si>
    <t>CFG-WFD-002</t>
  </si>
  <si>
    <t>Tạo mới Quy trình nghiệp vụ</t>
  </si>
  <si>
    <t>Khởi tạo Quy trình nghiệp vụ, kiểm tra dữ liệu bắt buộc và lưu nháp trước khi hoàn tất.</t>
  </si>
  <si>
    <t>CFG-WFD-003</t>
  </si>
  <si>
    <t>Sao chép Quy trình nghiệp vụ</t>
  </si>
  <si>
    <t>Tạo bản mới từ một Quy trình nghiệp vụ hiện hữu và loại bỏ các thông tin không được kế thừa.</t>
  </si>
  <si>
    <t>CFG-WFD-004</t>
  </si>
  <si>
    <t>Xem chi tiết Quy trình nghiệp vụ</t>
  </si>
  <si>
    <t>Hiển thị thông tin tổng quan, dữ liệu chi tiết, tài liệu liên quan và trạng thái của Quy trình nghiệp vụ.</t>
  </si>
  <si>
    <t>CFG-WFD-005</t>
  </si>
  <si>
    <t>Chỉnh sửa Quy trình nghiệp vụ</t>
  </si>
  <si>
    <t>Cập nhật Quy trình nghiệp vụ khi trạng thái và quyền người dùng cho phép; kiểm soát xung đột cập nhật.</t>
  </si>
  <si>
    <t>CFG-WFD-006</t>
  </si>
  <si>
    <t>Xóa/Ngừng sử dụng Quy trình nghiệp vụ</t>
  </si>
  <si>
    <t>Xóa logic hoặc ngừng sử dụng Quy trình nghiệp vụ sau khi kiểm tra ràng buộc tham chiếu.</t>
  </si>
  <si>
    <t>CFG-WFD-007</t>
  </si>
  <si>
    <t>Xem lịch sử Quy trình nghiệp vụ</t>
  </si>
  <si>
    <t>Theo dõi phiên bản, thay đổi dữ liệu, người thực hiện và lịch sử xử lý của Quy trình nghiệp vụ.</t>
  </si>
  <si>
    <t>CFG-WFD-008</t>
  </si>
  <si>
    <t>Quản lý trạng thái Draft/Test/Deployed/Suspended/Retired</t>
  </si>
  <si>
    <t>Kiểm soát chuyển trạng thái, quyền thao tác và điều kiện triển khai/ngừng sử dụng.</t>
  </si>
  <si>
    <t>Quản trị quy trình</t>
  </si>
  <si>
    <t>CFG-WFD-009</t>
  </si>
  <si>
    <t>Phiên bản</t>
  </si>
  <si>
    <t>So sánh và rollback phiên bản quy trình</t>
  </si>
  <si>
    <t>So sánh metadata/BPMN/DMN/form; rollback bằng phiên bản mới, không sửa bản production đang chạy.</t>
  </si>
  <si>
    <t>CAP-01; CAP-03</t>
  </si>
  <si>
    <t>CFG-WFD-010</t>
  </si>
  <si>
    <t>Ban hành phiên bản</t>
  </si>
  <si>
    <t>Quản lý mã hiệu, lần ban hành và thời hạn hiệu lực</t>
  </si>
  <si>
    <t>Mỗi phiên bản có mã hiệu, lần ban hành, ngày hiệu lực, ngày hết hiệu lực và bảng theo dõi sửa đổi theo chuẩn văn bản VHT.</t>
  </si>
  <si>
    <t>Bổ sung theo CAP-03/BRD 0.9</t>
  </si>
  <si>
    <t>CFG-WFD-011</t>
  </si>
  <si>
    <t>Phê duyệt phiên bản quy trình trước khi có hiệu lực</t>
  </si>
  <si>
    <t>Áp dụng chuỗi Biên soạn → Kiểm tra → Thẩm định → Phê duyệt; chỉ phiên bản đã ban hành mới được dùng để khởi tạo hồ sơ.</t>
  </si>
  <si>
    <t>BA/Kiểm soát/Thẩm định/Phê duyệt</t>
  </si>
  <si>
    <t>Cần chốt A5: RD10 hay phân hệ quy trình chịu trách nhiệm.</t>
  </si>
  <si>
    <t>CFG-WFD-012</t>
  </si>
  <si>
    <t>Hiệu lực phiên bản</t>
  </si>
  <si>
    <t>Chọn phiên bản có hiệu lực khi khởi tạo hồ sơ</t>
  </si>
  <si>
    <t>Hồ sơ mới dùng phiên bản có hiệu lực tại thời điểm khởi tạo; lưu cố định workflow version trên process instance.</t>
  </si>
  <si>
    <t>Hệ thống/Quản trị quy trình</t>
  </si>
  <si>
    <t>CFG-WFD-013</t>
  </si>
  <si>
    <t>Giữ phiên bản cho hồ sơ đang xử lý</t>
  </si>
  <si>
    <t>Mặc định hồ sơ chạy hết theo phiên bản lúc khởi tạo; chỉ migration khi có quyết định và công cụ riêng.</t>
  </si>
  <si>
    <t>Quản trị quy trình/Vận hành</t>
  </si>
  <si>
    <t>Chờ chốt câu hỏi B1 của BRD.</t>
  </si>
  <si>
    <t>CFG-BPMN-001</t>
  </si>
  <si>
    <t>BPMN Designer</t>
  </si>
  <si>
    <t>Thiết kế</t>
  </si>
  <si>
    <t>Vẽ và import/export BPMN</t>
  </si>
  <si>
    <t>Canvas BPMN, palette, validation và import/export tệp .bpmn.</t>
  </si>
  <si>
    <t>BA/Quản trị quy trình</t>
  </si>
  <si>
    <t>CFG-BPMN-002</t>
  </si>
  <si>
    <t>Thư viện element và mẫu quy trình</t>
  </si>
  <si>
    <t>Cung cấp element mẫu, subprocess, boundary event và template tái sử dụng.</t>
  </si>
  <si>
    <t>CFG-BPMN-003</t>
  </si>
  <si>
    <t>Kiểm tra</t>
  </si>
  <si>
    <t>Validate BPMN và cấu hình liên quan</t>
  </si>
  <si>
    <t>Kiểm tra cú pháp, user task, service task, form, action, SLA, message và biến.</t>
  </si>
  <si>
    <t>CFG-BPMN-004</t>
  </si>
  <si>
    <t>Triển khai</t>
  </si>
  <si>
    <t>Test deploy và deploy Camunda 8</t>
  </si>
  <si>
    <t>Triển khai môi trường test/production, lưu deployment key và kết quả.</t>
  </si>
  <si>
    <t>CFG-BPMN-005</t>
  </si>
  <si>
    <t>Governance</t>
  </si>
  <si>
    <t>Review và phê duyệt phiên bản BPMN</t>
  </si>
  <si>
    <t>Áp dụng peer review, BA validation, technical validation, UAT và version lock.</t>
  </si>
  <si>
    <t>BA/Kỹ thuật/Quản trị quy trình</t>
  </si>
  <si>
    <t>CFG-DMN-001</t>
  </si>
  <si>
    <t>Luật nghiệp vụ &amp; DMN</t>
  </si>
  <si>
    <t>Quyết định DMN</t>
  </si>
  <si>
    <t>Xem danh sách Quyết định DMN</t>
  </si>
  <si>
    <t>Tra cứu danh sách, phân trang, sắp xếp và lọc Quyết định DMN theo các tiêu chí nghiệp vụ.</t>
  </si>
  <si>
    <t>BA/Quản trị cấu hình</t>
  </si>
  <si>
    <t>CFG-DMN-002</t>
  </si>
  <si>
    <t>Tạo mới Quyết định DMN</t>
  </si>
  <si>
    <t>Khởi tạo Quyết định DMN, kiểm tra dữ liệu bắt buộc và lưu nháp trước khi hoàn tất.</t>
  </si>
  <si>
    <t>CFG-DMN-003</t>
  </si>
  <si>
    <t>Sao chép Quyết định DMN</t>
  </si>
  <si>
    <t>Tạo bản mới từ một Quyết định DMN hiện hữu và loại bỏ các thông tin không được kế thừa.</t>
  </si>
  <si>
    <t>CFG-DMN-004</t>
  </si>
  <si>
    <t>Xem chi tiết Quyết định DMN</t>
  </si>
  <si>
    <t>Hiển thị thông tin tổng quan, dữ liệu chi tiết, tài liệu liên quan và trạng thái của Quyết định DMN.</t>
  </si>
  <si>
    <t>CFG-DMN-005</t>
  </si>
  <si>
    <t>Chỉnh sửa Quyết định DMN</t>
  </si>
  <si>
    <t>Cập nhật Quyết định DMN khi trạng thái và quyền người dùng cho phép; kiểm soát xung đột cập nhật.</t>
  </si>
  <si>
    <t>CFG-DMN-006</t>
  </si>
  <si>
    <t>Xóa/Ngừng sử dụng Quyết định DMN</t>
  </si>
  <si>
    <t>Xóa logic hoặc ngừng sử dụng Quyết định DMN sau khi kiểm tra ràng buộc tham chiếu.</t>
  </si>
  <si>
    <t>CFG-DMN-007</t>
  </si>
  <si>
    <t>Xem lịch sử Quyết định DMN</t>
  </si>
  <si>
    <t>Theo dõi phiên bản, thay đổi dữ liệu, người thực hiện và lịch sử xử lý của Quyết định DMN.</t>
  </si>
  <si>
    <t>CFG-DMN-008</t>
  </si>
  <si>
    <t>Thiết kế decision table, FEEL và DRD</t>
  </si>
  <si>
    <t>Quản lý input/output, hit policy, expression, quan hệ quyết định và kiểm tra cú pháp.</t>
  </si>
  <si>
    <t>CFG-DMN-009</t>
  </si>
  <si>
    <t>Kiểm thử</t>
  </si>
  <si>
    <t>Test và mô phỏng quyết định</t>
  </si>
  <si>
    <t>Chạy bộ dữ liệu test, hiển thị rule match và kết quả giải thích được.</t>
  </si>
  <si>
    <t>BA/QA</t>
  </si>
  <si>
    <t>CFG-DMN-010</t>
  </si>
  <si>
    <t>Tái sử dụng</t>
  </si>
  <si>
    <t>Quản lý rule set dùng chung</t>
  </si>
  <si>
    <t>Cho phép nhiều workflow/module gọi chung một quyết định có version.</t>
  </si>
  <si>
    <t>CFG-APM-001</t>
  </si>
  <si>
    <t>Ma trận phê duyệt</t>
  </si>
  <si>
    <t>Xem danh sách Ma trận phê duyệt</t>
  </si>
  <si>
    <t>Tra cứu danh sách, phân trang, sắp xếp và lọc Ma trận phê duyệt theo các tiêu chí nghiệp vụ.</t>
  </si>
  <si>
    <t>CFG-APM-002</t>
  </si>
  <si>
    <t>Tạo mới Ma trận phê duyệt</t>
  </si>
  <si>
    <t>Khởi tạo Ma trận phê duyệt, kiểm tra dữ liệu bắt buộc và lưu nháp trước khi hoàn tất.</t>
  </si>
  <si>
    <t>CFG-APM-003</t>
  </si>
  <si>
    <t>Sao chép Ma trận phê duyệt</t>
  </si>
  <si>
    <t>Tạo bản mới từ một Ma trận phê duyệt hiện hữu và loại bỏ các thông tin không được kế thừa.</t>
  </si>
  <si>
    <t>CFG-APM-004</t>
  </si>
  <si>
    <t>Xem chi tiết Ma trận phê duyệt</t>
  </si>
  <si>
    <t>Hiển thị thông tin tổng quan, dữ liệu chi tiết, tài liệu liên quan và trạng thái của Ma trận phê duyệt.</t>
  </si>
  <si>
    <t>CFG-APM-005</t>
  </si>
  <si>
    <t>Chỉnh sửa Ma trận phê duyệt</t>
  </si>
  <si>
    <t>Cập nhật Ma trận phê duyệt khi trạng thái và quyền người dùng cho phép; kiểm soát xung đột cập nhật.</t>
  </si>
  <si>
    <t>CFG-APM-006</t>
  </si>
  <si>
    <t>Xóa/Ngừng sử dụng Ma trận phê duyệt</t>
  </si>
  <si>
    <t>Xóa logic hoặc ngừng sử dụng Ma trận phê duyệt sau khi kiểm tra ràng buộc tham chiếu.</t>
  </si>
  <si>
    <t>CFG-APM-007</t>
  </si>
  <si>
    <t>Xem lịch sử Ma trận phê duyệt</t>
  </si>
  <si>
    <t>Theo dõi phiên bản, thay đổi dữ liệu, người thực hiện và lịch sử xử lý của Ma trận phê duyệt.</t>
  </si>
  <si>
    <t>CFG-APM-008</t>
  </si>
  <si>
    <t>Routing</t>
  </si>
  <si>
    <t>Cấu hình tuyến tuần tự/song song</t>
  </si>
  <si>
    <t>Định nghĩa step, approver resolver, quorum, sequence và điều kiện áp dụng.</t>
  </si>
  <si>
    <t>CFG-APM-009</t>
  </si>
  <si>
    <t>Resolver</t>
  </si>
  <si>
    <t>Xác định người xử lý động</t>
  </si>
  <si>
    <t>Resolve theo role, đơn vị, cấp trên, hội đồng, danh sách chỉ định, delegation và substitute.</t>
  </si>
  <si>
    <t>CFG-APM-010</t>
  </si>
  <si>
    <t>Mô phỏng tuyến phê duyệt</t>
  </si>
  <si>
    <t>Nhập ngữ cảnh nhiệm vụ và giải thích tuyến, người xử lý, rule áp dụng.</t>
  </si>
  <si>
    <t>CFG-APM-011</t>
  </si>
  <si>
    <t>Loại phê duyệt</t>
  </si>
  <si>
    <t>Quản lý danh mục loại phê duyệt</t>
  </si>
  <si>
    <t>CRUD, trạng thái, thứ tự, quan hệ với action/outcome và kiểm tra sử dụng.</t>
  </si>
  <si>
    <t>Sửa lỗi nhóm dòng 33-36 VHT_WBS</t>
  </si>
  <si>
    <t>CFG-ACT-001</t>
  </si>
  <si>
    <t>Cấu hình hành động</t>
  </si>
  <si>
    <t>Luật hiển thị hành động</t>
  </si>
  <si>
    <t>Xem danh sách Luật hiển thị hành động</t>
  </si>
  <si>
    <t>Tra cứu danh sách, phân trang, sắp xếp và lọc Luật hiển thị hành động theo các tiêu chí nghiệp vụ.</t>
  </si>
  <si>
    <t>CFG-ACT-002</t>
  </si>
  <si>
    <t>Tạo mới Luật hiển thị hành động</t>
  </si>
  <si>
    <t>Khởi tạo Luật hiển thị hành động, kiểm tra dữ liệu bắt buộc và lưu nháp trước khi hoàn tất.</t>
  </si>
  <si>
    <t>CFG-ACT-003</t>
  </si>
  <si>
    <t>Xem chi tiết Luật hiển thị hành động</t>
  </si>
  <si>
    <t>Hiển thị thông tin tổng quan, dữ liệu chi tiết, tài liệu liên quan và trạng thái của Luật hiển thị hành động.</t>
  </si>
  <si>
    <t>CFG-ACT-004</t>
  </si>
  <si>
    <t>Chỉnh sửa Luật hiển thị hành động</t>
  </si>
  <si>
    <t>Cập nhật Luật hiển thị hành động khi trạng thái và quyền người dùng cho phép; kiểm soát xung đột cập nhật.</t>
  </si>
  <si>
    <t>CFG-ACT-005</t>
  </si>
  <si>
    <t>Xóa/Ngừng sử dụng Luật hiển thị hành động</t>
  </si>
  <si>
    <t>Xóa logic hoặc ngừng sử dụng Luật hiển thị hành động sau khi kiểm tra ràng buộc tham chiếu.</t>
  </si>
  <si>
    <t>CFG-ACT-006</t>
  </si>
  <si>
    <t>Xem lịch sử Luật hiển thị hành động</t>
  </si>
  <si>
    <t>Theo dõi phiên bản, thay đổi dữ liệu, người thực hiện và lịch sử xử lý của Luật hiển thị hành động.</t>
  </si>
  <si>
    <t>CFG-ACT-007</t>
  </si>
  <si>
    <t>Action Registry</t>
  </si>
  <si>
    <t>Xem danh mục hành động hệ thống</t>
  </si>
  <si>
    <t>Quản lý metadata hiển thị cho action chuẩn/support/exception; không cho tạo logic action tùy ý.</t>
  </si>
  <si>
    <t>CFG-ACT-008</t>
  </si>
  <si>
    <t>Presentation</t>
  </si>
  <si>
    <t>Cấu hình nhãn, icon, tooltip, nhóm và thứ tự</t>
  </si>
  <si>
    <t>Tùy biến trình bày theo workflow/step mà không thay đổi hành vi backend.</t>
  </si>
  <si>
    <t>CFG-ACT-009</t>
  </si>
  <si>
    <t>Đối soát BPMN</t>
  </si>
  <si>
    <t>Đồng bộ và đối soát User Task với action policy</t>
  </si>
  <si>
    <t>Phát hiện step thiếu policy, action không hợp lệ và cấu hình không còn tham chiếu.</t>
  </si>
  <si>
    <t>CFG-ACT-010</t>
  </si>
  <si>
    <t>Mô phỏng available-actions</t>
  </si>
  <si>
    <t>Giải thích action hiển thị/ẩn theo workflow context, permission, rule, dossier state và exception policy.</t>
  </si>
  <si>
    <t>CFG-NTF-001</t>
  </si>
  <si>
    <t>Thông báo</t>
  </si>
  <si>
    <t>Mẫu thông báo</t>
  </si>
  <si>
    <t>Xem danh sách Mẫu thông báo</t>
  </si>
  <si>
    <t>Tra cứu danh sách, phân trang, sắp xếp và lọc Mẫu thông báo theo các tiêu chí nghiệp vụ.</t>
  </si>
  <si>
    <t>Bổ sung theo EPIC10</t>
  </si>
  <si>
    <t>CFG-NTF-002</t>
  </si>
  <si>
    <t>Tạo mới Mẫu thông báo</t>
  </si>
  <si>
    <t>Khởi tạo Mẫu thông báo, kiểm tra dữ liệu bắt buộc và lưu nháp trước khi hoàn tất.</t>
  </si>
  <si>
    <t>CFG-NTF-003</t>
  </si>
  <si>
    <t>Sao chép Mẫu thông báo</t>
  </si>
  <si>
    <t>Tạo bản mới từ một Mẫu thông báo hiện hữu và loại bỏ các thông tin không được kế thừa.</t>
  </si>
  <si>
    <t>CFG-NTF-004</t>
  </si>
  <si>
    <t>Xem chi tiết Mẫu thông báo</t>
  </si>
  <si>
    <t>Hiển thị thông tin tổng quan, dữ liệu chi tiết, tài liệu liên quan và trạng thái của Mẫu thông báo.</t>
  </si>
  <si>
    <t>CFG-NTF-005</t>
  </si>
  <si>
    <t>Chỉnh sửa Mẫu thông báo</t>
  </si>
  <si>
    <t>Cập nhật Mẫu thông báo khi trạng thái và quyền người dùng cho phép; kiểm soát xung đột cập nhật.</t>
  </si>
  <si>
    <t>CFG-NTF-006</t>
  </si>
  <si>
    <t>Xóa/Ngừng sử dụng Mẫu thông báo</t>
  </si>
  <si>
    <t>Xóa logic hoặc ngừng sử dụng Mẫu thông báo sau khi kiểm tra ràng buộc tham chiếu.</t>
  </si>
  <si>
    <t>CFG-NTF-007</t>
  </si>
  <si>
    <t>Xem lịch sử Mẫu thông báo</t>
  </si>
  <si>
    <t>Theo dõi phiên bản, thay đổi dữ liệu, người thực hiện và lịch sử xử lý của Mẫu thông báo.</t>
  </si>
  <si>
    <t>CFG-NTF-008</t>
  </si>
  <si>
    <t>Kênh</t>
  </si>
  <si>
    <t>Cấu hình Email/SMS/Web/App/Teams</t>
  </si>
  <si>
    <t>Quản lý kênh, endpoint, sender, giới hạn và fallback.</t>
  </si>
  <si>
    <t>CFG-NTF-009</t>
  </si>
  <si>
    <t>Trigger</t>
  </si>
  <si>
    <t>Gắn thông báo với sự kiện nghiệp vụ</t>
  </si>
  <si>
    <t>Cấu hình event, đối tượng nhận, mẫu, delay và điều kiện gửi.</t>
  </si>
  <si>
    <t>CFG-NTF-010</t>
  </si>
  <si>
    <t>Theo dõi</t>
  </si>
  <si>
    <t>Theo dõi trạng thái gửi và gửi lại</t>
  </si>
  <si>
    <t>Ghi nhận pending/sent/failed, retry có kiểm soát và audit.</t>
  </si>
  <si>
    <t>Quản trị vận hành</t>
  </si>
  <si>
    <t>Vận hành</t>
  </si>
  <si>
    <t>CFG-SLA-001</t>
  </si>
  <si>
    <t>SLA &amp; Escalation</t>
  </si>
  <si>
    <t>Chính sách SLA</t>
  </si>
  <si>
    <t>Xem danh sách Chính sách SLA</t>
  </si>
  <si>
    <t>Tra cứu danh sách, phân trang, sắp xếp và lọc Chính sách SLA theo các tiêu chí nghiệp vụ.</t>
  </si>
  <si>
    <t>Bổ sung theo EPIC11</t>
  </si>
  <si>
    <t>CFG-SLA-002</t>
  </si>
  <si>
    <t>Tạo mới Chính sách SLA</t>
  </si>
  <si>
    <t>Khởi tạo Chính sách SLA, kiểm tra dữ liệu bắt buộc và lưu nháp trước khi hoàn tất.</t>
  </si>
  <si>
    <t>CFG-SLA-003</t>
  </si>
  <si>
    <t>Sao chép Chính sách SLA</t>
  </si>
  <si>
    <t>Tạo bản mới từ một Chính sách SLA hiện hữu và loại bỏ các thông tin không được kế thừa.</t>
  </si>
  <si>
    <t>CFG-SLA-004</t>
  </si>
  <si>
    <t>Xem chi tiết Chính sách SLA</t>
  </si>
  <si>
    <t>Hiển thị thông tin tổng quan, dữ liệu chi tiết, tài liệu liên quan và trạng thái của Chính sách SLA.</t>
  </si>
  <si>
    <t>CFG-SLA-005</t>
  </si>
  <si>
    <t>Chỉnh sửa Chính sách SLA</t>
  </si>
  <si>
    <t>Cập nhật Chính sách SLA khi trạng thái và quyền người dùng cho phép; kiểm soát xung đột cập nhật.</t>
  </si>
  <si>
    <t>CFG-SLA-006</t>
  </si>
  <si>
    <t>Xóa/Ngừng sử dụng Chính sách SLA</t>
  </si>
  <si>
    <t>Xóa logic hoặc ngừng sử dụng Chính sách SLA sau khi kiểm tra ràng buộc tham chiếu.</t>
  </si>
  <si>
    <t>CFG-SLA-007</t>
  </si>
  <si>
    <t>Xem lịch sử Chính sách SLA</t>
  </si>
  <si>
    <t>Theo dõi phiên bản, thay đổi dữ liệu, người thực hiện và lịch sử xử lý của Chính sách SLA.</t>
  </si>
  <si>
    <t>CFG-SLA-008</t>
  </si>
  <si>
    <t>Lịch làm việc</t>
  </si>
  <si>
    <t>Cấu hình lịch làm việc và ngày nghỉ</t>
  </si>
  <si>
    <t>Tính hạn theo timezone, ngày làm việc, ngày nghỉ và lịch đặc thù đơn vị.</t>
  </si>
  <si>
    <t>CFG-SLA-009</t>
  </si>
  <si>
    <t>Escalation</t>
  </si>
  <si>
    <t>Cấu hình nhắc việc và escalation chain</t>
  </si>
  <si>
    <t>Cấu hình mốc nhắc, người nhận, cấp escalation và action khi vi phạm.</t>
  </si>
  <si>
    <t>CFG-MST-001</t>
  </si>
  <si>
    <t>Danh mục dùng chung</t>
  </si>
  <si>
    <t>Danh mục nghiệp vụ</t>
  </si>
  <si>
    <t>Xem danh sách Danh mục nghiệp vụ</t>
  </si>
  <si>
    <t>Tra cứu danh sách, phân trang, sắp xếp và lọc Danh mục nghiệp vụ theo các tiêu chí nghiệp vụ.</t>
  </si>
  <si>
    <t>Quản trị dữ liệu</t>
  </si>
  <si>
    <t>Bổ sung theo EPIC12</t>
  </si>
  <si>
    <t>CFG-MST-002</t>
  </si>
  <si>
    <t>Tạo mới Danh mục nghiệp vụ</t>
  </si>
  <si>
    <t>Khởi tạo Danh mục nghiệp vụ, kiểm tra dữ liệu bắt buộc và lưu nháp trước khi hoàn tất.</t>
  </si>
  <si>
    <t>CFG-MST-003</t>
  </si>
  <si>
    <t>Xem chi tiết Danh mục nghiệp vụ</t>
  </si>
  <si>
    <t>Hiển thị thông tin tổng quan, dữ liệu chi tiết, tài liệu liên quan và trạng thái của Danh mục nghiệp vụ.</t>
  </si>
  <si>
    <t>CFG-MST-004</t>
  </si>
  <si>
    <t>Chỉnh sửa Danh mục nghiệp vụ</t>
  </si>
  <si>
    <t>Cập nhật Danh mục nghiệp vụ khi trạng thái và quyền người dùng cho phép; kiểm soát xung đột cập nhật.</t>
  </si>
  <si>
    <t>CFG-MST-005</t>
  </si>
  <si>
    <t>Xóa/Ngừng sử dụng Danh mục nghiệp vụ</t>
  </si>
  <si>
    <t>Xóa logic hoặc ngừng sử dụng Danh mục nghiệp vụ sau khi kiểm tra ràng buộc tham chiếu.</t>
  </si>
  <si>
    <t>CFG-MST-006</t>
  </si>
  <si>
    <t>Xem lịch sử Danh mục nghiệp vụ</t>
  </si>
  <si>
    <t>Theo dõi phiên bản, thay đổi dữ liệu, người thực hiện và lịch sử xử lý của Danh mục nghiệp vụ.</t>
  </si>
  <si>
    <t>CFG-MST-007</t>
  </si>
  <si>
    <t>Giá trị danh mục</t>
  </si>
  <si>
    <t>Import/Export và version danh mục</t>
  </si>
  <si>
    <t>Hỗ trợ hiệu lực, mã ngoài, mapping và kiểm tra tham chiếu trước khi ngừng dùng.</t>
  </si>
  <si>
    <t>CFG-DSH-001</t>
  </si>
  <si>
    <t>Cấu hình dashboard</t>
  </si>
  <si>
    <t>Dashboard</t>
  </si>
  <si>
    <t>Thiết kế dashboard và bố cục widget</t>
  </si>
  <si>
    <t>Tạo dashboard, widget, layout, filter, permission và view cá nhân.</t>
  </si>
  <si>
    <t>Quản trị báo cáo</t>
  </si>
  <si>
    <t>CFG-DSH-002</t>
  </si>
  <si>
    <t>Metric</t>
  </si>
  <si>
    <t>Quản lý metric và nguồn dữ liệu</t>
  </si>
  <si>
    <t>Khai báo công thức, đơn vị đo, dimension, refresh và quyền truy cập.</t>
  </si>
  <si>
    <t>INT-HUB-001</t>
  </si>
  <si>
    <t>Tích hợp Hệ thống</t>
  </si>
  <si>
    <t>Integration Hub</t>
  </si>
  <si>
    <t>Cấu hình tích hợp</t>
  </si>
  <si>
    <t>Xem danh sách Cấu hình tích hợp</t>
  </si>
  <si>
    <t>Tra cứu danh sách, phân trang, sắp xếp và lọc Cấu hình tích hợp theo các tiêu chí nghiệp vụ.</t>
  </si>
  <si>
    <t>Quản trị tích hợp</t>
  </si>
  <si>
    <t>CAP-15</t>
  </si>
  <si>
    <t>Thay thế dòng Tích hợp chung trong VHT_WBS</t>
  </si>
  <si>
    <t>INT-HUB-002</t>
  </si>
  <si>
    <t>Tạo mới Cấu hình tích hợp</t>
  </si>
  <si>
    <t>Khởi tạo Cấu hình tích hợp, kiểm tra dữ liệu bắt buộc và lưu nháp trước khi hoàn tất.</t>
  </si>
  <si>
    <t>INT-HUB-003</t>
  </si>
  <si>
    <t>Sao chép Cấu hình tích hợp</t>
  </si>
  <si>
    <t>Tạo bản mới từ một Cấu hình tích hợp hiện hữu và loại bỏ các thông tin không được kế thừa.</t>
  </si>
  <si>
    <t>INT-HUB-004</t>
  </si>
  <si>
    <t>Xem chi tiết Cấu hình tích hợp</t>
  </si>
  <si>
    <t>Hiển thị thông tin tổng quan, dữ liệu chi tiết, tài liệu liên quan và trạng thái của Cấu hình tích hợp.</t>
  </si>
  <si>
    <t>INT-HUB-005</t>
  </si>
  <si>
    <t>Chỉnh sửa Cấu hình tích hợp</t>
  </si>
  <si>
    <t>Cập nhật Cấu hình tích hợp khi trạng thái và quyền người dùng cho phép; kiểm soát xung đột cập nhật.</t>
  </si>
  <si>
    <t>INT-HUB-006</t>
  </si>
  <si>
    <t>Xóa/Ngừng sử dụng Cấu hình tích hợp</t>
  </si>
  <si>
    <t>Xóa logic hoặc ngừng sử dụng Cấu hình tích hợp sau khi kiểm tra ràng buộc tham chiếu.</t>
  </si>
  <si>
    <t>INT-HUB-007</t>
  </si>
  <si>
    <t>Xem lịch sử Cấu hình tích hợp</t>
  </si>
  <si>
    <t>Theo dõi phiên bản, thay đổi dữ liệu, người thực hiện và lịch sử xử lý của Cấu hình tích hợp.</t>
  </si>
  <si>
    <t>INT-CONN-001</t>
  </si>
  <si>
    <t>Connector hệ thống</t>
  </si>
  <si>
    <t>Connector</t>
  </si>
  <si>
    <t>Tích hợp QLNS/AD</t>
  </si>
  <si>
    <t>Đồng bộ người dùng, tổ chức, chức danh và trạng thái nhân sự.</t>
  </si>
  <si>
    <t>Quản trị tích hợp/Worker</t>
  </si>
  <si>
    <t>INT-CONN-002</t>
  </si>
  <si>
    <t>Tích hợp MS/Mua sắm</t>
  </si>
  <si>
    <t>Đồng bộ nhu cầu, gói mua sắm và trạng thái thực hiện.</t>
  </si>
  <si>
    <t>INT-CONN-003</t>
  </si>
  <si>
    <t>Tích hợp SAP/Tài chính</t>
  </si>
  <si>
    <t>Đồng bộ ngân sách, giải ngân, chi phí, chứng từ và quyết toán.</t>
  </si>
  <si>
    <t>INT-CONN-004</t>
  </si>
  <si>
    <t>Tích hợp QLTS</t>
  </si>
  <si>
    <t>Đồng bộ tài sản hình thành, bàn giao và trạng thái quản lý.</t>
  </si>
  <si>
    <t>INT-CONN-005</t>
  </si>
  <si>
    <t>Tích hợp PLM</t>
  </si>
  <si>
    <t>Đồng bộ milestone, deliverable và tiến độ kỹ thuật.</t>
  </si>
  <si>
    <t>INT-CONN-006</t>
  </si>
  <si>
    <t>Tích hợp Storage/DMS</t>
  </si>
  <si>
    <t>Lưu trữ, phiên bản và tìm kiếm tài liệu; phạm vi ký số được xác nhận riêng.</t>
  </si>
  <si>
    <t>RD08 thuộc Pha 1 và phụ thuộc Storage; cần chốt B5.</t>
  </si>
  <si>
    <t>INT-CONN-007</t>
  </si>
  <si>
    <t>Tích hợp CRM/Hệ thống khác</t>
  </si>
  <si>
    <t>Trao đổi dữ liệu đối tác, ứng dụng/chuyển giao và thông tin liên quan.</t>
  </si>
  <si>
    <t>INT-CONN-008</t>
  </si>
  <si>
    <t>Tích hợp Camunda 8</t>
  </si>
  <si>
    <t>Tích hợp Zeebe/REST cho deploy, start, task, variable, incident và monitoring.</t>
  </si>
  <si>
    <t>INT-OPS-001</t>
  </si>
  <si>
    <t>Vận hành tích hợp</t>
  </si>
  <si>
    <t>Giám sát</t>
  </si>
  <si>
    <t>Theo dõi giao dịch và lỗi tích hợp</t>
  </si>
  <si>
    <t>Tra cứu request/response đã che dữ liệu nhạy cảm, trạng thái, retry và correlation id.</t>
  </si>
  <si>
    <t>INT-OPS-002</t>
  </si>
  <si>
    <t>Độ tin cậy</t>
  </si>
  <si>
    <t>Outbox/Inbox, idempotency và retry</t>
  </si>
  <si>
    <t>Bảo đảm không mất/trùng event, hỗ trợ dead-letter và replay có kiểm soát.</t>
  </si>
  <si>
    <t>Quản trị tích hợp/Kỹ thuật</t>
  </si>
  <si>
    <t>INT-OPS-003</t>
  </si>
  <si>
    <t>Đối soát dữ liệu định kỳ</t>
  </si>
  <si>
    <t>So sánh dữ liệu hai hệ thống, ghi nhận sai lệch, phân công và xác nhận xử lý.</t>
  </si>
  <si>
    <t>Quản trị tích hợp/Cán bộ nghiệp vụ</t>
  </si>
  <si>
    <t>OPS-RUNTIME-001</t>
  </si>
  <si>
    <t>Vận hành Workflow &amp; Hệ thống</t>
  </si>
  <si>
    <t>Workflow Runtime Administration</t>
  </si>
  <si>
    <t>Process operation</t>
  </si>
  <si>
    <t>Tra cứu process instance</t>
  </si>
  <si>
    <t>Tìm theo business key, process, version, trạng thái, thời gian và đơn vị.</t>
  </si>
  <si>
    <t>CAP-01; CAP-17</t>
  </si>
  <si>
    <t>Bổ sung theo EPIC16</t>
  </si>
  <si>
    <t>OPS-RUNTIME-002</t>
  </si>
  <si>
    <t>Xem sơ đồ và bước đang chạy</t>
  </si>
  <si>
    <t>Hiển thị BPMN overlay, active token, completed activity và timeline.</t>
  </si>
  <si>
    <t>OPS-RUNTIME-003</t>
  </si>
  <si>
    <t>Xem process variables an toàn</t>
  </si>
  <si>
    <t>Che dữ liệu nhạy cảm và giới hạn chỉnh sửa theo quyền.</t>
  </si>
  <si>
    <t>OPS-RUNTIME-004</t>
  </si>
  <si>
    <t>Quản lý incident và failed job</t>
  </si>
  <si>
    <t>Xem nguyên nhân, stack/correlation và tác động nghiệp vụ.</t>
  </si>
  <si>
    <t>OPS-RUNTIME-005</t>
  </si>
  <si>
    <t>Retry failed job</t>
  </si>
  <si>
    <t>Retry đơn lẻ/batch với xác nhận, giới hạn và audit.</t>
  </si>
  <si>
    <t>OPS-RUNTIME-006</t>
  </si>
  <si>
    <t>Reassign/Delegate task</t>
  </si>
  <si>
    <t>Can thiệp task theo quy trình phê duyệt vận hành và audit.</t>
  </si>
  <si>
    <t>OPS-RUNTIME-007</t>
  </si>
  <si>
    <t>Cancel/Terminate instance</t>
  </si>
  <si>
    <t>Kết thúc instance có lý do, kiểm tra tác động và đồng bộ trạng thái nghiệp vụ.</t>
  </si>
  <si>
    <t>OPS-RUNTIME-008</t>
  </si>
  <si>
    <t>Restart từ một bước</t>
  </si>
  <si>
    <t>Tạo instance mới hoặc process modification theo chính sách, giữ liên kết instance cũ.</t>
  </si>
  <si>
    <t>OPS-RUNTIME-009</t>
  </si>
  <si>
    <t>Batch operation</t>
  </si>
  <si>
    <t>Thực hiện thao tác hàng loạt có preview, quyền riêng và báo cáo kết quả.</t>
  </si>
  <si>
    <t>OPS-RUNTIME-010</t>
  </si>
  <si>
    <t>Theo dõi SLA instance</t>
  </si>
  <si>
    <t>Xem hạn, vi phạm, escalation và thời gian chờ theo từng bước.</t>
  </si>
  <si>
    <t>OPS-MON-001</t>
  </si>
  <si>
    <t>Giám sát hệ thống</t>
  </si>
  <si>
    <t>Application</t>
  </si>
  <si>
    <t>Theo dõi sức khỏe ứng dụng và worker</t>
  </si>
  <si>
    <t>Dashboard API latency, error rate, DB, queue, worker failure và tài nguyên.</t>
  </si>
  <si>
    <t>Quản trị vận hành/Kỹ thuật</t>
  </si>
  <si>
    <t>OPS-MON-002</t>
  </si>
  <si>
    <t>Business</t>
  </si>
  <si>
    <t>Theo dõi cảnh báo nghiệp vụ</t>
  </si>
  <si>
    <t>Hồ sơ quá hạn, nhiệm vụ trễ, quyết toán chậm, hội đồng chưa hoàn tất và đồng bộ lỗi.</t>
  </si>
  <si>
    <t>Quản trị vận hành/Cán bộ KHCN</t>
  </si>
  <si>
    <t>SYS-AUD-001</t>
  </si>
  <si>
    <t>Audit, An toàn &amp; Cấu hình Hệ thống</t>
  </si>
  <si>
    <t>Audit &amp; tuân thủ</t>
  </si>
  <si>
    <t>Audit đăng nhập và phiên</t>
  </si>
  <si>
    <t>Ghi nhận đăng nhập, đăng xuất, thất bại, thiết bị và phiên.</t>
  </si>
  <si>
    <t>Audit/Quản trị hệ thống</t>
  </si>
  <si>
    <t>CAP-19</t>
  </si>
  <si>
    <t>Bổ sung theo EPIC14</t>
  </si>
  <si>
    <t>SYS-AUD-002</t>
  </si>
  <si>
    <t>Audit thay đổi dữ liệu</t>
  </si>
  <si>
    <t>Ghi trước/sau, actor, nguồn, thời gian và correlation id.</t>
  </si>
  <si>
    <t>SYS-AUD-003</t>
  </si>
  <si>
    <t>Audit phê duyệt và workflow</t>
  </si>
  <si>
    <t>Ghi task, outcome, lý do, người đại diện, process/step/version.</t>
  </si>
  <si>
    <t>SYS-AUD-004</t>
  </si>
  <si>
    <t>Audit chữ ký số</t>
  </si>
  <si>
    <t>Ghi chứng thư, kết quả xác minh, thời gian và tài liệu ký.</t>
  </si>
  <si>
    <t>SYS-AUD-005</t>
  </si>
  <si>
    <t>Audit tích hợp</t>
  </si>
  <si>
    <t>Ghi hệ thống nguồn/đích, giao dịch, retry và kết quả đối soát.</t>
  </si>
  <si>
    <t>SYS-AUD-006</t>
  </si>
  <si>
    <t>Tra cứu và xuất audit</t>
  </si>
  <si>
    <t>Lọc theo đối tượng, người dùng, thời gian, action và xuất theo quyền.</t>
  </si>
  <si>
    <t>SYS-CFG-001</t>
  </si>
  <si>
    <t>Cấu hình hệ thống</t>
  </si>
  <si>
    <t>Tham số</t>
  </si>
  <si>
    <t>Quản lý tham số hệ thống</t>
  </si>
  <si>
    <t>Quản lý key/value, kiểu dữ liệu, môi trường, hiệu lực, secret masking và lịch sử.</t>
  </si>
  <si>
    <t>SYS-CFG-002</t>
  </si>
  <si>
    <t>Feature toggle</t>
  </si>
  <si>
    <t>Quản lý feature toggle</t>
  </si>
  <si>
    <t>Bật/tắt theo môi trường, đơn vị hoặc nhóm người dùng; có audit và thời hạn.</t>
  </si>
  <si>
    <t>SYS-CFG-003</t>
  </si>
  <si>
    <t>Job</t>
  </si>
  <si>
    <t>Quản lý tác vụ nền và lịch chạy</t>
  </si>
  <si>
    <t>Theo dõi scheduler, trạng thái, chạy lại và khóa chạy trùng.</t>
  </si>
  <si>
    <t>SYS-SEC-001</t>
  </si>
  <si>
    <t>An toàn thông tin</t>
  </si>
  <si>
    <t>Phân loại và che dữ liệu nhạy cảm</t>
  </si>
  <si>
    <t>Áp dụng mask, encryption, field/document permission và chính sách tải xuống.</t>
  </si>
  <si>
    <t>Quản trị an toàn thông tin</t>
  </si>
  <si>
    <t>SYS-SEC-002</t>
  </si>
  <si>
    <t>Quản lý phiên và chính sách truy cập</t>
  </si>
  <si>
    <t>Timeout, khóa tài khoản ứng dụng, giới hạn phiên, IP/device policy khi áp dụng.</t>
  </si>
  <si>
    <t>HLP-HELP-001</t>
  </si>
  <si>
    <t>Trợ giúp &amp; Hỗ trợ Người dùng</t>
  </si>
  <si>
    <t>Hướng dẫn sử dụng</t>
  </si>
  <si>
    <t>Nội dung</t>
  </si>
  <si>
    <t>Tra cứu hướng dẫn theo chức năng</t>
  </si>
  <si>
    <t>Cung cấp hướng dẫn, quy trình thao tác, FAQ và liên kết từ màn hình hiện tại.</t>
  </si>
  <si>
    <t>Hỗ trợ</t>
  </si>
  <si>
    <t>HLP-HELP-002</t>
  </si>
  <si>
    <t>Onboarding</t>
  </si>
  <si>
    <t>Hướng dẫn người dùng mới</t>
  </si>
  <si>
    <t>Tour theo vai trò, checklist bắt đầu và dữ liệu mẫu khi được phép.</t>
  </si>
  <si>
    <t>HLP-SUP-001</t>
  </si>
  <si>
    <t>Yêu cầu hỗ trợ</t>
  </si>
  <si>
    <t>Gửi yêu cầu hỗ trợ kèm ngữ cảnh</t>
  </si>
  <si>
    <t>Gửi màn hình, mã lỗi/correlation id và mô tả; không đính kèm dữ liệu nhạy cảm mặc định.</t>
  </si>
  <si>
    <t>AIA-PLT-001</t>
  </si>
  <si>
    <t>Trợ lý AI hỗ trợ nghiệp vụ</t>
  </si>
  <si>
    <t>Nền tảng AI</t>
  </si>
  <si>
    <t>Quản trị tri thức</t>
  </si>
  <si>
    <t>Quản lý checklist và tri thức cho AI</t>
  </si>
  <si>
    <t>Khai báo checklist soát xét, biểu mẫu chuẩn và tri thức nghiệp vụ theo loại hồ sơ; phiên bản hóa và phê duyệt trước khi AI sử dụng, theo mô hình ban hành của CAP-03.</t>
  </si>
  <si>
    <t>CAP-21</t>
  </si>
  <si>
    <t>Bổ sung theo CAP-21/VHT_AIAgnet</t>
  </si>
  <si>
    <t>Phạm vi tùy chọn; chờ chốt A7. Áp dụng AI-AC-01…AI-AC-07 nếu được duyệt. Gợi ý tách biệt với dữ liệu đã xác nhận, có căn cứ và chỉ được ghi sau khi người dùng xác nhận. Kết quả theo từng tiêu chí đạt/chưa đạt/cần lưu ý và truy được phiên bản checklist. Audit truy được hồ sơ/Task, nguồn, mô hình, checklist và quyết định người dùng. Phản hồi không tự thay đổi mô hình/checklist hoặc thành dữ liệu huấn luyện khi chưa phê duyệt.</t>
  </si>
  <si>
    <t>REQ-064; REQ-065; NFR-010; NFR-012</t>
  </si>
  <si>
    <t>AIA-PLT-002</t>
  </si>
  <si>
    <t>Bật/tắt trợ lý AI theo luồng và bước</t>
  </si>
  <si>
    <t>Cấu hình phạm vi áp dụng AI theo quy trình, bước và loại hồ sơ; tắt được toàn cục khi cần.</t>
  </si>
  <si>
    <t>Phạm vi tùy chọn; chờ chốt A7. Áp dụng AI-AC-01…AI-AC-07 nếu được duyệt. AI không hoàn tất User Task, đổi cột mốc, phê duyệt hoặc ghi đè dữ liệu nghiệp vụ. Lỗi/timeout/thiếu căn cứ không làm kẹt quy trình; người dùng tiếp tục thủ công.</t>
  </si>
  <si>
    <t>NFR-009; NFR-011</t>
  </si>
  <si>
    <t>AIA-PLT-003</t>
  </si>
  <si>
    <t>Retrieval &amp; căn cứ</t>
  </si>
  <si>
    <t>Truy xuất tài liệu và giữ căn cứ nguồn</t>
  </si>
  <si>
    <t>Chỉ tìm trong tập hồ sơ/tài liệu đã được Core Backend lọc quyền; mỗi đoạn sử dụng giữ định danh tài liệu, phiên bản và vị trí để người dùng truy ngược.</t>
  </si>
  <si>
    <t>Quản trị tri thức/Người dùng nghiệp vụ</t>
  </si>
  <si>
    <t>AI hỗ trợ</t>
  </si>
  <si>
    <t>Phạm vi tùy chọn; chờ chốt A7. Áp dụng AI-AC-01…AI-AC-07 nếu được duyệt. Gợi ý tách biệt với dữ liệu đã xác nhận, có căn cứ và chỉ được ghi sau khi người dùng xác nhận. Kết quả theo từng tiêu chí đạt/chưa đạt/cần lưu ý và truy được phiên bản checklist. Cảnh báo có loại, mức độ, dữ liệu so sánh và lý do; không tự chặn/chuyển bước. Audit truy được hồ sơ/Task, nguồn, mô hình, checklist và quyết định người dùng.</t>
  </si>
  <si>
    <t>REQ-064; REQ-065; REQ-066; NFR-010</t>
  </si>
  <si>
    <t>AIA-PLT-004</t>
  </si>
  <si>
    <t>Model serving</t>
  </si>
  <si>
    <t>Vận hành mô hình AI on-premise</t>
  </si>
  <si>
    <t>Quản lý endpoint mô hình, phiên bản, trạng thái sẵn sàng và cấu hình triển khai trong hạ tầng được VHT chấp thuận; không gửi dữ liệu hồ sơ tới dịch vụ AI bên ngoài.</t>
  </si>
  <si>
    <t>Quản trị AI/Hạ tầng</t>
  </si>
  <si>
    <t>Phạm vi tùy chọn; chờ chốt A7. Áp dụng AI-AC-01…AI-AC-07 nếu được duyệt. Chạy trên hạ tầng được VHT chấp thuận; không gửi dữ liệu hồ sơ tới dịch vụ AI ngoài.</t>
  </si>
  <si>
    <t>NFR-008</t>
  </si>
  <si>
    <t>AIA-PLT-005</t>
  </si>
  <si>
    <t>Kết quả &amp; phản hồi</t>
  </si>
  <si>
    <t>Lưu kết quả AI và phản hồi người dùng</t>
  </si>
  <si>
    <t>Lưu bất biến kết quả AI ban đầu, căn cứ, phiên bản mô hình/checklist, quyết định xác nhận/chỉnh sửa/bác bỏ và nội dung sau chỉnh sửa; phản hồi không tự động trở thành dữ liệu huấn luyện.</t>
  </si>
  <si>
    <t>Người dùng nghiệp vụ/Quản trị AI</t>
  </si>
  <si>
    <t>Phạm vi tùy chọn; chờ chốt A7. Áp dụng AI-AC-01…AI-AC-07 nếu được duyệt. Hiển thị cấu trúc gồm tiêu chí, trạng thái, mức cảnh báo, gợi ý, căn cứ và trạng thái xác nhận. Lưu bất biến kết quả gốc, quyết định, nội dung sau sửa, người/thời điểm và phiên bản mô hình/checklist. Audit truy được hồ sơ/Task, nguồn, mô hình, checklist và quyết định người dùng. Phản hồi không tự thay đổi mô hình/checklist hoặc thành dữ liệu huấn luyện khi chưa phê duyệt.</t>
  </si>
  <si>
    <t>REQ-067; REQ-068; NFR-010; NFR-012</t>
  </si>
  <si>
    <t>AIA-PLT-006</t>
  </si>
  <si>
    <t>Truy vết</t>
  </si>
  <si>
    <t>Nhật ký nội dung do AI gợi ý</t>
  </si>
  <si>
    <t>Ghi lại nội dung AI sinh ra, hồ sơ/User Task liên quan, nguồn tham chiếu, phiên bản mô hình/checklist và người xác nhận; phân biệt rõ nội dung do AI gợi ý và nội dung do người quyết định (gắn CAP-19).</t>
  </si>
  <si>
    <t>Phạm vi tùy chọn; chờ chốt A7. Áp dụng AI-AC-01…AI-AC-07 nếu được duyệt. Lưu bất biến kết quả gốc, quyết định, nội dung sau sửa, người/thời điểm và phiên bản mô hình/checklist. Audit truy được hồ sơ/Task, nguồn, mô hình, checklist và quyết định người dùng.</t>
  </si>
  <si>
    <t>REQ-068; NFR-010</t>
  </si>
  <si>
    <t>AIA-PLT-007</t>
  </si>
  <si>
    <t>Giới hạn dữ liệu AI truy cập theo quyền người dùng</t>
  </si>
  <si>
    <t>Core Backend kiểm tra quyền trước khi cấp ngữ cảnh; AI chỉ đọc dữ liệu trong phạm vi quyền của người đang thao tác (NFR-008/NFR-009).</t>
  </si>
  <si>
    <t>Phạm vi tùy chọn; chờ chốt A7. Áp dụng AI-AC-01…AI-AC-07 nếu được duyệt. Chạy trên hạ tầng được VHT chấp thuận; không gửi dữ liệu hồ sơ tới dịch vụ AI ngoài. AI không hoàn tất User Task, đổi cột mốc, phê duyệt hoặc ghi đè dữ liệu nghiệp vụ.</t>
  </si>
  <si>
    <t>NFR-008; NFR-009</t>
  </si>
  <si>
    <t>AIA-PLT-008</t>
  </si>
  <si>
    <t>Khả dụng</t>
  </si>
  <si>
    <t>Fallback khi dịch vụ AI không sẵn sàng</t>
  </si>
  <si>
    <t>Khi AI lỗi, timeout hoặc không đủ căn cứ, hiển thị trạng thái rõ ràng và cho phép người dùng tiếp tục xử lý thủ công; không làm kẹt User Task hoặc cột mốc nghiệp vụ.</t>
  </si>
  <si>
    <t>Người dùng nghiệp vụ/Quản trị hệ thống</t>
  </si>
  <si>
    <t>Phạm vi tùy chọn; chờ chốt A7. Áp dụng AI-AC-01…AI-AC-07 nếu được duyệt. Lỗi/timeout/thiếu căn cứ không làm kẹt quy trình; người dùng tiếp tục thủ công.</t>
  </si>
  <si>
    <t>NFR-011</t>
  </si>
  <si>
    <t>AIA-REV1-001</t>
  </si>
  <si>
    <t>AI xét duyệt cấp cơ sở</t>
  </si>
  <si>
    <t>Gợi ý nội dung</t>
  </si>
  <si>
    <t>AI gợi ý nội dung hồ sơ xét duyệt cấp cơ sở</t>
  </si>
  <si>
    <t>Gợi ý nội dung hồ sơ xét duyệt từ chủ trương đã duyệt, biểu mẫu, checklist và dữ liệu nhiệm vụ tương tự nếu có; người lập kiểm tra trước khi dùng.</t>
  </si>
  <si>
    <t>Người lập hồ sơ/Chuyên viên</t>
  </si>
  <si>
    <t>RD01.01, RD02.01</t>
  </si>
  <si>
    <t>Phạm vi tùy chọn; chờ chốt A7. Áp dụng AI-AC-01…AI-AC-07 nếu được duyệt. Gợi ý tách biệt với dữ liệu đã xác nhận, có căn cứ và chỉ được ghi sau khi người dùng xác nhận.</t>
  </si>
  <si>
    <t>REQ-064</t>
  </si>
  <si>
    <t>AIA-REV1-002</t>
  </si>
  <si>
    <t>Soát xét</t>
  </si>
  <si>
    <t>AI soát xét hồ sơ xét duyệt cấp cơ sở</t>
  </si>
  <si>
    <t>Đọc hồ sơ/eForm/tài liệu và đối chiếu checklist về mục tiêu, thuyết minh, dự toán, nhân sự, mua sắm, nguồn tiền, định mức.</t>
  </si>
  <si>
    <t>Chuyên viên/Chuyên quản</t>
  </si>
  <si>
    <t>Phạm vi tùy chọn; chờ chốt A7. Áp dụng AI-AC-01…AI-AC-07 nếu được duyệt. Kết quả theo từng tiêu chí đạt/chưa đạt/cần lưu ý và truy được phiên bản checklist.</t>
  </si>
  <si>
    <t>REQ-065</t>
  </si>
  <si>
    <t>AIA-REV1-003</t>
  </si>
  <si>
    <t>Xem kết quả AI soát xét cấp cơ sở</t>
  </si>
  <si>
    <t>Hiển thị kết quả theo tiêu chí đạt/chưa đạt/cần lưu ý; cảnh báo thiếu hồ sơ, sai lệch dữ liệu, chưa đủ căn cứ.</t>
  </si>
  <si>
    <t>Phạm vi tùy chọn; chờ chốt A7. Áp dụng AI-AC-01…AI-AC-07 nếu được duyệt. Hiển thị cấu trúc gồm tiêu chí, trạng thái, mức cảnh báo, gợi ý, căn cứ và trạng thái xác nhận.</t>
  </si>
  <si>
    <t>REQ-067</t>
  </si>
  <si>
    <t>AIA-REV1-004</t>
  </si>
  <si>
    <t>Human-in-the-loop</t>
  </si>
  <si>
    <t>Xác nhận/chỉnh sửa phản hồi AI cấp cơ sở</t>
  </si>
  <si>
    <t>Chuyên viên xác nhận, bác bỏ hoặc chỉnh sửa nhận xét AI; lưu feedback phục vụ cải thiện checklist/skill.</t>
  </si>
  <si>
    <t>Phạm vi tùy chọn; chờ chốt A7. Áp dụng AI-AC-01…AI-AC-07 nếu được duyệt. Lưu bất biến kết quả gốc, quyết định, nội dung sau sửa, người/thời điểm và phiên bản mô hình/checklist.</t>
  </si>
  <si>
    <t>REQ-068</t>
  </si>
  <si>
    <t>AIA-REV2-001</t>
  </si>
  <si>
    <t>AI xét duyệt cấp Tập đoàn</t>
  </si>
  <si>
    <t>AI soát xét hồ sơ xét duyệt cấp Tập đoàn</t>
  </si>
  <si>
    <t>Đọc hồ sơ cấp Tập đoàn, đối chiếu checklist về hồ sơ, thuyết minh, dự toán, nhân sự, mua sắm, sản phẩm, căn cứ pháp lý.</t>
  </si>
  <si>
    <t>Chuyên quản</t>
  </si>
  <si>
    <t>RD01.02, RD02.02</t>
  </si>
  <si>
    <t>AIA-REV2-002</t>
  </si>
  <si>
    <t>Xem kết quả AI soát xét cấp Tập đoàn</t>
  </si>
  <si>
    <t>Hiển thị kết quả theo tiêu chí; cảnh báo thiếu/sai lệch hồ sơ; đề xuất bổ sung hoặc lưu ý thẩm định trước khi trình.</t>
  </si>
  <si>
    <t>AIA-REV2-003</t>
  </si>
  <si>
    <t>Xác nhận/chỉnh sửa phản hồi AI cấp Tập đoàn</t>
  </si>
  <si>
    <t>Chuyên quản xác nhận, chỉnh sửa hoặc bác bỏ kết quả AI; lưu feedback phục vụ checklist/skill.</t>
  </si>
  <si>
    <t>AIA-ADJ-001</t>
  </si>
  <si>
    <t>AI điều chỉnh nhiệm vụ</t>
  </si>
  <si>
    <t>AI soát xét hồ sơ điều chỉnh</t>
  </si>
  <si>
    <t>Đọc hồ sơ/eForm/tài liệu, đối chiếu checklist theo loại điều chỉnh; phát hiện thiếu hồ sơ, sai lệch dữ liệu, vượt điều kiện điều chỉnh.</t>
  </si>
  <si>
    <t>Chuyên viên</t>
  </si>
  <si>
    <t>Phạm vi tùy chọn; chờ chốt A7. Áp dụng AI-AC-01…AI-AC-07 nếu được duyệt. Kết quả theo từng tiêu chí đạt/chưa đạt/cần lưu ý và truy được phiên bản checklist. Cảnh báo có loại, mức độ, dữ liệu so sánh và lý do; không tự chặn/chuyển bước.</t>
  </si>
  <si>
    <t>REQ-065; REQ-066</t>
  </si>
  <si>
    <t>AIA-ADJ-002</t>
  </si>
  <si>
    <t>Xem kết quả AI soát xét điều chỉnh</t>
  </si>
  <si>
    <t>Hiển thị kết quả theo loại cảnh báo, điều kiện đạt/chưa đạt và dữ liệu chênh lệch trước/sau điều chỉnh.</t>
  </si>
  <si>
    <t>Phạm vi tùy chọn; chờ chốt A7. Áp dụng AI-AC-01…AI-AC-07 nếu được duyệt. Cảnh báo có loại, mức độ, dữ liệu so sánh và lý do; không tự chặn/chuyển bước. Hiển thị cấu trúc gồm tiêu chí, trạng thái, mức cảnh báo, gợi ý, căn cứ và trạng thái xác nhận.</t>
  </si>
  <si>
    <t>REQ-067; REQ-066</t>
  </si>
  <si>
    <t>AIA-ADJ-003</t>
  </si>
  <si>
    <t>Xác nhận/chỉnh sửa kết quả AI điều chỉnh</t>
  </si>
  <si>
    <t>Chuyên viên xác nhận, chỉnh sửa hoặc bác bỏ kết quả AI; lưu feedback phục vụ checklist/skill.</t>
  </si>
  <si>
    <t>AIA-EXE-001</t>
  </si>
  <si>
    <t>AI theo dõi thực hiện</t>
  </si>
  <si>
    <t>Cảnh báo rủi ro</t>
  </si>
  <si>
    <t>AI phát hiện rủi ro chậm tiến độ/vượt chi phí</t>
  </si>
  <si>
    <t>Phân tích tiến độ, chi phí, mua sắm, tài liệu để cảnh báo nguy cơ chậm tiến độ, thiếu dữ liệu hoặc vượt dự toán; phụ thuộc dữ liệu tích hợp Pha 2.</t>
  </si>
  <si>
    <t>Phạm vi tùy chọn; chờ chốt A7. Áp dụng AI-AC-01…AI-AC-07 nếu được duyệt. Cảnh báo có loại, mức độ, dữ liệu so sánh và lý do; không tự chặn/chuyển bước.</t>
  </si>
  <si>
    <t>REQ-066</t>
  </si>
  <si>
    <t>AIA-EXE-002</t>
  </si>
  <si>
    <t>AI gợi ý nội dung cập nhật tiến độ/vướng mắc</t>
  </si>
  <si>
    <t>Tổng hợp dữ liệu thực hiện để gợi ý nội dung cập nhật tiến độ, vướng mắc, kiến nghị cho người phụ trách kiểm tra.</t>
  </si>
  <si>
    <t>AIA-EXE-003</t>
  </si>
  <si>
    <t>Xác nhận/chỉnh sửa cảnh báo AI thực hiện</t>
  </si>
  <si>
    <t>Chuyên viên xác nhận, bác bỏ hoặc chỉnh sửa cảnh báo/gợi ý AI; lưu feedback phục vụ cải thiện skill/checklist.</t>
  </si>
  <si>
    <t>AIA-PROD-001</t>
  </si>
  <si>
    <t>AI sản phẩm nghiên cứu</t>
  </si>
  <si>
    <t>Chuẩn hóa</t>
  </si>
  <si>
    <t>AI gợi ý chuẩn hóa mô tả sản phẩm</t>
  </si>
  <si>
    <t>Đọc hồ sơ nhiệm vụ/nghiệm thu/tài liệu kỹ thuật để gợi ý mô tả sản phẩm, từ khóa, lĩnh vực ứng dụng và nhóm sản phẩm.</t>
  </si>
  <si>
    <t>Cán bộ quản lý sản phẩm</t>
  </si>
  <si>
    <t>AIA-PROD-002</t>
  </si>
  <si>
    <t>Chống trùng lặp</t>
  </si>
  <si>
    <t>AI phát hiện trùng/lặp sản phẩm</t>
  </si>
  <si>
    <t>So sánh tên, mô tả, tài liệu và nhiệm vụ nguồn để cảnh báo sản phẩm trùng hoặc gần trùng trong danh mục.</t>
  </si>
  <si>
    <t>AIA-PROD-003</t>
  </si>
  <si>
    <t>Xác nhận/chỉnh sửa gợi ý AI cho sản phẩm</t>
  </si>
  <si>
    <t>Người dùng xác nhận, chỉnh sửa hoặc bác bỏ gợi ý AI; lưu feedback để cải thiện checklist/skill.</t>
  </si>
  <si>
    <t>AIA-IP-001</t>
  </si>
  <si>
    <t>AI sở hữu trí tuệ</t>
  </si>
  <si>
    <t>Rà soát</t>
  </si>
  <si>
    <t>AI rà soát hồ sơ SHTT</t>
  </si>
  <si>
    <t>Đọc hồ sơ/tài liệu SHTT; kiểm tra thiếu tài liệu, sai biểu mẫu, thiếu thông tin tác giả/sản phẩm/nhiệm vụ liên quan.</t>
  </si>
  <si>
    <t>AIA-IP-002</t>
  </si>
  <si>
    <t>AI gợi ý phân loại bài báo/sáng chế/công nghệ lõi</t>
  </si>
  <si>
    <t>Gợi ý loại hồ sơ SHTT, lĩnh vực công nghệ, từ khóa và sản phẩm/nhiệm vụ liên quan dựa trên nội dung tài liệu.</t>
  </si>
  <si>
    <t>AIA-IP-003</t>
  </si>
  <si>
    <t>Xác nhận/chỉnh sửa kết quả AI SHTT</t>
  </si>
  <si>
    <t>Chuyên viên xác nhận, chỉnh sửa hoặc bác bỏ kết quả AI; lưu feedback phục vụ cải thiện skill/checklist.</t>
  </si>
  <si>
    <t>AIA-APP-001</t>
  </si>
  <si>
    <t>AI hỗ trợ thẩm định</t>
  </si>
  <si>
    <t>AI rà soát hồ sơ trước thẩm định</t>
  </si>
  <si>
    <t>Đọc hồ sơ nguồn, tài liệu, dữ liệu tích hợp và checklist để gợi ý điểm thiếu/sai lệch/cần lưu ý cho người thẩm định.</t>
  </si>
  <si>
    <t>Người thẩm định</t>
  </si>
  <si>
    <t>RD01, RD02, RD04, RD05</t>
  </si>
  <si>
    <t>AIA-APP-002</t>
  </si>
  <si>
    <t>Gợi ý nhận xét</t>
  </si>
  <si>
    <t>AI gợi ý nhận xét thẩm định</t>
  </si>
  <si>
    <t>Gợi ý nhận xét/kiến nghị dựa trên checklist, dữ liệu hồ sơ và tài liệu liên quan để người thẩm định xem xét; không thay thế phiếu nhận xét chính thức (CAP-09).</t>
  </si>
  <si>
    <t>AIA-APP-003</t>
  </si>
  <si>
    <t>Xem kết quả AI hỗ trợ thẩm định</t>
  </si>
  <si>
    <t>Hiển thị kết quả theo tiêu chí, mức cảnh báo, căn cứ, tài liệu tham chiếu và trạng thái xác nhận của người dùng.</t>
  </si>
  <si>
    <t>AIA-APP-004</t>
  </si>
  <si>
    <t>Xác nhận/chỉnh sửa kết quả AI thẩm định</t>
  </si>
  <si>
    <t>Người thẩm định xác nhận, chỉnh sửa hoặc bác bỏ gợi ý AI; lưu feedback để cải thiện checklist/skill.</t>
  </si>
  <si>
    <t>Status</t>
  </si>
  <si>
    <t>Release</t>
  </si>
  <si>
    <t>Scope Status</t>
  </si>
  <si>
    <t>Gate Status</t>
  </si>
  <si>
    <t>Owner Role</t>
  </si>
  <si>
    <t>Not Started</t>
  </si>
  <si>
    <t>In Progress</t>
  </si>
  <si>
    <t>Blocked</t>
  </si>
  <si>
    <t>Done</t>
  </si>
  <si>
    <t>Deferred</t>
  </si>
  <si>
    <t>Open</t>
  </si>
  <si>
    <t>In Review</t>
  </si>
  <si>
    <t>Approved</t>
  </si>
  <si>
    <t>Rejected</t>
  </si>
  <si>
    <t>Not Applicable</t>
  </si>
  <si>
    <t>Project Manager</t>
  </si>
  <si>
    <t>Business Analyst</t>
  </si>
  <si>
    <t>Product Owner</t>
  </si>
  <si>
    <t>Solution Architect</t>
  </si>
  <si>
    <t>Tech Lead</t>
  </si>
  <si>
    <t>Developer</t>
  </si>
  <si>
    <t>QA Lead</t>
  </si>
  <si>
    <t>Security</t>
  </si>
  <si>
    <t>DevOps</t>
  </si>
  <si>
    <t>Data Owner</t>
  </si>
  <si>
    <t>Integration Owner</t>
  </si>
  <si>
    <t>WORK BREAKDOWN STRUCTURE — FUNCTIONAL SCOPE LIST V4</t>
  </si>
  <si>
    <t>453 leaf work item ánh xạ 1:1 với Feature ID; các cột S–AA là vùng lập kế hoạch có thể cập nhật.</t>
  </si>
  <si>
    <t>WBS ID</t>
  </si>
  <si>
    <t>Parent WBS</t>
  </si>
  <si>
    <t>Work Item</t>
  </si>
  <si>
    <t>Mô tả / Đầu ra</t>
  </si>
  <si>
    <t>Acceptance / Ghi chú FSL</t>
  </si>
  <si>
    <t>Dependencies</t>
  </si>
  <si>
    <t>Owner</t>
  </si>
  <si>
    <t>Effort (person-day)</t>
  </si>
  <si>
    <t>Duration (workday)</t>
  </si>
  <si>
    <t>Planned Start</t>
  </si>
  <si>
    <t>Planned Finish</t>
  </si>
  <si>
    <t>% Complete</t>
  </si>
  <si>
    <t>Notes / Evidence</t>
  </si>
  <si>
    <t>WORK PACKAGES — TỔNG HỢP THEO PHÂN HỆ VÀ MODULE</t>
  </si>
  <si>
    <t>Các số lượng, effort, trạng thái và tiến độ được tính trực tiếp từ sheet WBS.</t>
  </si>
  <si>
    <t>Tổng work item</t>
  </si>
  <si>
    <t>Effort (PD)</t>
  </si>
  <si>
    <t>Lookup Key</t>
  </si>
  <si>
    <t>1.01.01</t>
  </si>
  <si>
    <t>1.01.02</t>
  </si>
  <si>
    <t>1.01.03</t>
  </si>
  <si>
    <t>1.01.04</t>
  </si>
  <si>
    <t>1.02.01</t>
  </si>
  <si>
    <t>1.03.01</t>
  </si>
  <si>
    <t>1.03.02</t>
  </si>
  <si>
    <t>1.04.01</t>
  </si>
  <si>
    <t>1.04.02</t>
  </si>
  <si>
    <t>1.04.03</t>
  </si>
  <si>
    <t>1.04.04</t>
  </si>
  <si>
    <t>1.05.01</t>
  </si>
  <si>
    <t>1.05.02</t>
  </si>
  <si>
    <t>1.05.03</t>
  </si>
  <si>
    <t>1.05.04</t>
  </si>
  <si>
    <t>1.06.01</t>
  </si>
  <si>
    <t>1.06.02</t>
  </si>
  <si>
    <t>1.07.01</t>
  </si>
  <si>
    <t>1.07.02</t>
  </si>
  <si>
    <t>1.07.03</t>
  </si>
  <si>
    <t>1.07.04</t>
  </si>
  <si>
    <t>1.07.05</t>
  </si>
  <si>
    <t>1.07.06</t>
  </si>
  <si>
    <t>1.08.01</t>
  </si>
  <si>
    <t>1.09.01</t>
  </si>
  <si>
    <t>1.10.01</t>
  </si>
  <si>
    <t>1.11.01</t>
  </si>
  <si>
    <t>1.11.02</t>
  </si>
  <si>
    <t>1.11.03</t>
  </si>
  <si>
    <t>1.11.04</t>
  </si>
  <si>
    <t>1.12.01</t>
  </si>
  <si>
    <t>1.12.02</t>
  </si>
  <si>
    <t>1.13.01</t>
  </si>
  <si>
    <t>1.13.02</t>
  </si>
  <si>
    <t>1.13.03</t>
  </si>
  <si>
    <t>1.14.01</t>
  </si>
  <si>
    <t>1.14.02</t>
  </si>
  <si>
    <t>1.14.03</t>
  </si>
  <si>
    <t>1.14.04</t>
  </si>
  <si>
    <t>1.14.05</t>
  </si>
  <si>
    <t>1.14.06</t>
  </si>
  <si>
    <t>1.14.07</t>
  </si>
  <si>
    <t>1.14.08</t>
  </si>
  <si>
    <t>1.14.09</t>
  </si>
  <si>
    <t>1.15.01</t>
  </si>
  <si>
    <t>1.15.02</t>
  </si>
  <si>
    <t>1.15.03</t>
  </si>
  <si>
    <t>1.16.01</t>
  </si>
  <si>
    <t>1.16.02</t>
  </si>
  <si>
    <t>1.17.01</t>
  </si>
  <si>
    <t>1.17.02</t>
  </si>
  <si>
    <t>1.17.03</t>
  </si>
  <si>
    <t>1.18.01</t>
  </si>
  <si>
    <t>1.18.02</t>
  </si>
  <si>
    <t>1.19.01</t>
  </si>
  <si>
    <t>1.19.02</t>
  </si>
  <si>
    <t>1.19.03</t>
  </si>
  <si>
    <t>1.19.04</t>
  </si>
  <si>
    <t>1.19.05</t>
  </si>
  <si>
    <t>1.19.06</t>
  </si>
  <si>
    <t>1.19.07</t>
  </si>
  <si>
    <t>1.19.08</t>
  </si>
  <si>
    <t>MILESTONES &amp; QUALITY GATES</t>
  </si>
  <si>
    <t>Milestone</t>
  </si>
  <si>
    <t>Phạm vi work item</t>
  </si>
  <si>
    <t>Planned Date</t>
  </si>
  <si>
    <t>Actual Date</t>
  </si>
  <si>
    <t>Evidence</t>
  </si>
  <si>
    <t>M0 — FSL v4 Baseline</t>
  </si>
  <si>
    <t>453 Feature ID được xác nhận và đóng các câu hỏi chặn</t>
  </si>
  <si>
    <t>Toàn bộ FSL v4</t>
  </si>
  <si>
    <t>M1 — Pha 1 Design Ready</t>
  </si>
  <si>
    <t>Thiết kế và acceptance criteria Pha 1 được duyệt</t>
  </si>
  <si>
    <t>Release = Pha 1</t>
  </si>
  <si>
    <t>M2 — Pha 1 Feature Complete</t>
  </si>
  <si>
    <t>Toàn bộ work item Pha 1 hoàn thành phát triển</t>
  </si>
  <si>
    <t>M3 — Pha 1 SIT Accepted</t>
  </si>
  <si>
    <t>SIT, security và regression đạt</t>
  </si>
  <si>
    <t>M4 — Pha 1 UAT Accepted</t>
  </si>
  <si>
    <t>Người dùng nghiệp vụ ký nghiệm thu Pha 1</t>
  </si>
  <si>
    <t>M5 — Pha 1 Go-live</t>
  </si>
  <si>
    <t>Production release và smoke test đạt</t>
  </si>
  <si>
    <t>M6 — Pha 2 Accepted</t>
  </si>
  <si>
    <t>Work item Pha 2 và tích hợp nghiệm thu</t>
  </si>
  <si>
    <t>Release = Pha 2</t>
  </si>
  <si>
    <t>M7 — Pha 3 Accepted</t>
  </si>
  <si>
    <t>Work item Pha 3 nghiệm thu</t>
  </si>
  <si>
    <t>Release = Pha 3</t>
  </si>
  <si>
    <t>CAPABILITY COVERAGE — FSL V4</t>
  </si>
  <si>
    <t>Đếm theo chuỗi Capability ID; một feature có thể đóng góp cho nhiều CAP.</t>
  </si>
  <si>
    <t>CAP</t>
  </si>
  <si>
    <t>BR</t>
  </si>
  <si>
    <t>Tổng feature</t>
  </si>
  <si>
    <t>BR-001</t>
  </si>
  <si>
    <t>CAP-02</t>
  </si>
  <si>
    <t>BR-002</t>
  </si>
  <si>
    <t>CAP-03</t>
  </si>
  <si>
    <t>BR-003</t>
  </si>
  <si>
    <t>BR-004</t>
  </si>
  <si>
    <t>BR-005</t>
  </si>
  <si>
    <t>BR-006</t>
  </si>
  <si>
    <t>BR-007</t>
  </si>
  <si>
    <t>BR-008</t>
  </si>
  <si>
    <t>BR-009</t>
  </si>
  <si>
    <t>BR-010</t>
  </si>
  <si>
    <t>BR-011</t>
  </si>
  <si>
    <t>BR-012</t>
  </si>
  <si>
    <t>CAP-13</t>
  </si>
  <si>
    <t>BR-013</t>
  </si>
  <si>
    <t>BR-014</t>
  </si>
  <si>
    <t>BR-015</t>
  </si>
  <si>
    <t>BR-016</t>
  </si>
  <si>
    <t>BR-017</t>
  </si>
  <si>
    <t>BR-018</t>
  </si>
  <si>
    <t>BR-019</t>
  </si>
  <si>
    <t>BR-020</t>
  </si>
  <si>
    <t>BR-021</t>
  </si>
  <si>
    <t>DEPENDENCIES &amp; BLOCKERS</t>
  </si>
  <si>
    <t>Dependency</t>
  </si>
  <si>
    <t>Chuỗi ảnh hưởng</t>
  </si>
  <si>
    <t>Biện pháp quản trị</t>
  </si>
  <si>
    <t>Evidence / Decision</t>
  </si>
  <si>
    <t>Quyết định A1 về mức tự cấu hình</t>
  </si>
  <si>
    <t>A1 → Workflow/Admin work item</t>
  </si>
  <si>
    <t>Chốt trước estimate; nếu chọn T2 phải bổ sung phân hệ Admin và tái baseline WBS</t>
  </si>
  <si>
    <t>Quyết định A2 về ký số</t>
  </si>
  <si>
    <t>A2 → eForm/Ký duyệt/Tích hợp</t>
  </si>
  <si>
    <t>Xác định hình thức ký và môi trường test trước thiết kế chi tiết</t>
  </si>
  <si>
    <t>Thiếu chi tiết RD08, RD10</t>
  </si>
  <si>
    <t>A4/A5 → work item RD08/RD10</t>
  </si>
  <si>
    <t>Workshop riêng; không cam kết effort trước sign-off</t>
  </si>
  <si>
    <t>Nguồn dữ liệu RD03.06</t>
  </si>
  <si>
    <t>A3 → Báo cáo/Thực hiện nhiệm vụ</t>
  </si>
  <si>
    <t>Chốt nhập tay, kéo tích hợp lên Pha 1 hoặc điều chỉnh phạm vi</t>
  </si>
  <si>
    <t>Hệ thống đối tác</t>
  </si>
  <si>
    <t>INT work item → Pha 2</t>
  </si>
  <si>
    <t>Có owner, contract, sandbox và mock server</t>
  </si>
  <si>
    <t>NFR chưa có ngưỡng</t>
  </si>
  <si>
    <t>C1–C5 → Test/Production readiness</t>
  </si>
  <si>
    <t>Chốt trước capacity planning và NFR test</t>
  </si>
  <si>
    <t>AI on-premise</t>
  </si>
  <si>
    <t>A7 → CAP-21/REQ-064–068</t>
  </si>
  <si>
    <t>Tách release/budget; AI không làm chặn quy trình lõi</t>
  </si>
  <si>
    <t>GATES &amp; OPEN DECISIONS — FSL V4</t>
  </si>
  <si>
    <t>Nguồn: sheet 05_Cau_hoi_mo; cột Disposition Status/Owner/Due Date/Evidence dùng để quản lý xử lý.</t>
  </si>
  <si>
    <t>Nhóm</t>
  </si>
  <si>
    <t>Mã</t>
  </si>
  <si>
    <t>Nội dung cần xác nhận</t>
  </si>
  <si>
    <t>Phương án/Đề xuất hiện tại</t>
  </si>
  <si>
    <t>Ảnh hưởng</t>
  </si>
  <si>
    <t>Trạng thái nguồn</t>
  </si>
  <si>
    <t>Disposition Status</t>
  </si>
  <si>
    <t>Due Date</t>
  </si>
  <si>
    <t>Decision / Evidence</t>
  </si>
  <si>
    <t>A - Chặn phạm vi</t>
  </si>
  <si>
    <t>A1</t>
  </si>
  <si>
    <t>Mức độ VHT tự điều chỉnh quy trình</t>
  </si>
  <si>
    <t>Mức 1: VHT IT dùng công cụ chuyên dụng; chưa mặc định xây Admin T2.</t>
  </si>
  <si>
    <t>Rất cao</t>
  </si>
  <si>
    <t>Chưa chốt</t>
  </si>
  <si>
    <t>A2</t>
  </si>
  <si>
    <t>Ký duyệt là xác nhận điện tử hay ký số</t>
  </si>
  <si>
    <t>Chưa đưa ký số pháp lý vào phạm vi chắc chắn.</t>
  </si>
  <si>
    <t>A3</t>
  </si>
  <si>
    <t>Nguồn dữ liệu báo cáo RD03.06 Pha 1</t>
  </si>
  <si>
    <t>Người dùng nhập tay hoặc kéo một phần tích hợp lên Pha 1.</t>
  </si>
  <si>
    <t>A4</t>
  </si>
  <si>
    <t>Chi tiết RD08 và RD10 Pha 1</t>
  </si>
  <si>
    <t>Yêu cầu khách cung cấp quy trình riêng hoặc thu hẹp cam kết.</t>
  </si>
  <si>
    <t>A5</t>
  </si>
  <si>
    <t>RD10 là kho văn bản hay nơi ban hành quy trình chạy</t>
  </si>
  <si>
    <t>Tạm tách kho tài liệu và quản trị workflow; chờ xác nhận.</t>
  </si>
  <si>
    <t>A6</t>
  </si>
  <si>
    <t>Nguyên tắc nghiệm thu hai mức cho CAP-14…CAP-18</t>
  </si>
  <si>
    <t>Mức B: nghiệm thu năng lực nền bằng cấu hình mẫu và dữ liệu mô phỏng tại Pha 1; đầy đủ khi tích hợp Pha 2 hoàn thành (BRD 0.9.1 mục 9).</t>
  </si>
  <si>
    <t>Đề xuất</t>
  </si>
  <si>
    <t>A7</t>
  </si>
  <si>
    <t>Phạm vi trợ lý AI hỗ trợ nghiệp vụ (CAP-21)</t>
  </si>
  <si>
    <t>Đề xuất pha tùy chọn sau Pha 1; AI chỉ gợi ý, người quyết; mô hình on-premise. Chốt luồng thí điểm, checklist, bộ dữ liệu kiểm thử, người đánh giá và ngưỡng chất lượng trước phát triển. Chưa thuộc phạm vi/nghiệm thu cho đến khi khách chấp thuận (BRD 0.9.3 mục 5.6/9).</t>
  </si>
  <si>
    <t>B - Thiết kế</t>
  </si>
  <si>
    <t>B1</t>
  </si>
  <si>
    <t>Phiên bản áp dụng cho hồ sơ đang chạy</t>
  </si>
  <si>
    <t>Giữ phiên bản có hiệu lực lúc khởi tạo.</t>
  </si>
  <si>
    <t>Cao</t>
  </si>
  <si>
    <t>B2</t>
  </si>
  <si>
    <t>Ai xác nhận nội dung đề tài hoàn thành</t>
  </si>
  <si>
    <t>Người dùng xác nhận; hệ thống chỉ gợi ý từ dữ liệu tích hợp.</t>
  </si>
  <si>
    <t>B3</t>
  </si>
  <si>
    <t>Điều chỉnh vượt chủ trương</t>
  </si>
  <si>
    <t>Quay lại RD01 hoặc tạo luồng riêng theo quyết định khách hàng.</t>
  </si>
  <si>
    <t>B4</t>
  </si>
  <si>
    <t>Quorum và quy tắc kết luận hội đồng</t>
  </si>
  <si>
    <t>Cấu hình theo loại hội đồng/quy chế.</t>
  </si>
  <si>
    <t>B5</t>
  </si>
  <si>
    <t>Storage là hệ ngoài hay kho nội bộ</t>
  </si>
  <si>
    <t>Tạm coi là hệ riêng cần connector.</t>
  </si>
  <si>
    <t>B6</t>
  </si>
  <si>
    <t>Ngưỡng và người nhận cảnh báo</t>
  </si>
  <si>
    <t>Cấu hình theo loại cảnh báo, đơn vị và vai trò.</t>
  </si>
  <si>
    <t>Trung bình</t>
  </si>
  <si>
    <t>B7</t>
  </si>
  <si>
    <t>Xác nhận sáu khó khăn As-Is</t>
  </si>
  <si>
    <t>Dùng làm cơ sở giải pháp cho đến khi khách xác nhận.</t>
  </si>
  <si>
    <t>B8</t>
  </si>
  <si>
    <t>Phạm vi ủy quyền: cấp áp dụng, thời hạn, phạm vi hồ sơ</t>
  </si>
  <si>
    <t>CAP-13 thiết kế theo quy chế ủy quyền của khách; chưa mặc định áp dụng cấp VHT.</t>
  </si>
  <si>
    <t>B9</t>
  </si>
  <si>
    <t>Nguồn dữ liệu kế hoạch năm cho điều kiện Khởi tạo nhiệm vụ</t>
  </si>
  <si>
    <t>Pha 1 nhập tay danh mục đề tài trong kế hoạch năm; xem xét kết nối ở pha sau.</t>
  </si>
  <si>
    <t>C - NFR</t>
  </si>
  <si>
    <t>C1</t>
  </si>
  <si>
    <t>On-premise hay cloud</t>
  </si>
  <si>
    <t>Đề xuất triển khai trên hạ tầng VHT.</t>
  </si>
  <si>
    <t>C2</t>
  </si>
  <si>
    <t>Bảo mật và phân loại thông tin</t>
  </si>
  <si>
    <t>Cần workshop riêng về phân loại, mã hóa, audit và quyền tài liệu.</t>
  </si>
  <si>
    <t>C3</t>
  </si>
  <si>
    <t>Khối lượng nhiệm vụ, người dùng và tải</t>
  </si>
  <si>
    <t>Thu thập số liệu trước khi chốt kiến trúc/hiệu năng.</t>
  </si>
  <si>
    <t>C4</t>
  </si>
  <si>
    <t>Định hướng kiến trúc kỹ thuật</t>
  </si>
  <si>
    <t>Đồng thuận VHT và các bên liên quan trước LLD.</t>
  </si>
  <si>
    <t>C5</t>
  </si>
  <si>
    <t>Tuân thủ NĐ 13/2023 về dữ liệu cá nhân và thời hạn lưu trữ hồ sơ RD10</t>
  </si>
  <si>
    <t>Bổ sung NFR-006/NFR-007 vào HLD; chờ khách cung cấp quy định nội bộ và thời hạn lưu trữ.</t>
  </si>
  <si>
    <t>D - Lỗi nguồn</t>
  </si>
  <si>
    <t>D1</t>
  </si>
  <si>
    <t>RD06.01/.02 ghi nhầm luồng nghiệm thu</t>
  </si>
  <si>
    <t>Đề nghị xác nhận là luồng quyết toán.</t>
  </si>
  <si>
    <t>D2</t>
  </si>
  <si>
    <t>RD05.02 trùng cấp Cơ sở</t>
  </si>
  <si>
    <t>Đề nghị xác nhận RD05.02 là cấp Tập đoàn.</t>
  </si>
  <si>
    <t>D3</t>
  </si>
  <si>
    <t>RD03.04 ghi quản trị kinh phí</t>
  </si>
  <si>
    <t>Đề nghị xác nhận là quản trị tài sản.</t>
  </si>
  <si>
    <t>D4</t>
  </si>
  <si>
    <t>RD03.05 và RD03.06 cùng số thứ tự 3.5</t>
  </si>
  <si>
    <t>Đề nghị xác nhận số thứ tự.</t>
  </si>
  <si>
    <t>Thấp</t>
  </si>
  <si>
    <t>D5</t>
  </si>
  <si>
    <t>RD04 thiếu sự kiện bắt đầu/kết thúc/ràng buộc</t>
  </si>
  <si>
    <t>Đề nghị bổ sung hoặc xác nhận đặc thù.</t>
  </si>
  <si>
    <t>D6</t>
  </si>
  <si>
    <t>Mã hiệu QT.VHT.CLKHCN còn dấu chấm lửng</t>
  </si>
  <si>
    <t>Đề nghị cung cấp mã đầy đủ.</t>
  </si>
  <si>
    <t>WBS DASHBOARD — FUNCTIONAL SCOPE LIST V4</t>
  </si>
  <si>
    <t>Nguồn: VHT_Functional_Scope_List_v4.xlsx | 453 Feature ID | 19 phân hệ | Work item leaf truy vết 1:1.</t>
  </si>
  <si>
    <t>Priority Must</t>
  </si>
  <si>
    <t>Release Pha 1</t>
  </si>
  <si>
    <t>Hoàn thành</t>
  </si>
  <si>
    <t>Tiến độ trung bình</t>
  </si>
  <si>
    <t>Số work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</si>
</sst>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yyyy\-mm\-dd"/>
  </numFmts>
  <fonts count="8">
    <font>
      <sz val="11"/>
      <color theme="1"/>
      <name val="Calibri"/>
      <family val="2"/>
      <scheme val="minor"/>
    </font>
    <font>
      <b/>
      <sz val="16"/>
      <color rgb="FFFFFFFF"/>
      <name val="Aptos"/>
    </font>
    <font>
      <sz val="10"/>
      <color theme="1"/>
      <name val="Aptos"/>
    </font>
    <font>
      <b/>
      <sz val="10"/>
      <color rgb="FFFFFFFF"/>
      <name val="Aptos"/>
    </font>
    <font>
      <i/>
      <sz val="10"/>
      <color theme="1"/>
      <name val="Aptos"/>
    </font>
    <font>
      <sz val="10"/>
      <color rgb="FF243447"/>
      <name val="Aptos"/>
    </font>
    <font>
      <b/>
      <sz val="20"/>
      <color rgb="FFFFFFFF"/>
      <name val="Aptos"/>
    </font>
    <font>
      <b/>
      <sz val="18"/>
      <color theme="1"/>
      <name val="Aptos"/>
    </font>
  </fonts>
  <fills count="8">
    <fill>
      <patternFill patternType="none"/>
    </fill>
    <fill>
      <patternFill patternType="gray125"/>
    </fill>
    <fill>
      <patternFill patternType="solid">
        <fgColor rgb="FF12346B"/>
        <bgColor indexed="64"/>
      </patternFill>
    </fill>
    <fill>
      <patternFill patternType="solid">
        <fgColor rgb="FFC4D9EF"/>
        <bgColor indexed="64"/>
      </patternFill>
    </fill>
    <fill>
      <patternFill patternType="solid">
        <fgColor rgb="FF2F75B5"/>
        <bgColor indexed="64"/>
      </patternFill>
    </fill>
    <fill>
      <patternFill patternType="solid">
        <fgColor rgb="FF17365D"/>
        <bgColor indexed="64"/>
      </patternFill>
    </fill>
    <fill>
      <patternFill patternType="solid">
        <fgColor rgb="FFEAF2F8"/>
        <bgColor indexed="64"/>
      </patternFill>
    </fill>
    <fill>
      <patternFill patternType="solid">
        <fgColor rgb="FFD9EAF7"/>
        <bgColor indexed="64"/>
      </patternFill>
    </fill>
  </fills>
  <borders count="1">
    <border>
      <left/>
      <right/>
      <top/>
      <bottom/>
      <diagonal/>
    </border>
  </borders>
  <cellStyleXfs count="1">
    <xf numFmtId="0" fontId="0" fillId="0" borderId="0"/>
  </cellStyleXfs>
  <cellXfs count="23">
    <xf numFmtId="0" fontId="0" fillId="0" borderId="0" xfId="0"/>
    <xf numFmtId="0" fontId="2" fillId="0" borderId="0" xfId="0" applyFont="1"/>
    <xf numFmtId="0" fontId="3" fillId="2" borderId="0" xfId="0" applyFont="1" applyFill="1" applyAlignment="1">
      <alignment horizontal="center" vertical="top" wrapText="1"/>
    </xf>
    <xf numFmtId="0" fontId="2" fillId="0" borderId="0" xfId="0" applyFont="1" applyAlignment="1">
      <alignment vertical="top"/>
    </xf>
    <xf numFmtId="0" fontId="2" fillId="0" borderId="0" xfId="0" applyFont="1" applyAlignment="1">
      <alignment vertical="top" wrapText="1"/>
    </xf>
    <xf numFmtId="0" fontId="3" fillId="4" borderId="0" xfId="0" applyFont="1" applyFill="1" applyAlignment="1">
      <alignment horizontal="center" vertical="center" wrapText="1"/>
    </xf>
    <xf numFmtId="164" fontId="2" fillId="0" borderId="0" xfId="0" applyNumberFormat="1" applyFont="1"/>
    <xf numFmtId="9" fontId="2" fillId="0" borderId="0" xfId="0" applyNumberFormat="1" applyFont="1"/>
    <xf numFmtId="164" fontId="2" fillId="0" borderId="0" xfId="0" applyNumberFormat="1" applyFont="1" applyAlignment="1">
      <alignment vertical="top"/>
    </xf>
    <xf numFmtId="165" fontId="2" fillId="0" borderId="0" xfId="0" applyNumberFormat="1" applyFont="1" applyAlignment="1">
      <alignment vertical="top"/>
    </xf>
    <xf numFmtId="9" fontId="2" fillId="0" borderId="0" xfId="0" applyNumberFormat="1" applyFont="1" applyAlignment="1">
      <alignment vertical="top"/>
    </xf>
    <xf numFmtId="0" fontId="2" fillId="0" borderId="0" xfId="0" applyFont="1" applyAlignment="1">
      <alignment wrapText="1"/>
    </xf>
    <xf numFmtId="165" fontId="2" fillId="0" borderId="0" xfId="0" applyNumberFormat="1" applyFont="1" applyAlignment="1">
      <alignment wrapText="1"/>
    </xf>
    <xf numFmtId="0" fontId="3" fillId="4" borderId="0" xfId="0" applyFont="1" applyFill="1" applyAlignment="1">
      <alignment horizontal="center"/>
    </xf>
    <xf numFmtId="1" fontId="7" fillId="7" borderId="0" xfId="0" applyNumberFormat="1" applyFont="1" applyFill="1" applyAlignment="1">
      <alignment horizontal="center"/>
    </xf>
    <xf numFmtId="0" fontId="7" fillId="7" borderId="0" xfId="0" applyFont="1" applyFill="1" applyAlignment="1">
      <alignment horizontal="center"/>
    </xf>
    <xf numFmtId="9" fontId="7" fillId="7" borderId="0" xfId="0" applyNumberFormat="1" applyFont="1" applyFill="1" applyAlignment="1">
      <alignment horizontal="center"/>
    </xf>
    <xf numFmtId="0" fontId="6" fillId="5" borderId="0" xfId="0" applyFont="1" applyFill="1" applyAlignment="1">
      <alignment horizontal="center"/>
    </xf>
    <xf numFmtId="0" fontId="2" fillId="6" borderId="0" xfId="0" applyFont="1" applyFill="1" applyAlignment="1">
      <alignment horizontal="center"/>
    </xf>
    <xf numFmtId="0" fontId="1" fillId="5" borderId="0" xfId="0" applyFont="1" applyFill="1" applyAlignment="1">
      <alignment horizontal="center"/>
    </xf>
    <xf numFmtId="0" fontId="5" fillId="6" borderId="0" xfId="0" applyFont="1" applyFill="1" applyAlignment="1">
      <alignment horizontal="center"/>
    </xf>
    <xf numFmtId="0" fontId="3" fillId="2" borderId="0" xfId="0" applyFont="1" applyFill="1" applyAlignment="1">
      <alignment horizontal="center"/>
    </xf>
    <xf numFmtId="0" fontId="4" fillId="3" borderId="0" xfId="0" applyFont="1" applyFill="1" applyAlignment="1">
      <alignment wrapText="1"/>
    </xf>
  </cellXfs>
  <cellStyles count="1">
    <cellStyle name="Normal" xfId="0" builtinId="0"/>
  </cellStyles>
  <dxfs count="117">
    <dxf>
      <fill>
        <patternFill>
          <bgColor rgb="FFFFCC99"/>
        </patternFill>
      </fill>
    </dxf>
    <dxf>
      <fill>
        <patternFill>
          <bgColor rgb="FFFFCECE"/>
        </patternFill>
      </fill>
    </dxf>
    <dxf>
      <fill>
        <patternFill>
          <bgColor rgb="FFE0E0E0"/>
        </patternFill>
      </fill>
    </dxf>
    <dxf>
      <fill>
        <patternFill>
          <bgColor rgb="FFD3EAD9"/>
        </patternFill>
      </fill>
    </dxf>
    <dxf>
      <fill>
        <patternFill>
          <bgColor rgb="FFFFE5CC"/>
        </patternFill>
      </fill>
    </dxf>
    <dxf>
      <fill>
        <patternFill>
          <bgColor rgb="FFFFF2CC"/>
        </patternFill>
      </fill>
    </dxf>
    <dxf>
      <fill>
        <patternFill>
          <bgColor rgb="FFFCE4D6"/>
        </patternFill>
      </fill>
    </dxf>
    <dxf>
      <fill>
        <patternFill>
          <bgColor rgb="FFE2F0D9"/>
        </patternFill>
      </fill>
    </dxf>
    <dxf>
      <font>
        <b val="0"/>
        <i val="0"/>
        <strike val="0"/>
        <condense val="0"/>
        <extend val="0"/>
        <outline val="0"/>
        <shadow val="0"/>
        <u val="none"/>
        <vertAlign val="baseline"/>
        <sz val="10"/>
        <color theme="1"/>
        <name val="Aptos"/>
        <scheme val="none"/>
      </font>
      <alignment horizontal="general" vertical="top" textRotation="0" wrapText="1" indent="0" justifyLastLine="0" shrinkToFit="0" readingOrder="0"/>
    </dxf>
    <dxf>
      <font>
        <strike val="0"/>
        <outline val="0"/>
        <shadow val="0"/>
        <u val="none"/>
        <vertAlign val="baseline"/>
        <sz val="10"/>
        <name val="Aptos"/>
        <scheme val="none"/>
      </font>
      <alignment horizontal="general" vertical="top" textRotation="0" wrapText="1" indent="0" justifyLastLine="0" shrinkToFit="0" readingOrder="0"/>
    </dxf>
    <dxf>
      <font>
        <strike val="0"/>
        <outline val="0"/>
        <shadow val="0"/>
        <u val="none"/>
        <vertAlign val="baseline"/>
        <sz val="10"/>
        <name val="Aptos"/>
        <scheme val="none"/>
      </font>
      <alignment horizontal="general" vertical="top" textRotation="0" wrapText="1" indent="0" justifyLastLine="0" shrinkToFit="0" readingOrder="0"/>
    </dxf>
    <dxf>
      <font>
        <strike val="0"/>
        <outline val="0"/>
        <shadow val="0"/>
        <u val="none"/>
        <vertAlign val="baseline"/>
        <sz val="10"/>
        <name val="Aptos"/>
        <scheme val="none"/>
      </font>
      <alignment horizontal="general" vertical="top" textRotation="0" wrapText="1" indent="0" justifyLastLine="0" shrinkToFit="0" readingOrder="0"/>
    </dxf>
    <dxf>
      <font>
        <strike val="0"/>
        <outline val="0"/>
        <shadow val="0"/>
        <u val="none"/>
        <vertAlign val="baseline"/>
        <sz val="10"/>
        <name val="Aptos"/>
        <scheme val="none"/>
      </font>
      <alignment horizontal="general" vertical="top" textRotation="0" wrapText="1" indent="0" justifyLastLine="0" shrinkToFit="0" readingOrder="0"/>
    </dxf>
    <dxf>
      <font>
        <strike val="0"/>
        <outline val="0"/>
        <shadow val="0"/>
        <u val="none"/>
        <vertAlign val="baseline"/>
        <sz val="10"/>
        <name val="Aptos"/>
        <scheme val="none"/>
      </font>
      <alignment horizontal="general" vertical="top" textRotation="0" wrapText="1" indent="0" justifyLastLine="0" shrinkToFit="0" readingOrder="0"/>
    </dxf>
    <dxf>
      <font>
        <strike val="0"/>
        <outline val="0"/>
        <shadow val="0"/>
        <u val="none"/>
        <vertAlign val="baseline"/>
        <sz val="10"/>
        <name val="Aptos"/>
        <scheme val="none"/>
      </font>
      <alignment horizontal="general" vertical="top" textRotation="0" wrapText="1" indent="0" justifyLastLine="0" shrinkToFit="0" readingOrder="0"/>
    </dxf>
    <dxf>
      <font>
        <strike val="0"/>
        <outline val="0"/>
        <shadow val="0"/>
        <u val="none"/>
        <vertAlign val="baseline"/>
        <sz val="10"/>
        <name val="Aptos"/>
        <scheme val="none"/>
      </font>
      <alignment horizontal="general" vertical="top" textRotation="0" wrapText="1" indent="0" justifyLastLine="0" shrinkToFit="0" readingOrder="0"/>
    </dxf>
    <dxf>
      <font>
        <strike val="0"/>
        <outline val="0"/>
        <shadow val="0"/>
        <u val="none"/>
        <vertAlign val="baseline"/>
        <sz val="10"/>
        <name val="Aptos"/>
        <scheme val="none"/>
      </font>
      <alignment horizontal="general" vertical="top" textRotation="0" wrapText="1" indent="0" justifyLastLine="0" shrinkToFit="0" readingOrder="0"/>
    </dxf>
    <dxf>
      <font>
        <strike val="0"/>
        <outline val="0"/>
        <shadow val="0"/>
        <u val="none"/>
        <vertAlign val="baseline"/>
        <sz val="10"/>
        <name val="Aptos"/>
        <scheme val="none"/>
      </font>
      <alignment horizontal="general" vertical="top" textRotation="0" wrapText="1" indent="0" justifyLastLine="0" shrinkToFit="0" readingOrder="0"/>
    </dxf>
    <dxf>
      <font>
        <strike val="0"/>
        <outline val="0"/>
        <shadow val="0"/>
        <u val="none"/>
        <vertAlign val="baseline"/>
        <sz val="10"/>
        <name val="Aptos"/>
        <scheme val="none"/>
      </font>
      <alignment horizontal="general" vertical="top" textRotation="0" wrapText="1" indent="0" justifyLastLine="0" shrinkToFit="0" readingOrder="0"/>
    </dxf>
    <dxf>
      <font>
        <strike val="0"/>
        <outline val="0"/>
        <shadow val="0"/>
        <u val="none"/>
        <vertAlign val="baseline"/>
        <sz val="10"/>
        <name val="Aptos"/>
        <scheme val="none"/>
      </font>
      <alignment horizontal="general" vertical="top" textRotation="0" wrapText="1" indent="0" justifyLastLine="0" shrinkToFit="0" readingOrder="0"/>
    </dxf>
    <dxf>
      <font>
        <strike val="0"/>
        <outline val="0"/>
        <shadow val="0"/>
        <u val="none"/>
        <vertAlign val="baseline"/>
        <sz val="10"/>
        <name val="Aptos"/>
        <scheme val="none"/>
      </font>
      <alignment horizontal="general" vertical="top" textRotation="0" wrapText="1" indent="0" justifyLastLine="0" shrinkToFit="0" readingOrder="0"/>
    </dxf>
    <dxf>
      <font>
        <strike val="0"/>
        <outline val="0"/>
        <shadow val="0"/>
        <u val="none"/>
        <vertAlign val="baseline"/>
        <sz val="10"/>
        <name val="Aptos"/>
        <scheme val="none"/>
      </font>
      <alignment horizontal="general" vertical="top" textRotation="0" wrapText="1" indent="0" justifyLastLine="0" shrinkToFit="0" readingOrder="0"/>
    </dxf>
    <dxf>
      <font>
        <strike val="0"/>
        <outline val="0"/>
        <shadow val="0"/>
        <u val="none"/>
        <vertAlign val="baseline"/>
        <sz val="10"/>
        <name val="Aptos"/>
        <scheme val="none"/>
      </font>
      <alignment horizontal="general" vertical="top" textRotation="0" wrapText="1" indent="0" justifyLastLine="0" shrinkToFit="0" readingOrder="0"/>
    </dxf>
    <dxf>
      <font>
        <strike val="0"/>
        <outline val="0"/>
        <shadow val="0"/>
        <u val="none"/>
        <vertAlign val="baseline"/>
        <sz val="10"/>
        <name val="Aptos"/>
        <scheme val="none"/>
      </font>
      <alignment horizontal="general" vertical="top" textRotation="0" wrapText="1" indent="0" justifyLastLine="0" shrinkToFit="0" readingOrder="0"/>
    </dxf>
    <dxf>
      <font>
        <strike val="0"/>
        <outline val="0"/>
        <shadow val="0"/>
        <u val="none"/>
        <vertAlign val="baseline"/>
        <sz val="10"/>
        <name val="Aptos"/>
        <scheme val="none"/>
      </font>
      <alignment horizontal="general" vertical="top" textRotation="0" wrapText="0" indent="0" justifyLastLine="0" shrinkToFit="0" readingOrder="0"/>
    </dxf>
    <dxf>
      <font>
        <strike val="0"/>
        <outline val="0"/>
        <shadow val="0"/>
        <u val="none"/>
        <vertAlign val="baseline"/>
        <sz val="10"/>
        <name val="Aptos"/>
        <scheme val="none"/>
      </font>
      <alignment horizontal="general" vertical="top" textRotation="0" wrapText="0" indent="0" justifyLastLine="0" shrinkToFit="0" readingOrder="0"/>
    </dxf>
    <dxf>
      <font>
        <strike val="0"/>
        <outline val="0"/>
        <shadow val="0"/>
        <u val="none"/>
        <vertAlign val="baseline"/>
        <sz val="10"/>
        <name val="Aptos"/>
        <scheme val="none"/>
      </font>
      <alignment horizontal="general" vertical="top" textRotation="0" wrapText="0" indent="0" justifyLastLine="0" shrinkToFit="0" readingOrder="0"/>
    </dxf>
    <dxf>
      <font>
        <b/>
        <strike val="0"/>
        <outline val="0"/>
        <shadow val="0"/>
        <u val="none"/>
        <vertAlign val="baseline"/>
        <sz val="10"/>
        <color rgb="FFFFFFFF"/>
        <name val="Aptos"/>
        <scheme val="none"/>
      </font>
      <fill>
        <patternFill patternType="solid">
          <fgColor indexed="64"/>
          <bgColor rgb="FF12346B"/>
        </patternFill>
      </fill>
      <alignment horizontal="center" vertical="top"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scheme val="none"/>
      </font>
      <numFmt numFmtId="165" formatCode="yyyy\-mm\-dd"/>
      <alignment horizontal="general" vertical="bottom"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bottom" textRotation="0" wrapText="1" indent="0" justifyLastLine="0" shrinkToFit="0" readingOrder="0"/>
    </dxf>
    <dxf>
      <font>
        <b/>
        <i val="0"/>
        <strike val="0"/>
        <condense val="0"/>
        <extend val="0"/>
        <outline val="0"/>
        <shadow val="0"/>
        <u val="none"/>
        <vertAlign val="baseline"/>
        <sz val="10"/>
        <color rgb="FFFFFFFF"/>
        <name val="Aptos"/>
        <scheme val="none"/>
      </font>
      <fill>
        <patternFill patternType="solid">
          <fgColor indexed="64"/>
          <bgColor rgb="FF2F75B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bottom" textRotation="0" wrapText="1" indent="0" justifyLastLine="0" shrinkToFit="0" readingOrder="0"/>
    </dxf>
    <dxf>
      <font>
        <b/>
        <i val="0"/>
        <strike val="0"/>
        <condense val="0"/>
        <extend val="0"/>
        <outline val="0"/>
        <shadow val="0"/>
        <u val="none"/>
        <vertAlign val="baseline"/>
        <sz val="10"/>
        <color rgb="FFFFFFFF"/>
        <name val="Aptos"/>
        <scheme val="none"/>
      </font>
      <fill>
        <patternFill patternType="solid">
          <fgColor indexed="64"/>
          <bgColor rgb="FF2F75B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ptos"/>
        <scheme val="none"/>
      </font>
      <numFmt numFmtId="13" formatCode="0%"/>
    </dxf>
    <dxf>
      <font>
        <b val="0"/>
        <i val="0"/>
        <strike val="0"/>
        <condense val="0"/>
        <extend val="0"/>
        <outline val="0"/>
        <shadow val="0"/>
        <u val="none"/>
        <vertAlign val="baseline"/>
        <sz val="10"/>
        <color theme="1"/>
        <name val="Aptos"/>
        <scheme val="none"/>
      </font>
    </dxf>
    <dxf>
      <font>
        <b val="0"/>
        <i val="0"/>
        <strike val="0"/>
        <condense val="0"/>
        <extend val="0"/>
        <outline val="0"/>
        <shadow val="0"/>
        <u val="none"/>
        <vertAlign val="baseline"/>
        <sz val="10"/>
        <color theme="1"/>
        <name val="Aptos"/>
        <scheme val="none"/>
      </font>
    </dxf>
    <dxf>
      <font>
        <b val="0"/>
        <i val="0"/>
        <strike val="0"/>
        <condense val="0"/>
        <extend val="0"/>
        <outline val="0"/>
        <shadow val="0"/>
        <u val="none"/>
        <vertAlign val="baseline"/>
        <sz val="10"/>
        <color theme="1"/>
        <name val="Aptos"/>
        <scheme val="none"/>
      </font>
    </dxf>
    <dxf>
      <font>
        <b val="0"/>
        <i val="0"/>
        <strike val="0"/>
        <condense val="0"/>
        <extend val="0"/>
        <outline val="0"/>
        <shadow val="0"/>
        <u val="none"/>
        <vertAlign val="baseline"/>
        <sz val="10"/>
        <color theme="1"/>
        <name val="Aptos"/>
        <scheme val="none"/>
      </font>
    </dxf>
    <dxf>
      <font>
        <b val="0"/>
        <i val="0"/>
        <strike val="0"/>
        <condense val="0"/>
        <extend val="0"/>
        <outline val="0"/>
        <shadow val="0"/>
        <u val="none"/>
        <vertAlign val="baseline"/>
        <sz val="10"/>
        <color theme="1"/>
        <name val="Aptos"/>
        <scheme val="none"/>
      </font>
    </dxf>
    <dxf>
      <font>
        <b val="0"/>
        <i val="0"/>
        <strike val="0"/>
        <condense val="0"/>
        <extend val="0"/>
        <outline val="0"/>
        <shadow val="0"/>
        <u val="none"/>
        <vertAlign val="baseline"/>
        <sz val="10"/>
        <color theme="1"/>
        <name val="Aptos"/>
        <scheme val="none"/>
      </font>
    </dxf>
    <dxf>
      <font>
        <b val="0"/>
        <i val="0"/>
        <strike val="0"/>
        <condense val="0"/>
        <extend val="0"/>
        <outline val="0"/>
        <shadow val="0"/>
        <u val="none"/>
        <vertAlign val="baseline"/>
        <sz val="10"/>
        <color theme="1"/>
        <name val="Aptos"/>
        <scheme val="none"/>
      </font>
    </dxf>
    <dxf>
      <font>
        <b val="0"/>
        <i val="0"/>
        <strike val="0"/>
        <condense val="0"/>
        <extend val="0"/>
        <outline val="0"/>
        <shadow val="0"/>
        <u val="none"/>
        <vertAlign val="baseline"/>
        <sz val="10"/>
        <color theme="1"/>
        <name val="Aptos"/>
        <scheme val="none"/>
      </font>
    </dxf>
    <dxf>
      <font>
        <b val="0"/>
        <i val="0"/>
        <strike val="0"/>
        <condense val="0"/>
        <extend val="0"/>
        <outline val="0"/>
        <shadow val="0"/>
        <u val="none"/>
        <vertAlign val="baseline"/>
        <sz val="10"/>
        <color theme="1"/>
        <name val="Aptos"/>
        <scheme val="none"/>
      </font>
    </dxf>
    <dxf>
      <font>
        <b val="0"/>
        <i val="0"/>
        <strike val="0"/>
        <condense val="0"/>
        <extend val="0"/>
        <outline val="0"/>
        <shadow val="0"/>
        <u val="none"/>
        <vertAlign val="baseline"/>
        <sz val="10"/>
        <color theme="1"/>
        <name val="Aptos"/>
        <scheme val="none"/>
      </font>
    </dxf>
    <dxf>
      <font>
        <b val="0"/>
        <i val="0"/>
        <strike val="0"/>
        <condense val="0"/>
        <extend val="0"/>
        <outline val="0"/>
        <shadow val="0"/>
        <u val="none"/>
        <vertAlign val="baseline"/>
        <sz val="10"/>
        <color theme="1"/>
        <name val="Aptos"/>
        <scheme val="none"/>
      </font>
    </dxf>
    <dxf>
      <font>
        <b/>
        <i val="0"/>
        <strike val="0"/>
        <condense val="0"/>
        <extend val="0"/>
        <outline val="0"/>
        <shadow val="0"/>
        <u val="none"/>
        <vertAlign val="baseline"/>
        <sz val="10"/>
        <color rgb="FFFFFFFF"/>
        <name val="Aptos"/>
        <scheme val="none"/>
      </font>
      <fill>
        <patternFill patternType="solid">
          <fgColor indexed="64"/>
          <bgColor rgb="FF2F75B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scheme val="none"/>
      </font>
      <numFmt numFmtId="165" formatCode="yyyy\-mm\-dd"/>
      <alignment horizontal="general" vertical="bottom"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scheme val="none"/>
      </font>
      <numFmt numFmtId="165" formatCode="yyyy\-mm\-dd"/>
      <alignment horizontal="general" vertical="bottom"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bottom" textRotation="0" wrapText="1" indent="0" justifyLastLine="0" shrinkToFit="0" readingOrder="0"/>
    </dxf>
    <dxf>
      <font>
        <b/>
        <i val="0"/>
        <strike val="0"/>
        <condense val="0"/>
        <extend val="0"/>
        <outline val="0"/>
        <shadow val="0"/>
        <u val="none"/>
        <vertAlign val="baseline"/>
        <sz val="10"/>
        <color rgb="FFFFFFFF"/>
        <name val="Aptos"/>
        <scheme val="none"/>
      </font>
      <fill>
        <patternFill patternType="solid">
          <fgColor indexed="64"/>
          <bgColor rgb="FF2F75B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ptos"/>
        <scheme val="none"/>
      </font>
    </dxf>
    <dxf>
      <font>
        <b val="0"/>
        <i val="0"/>
        <strike val="0"/>
        <condense val="0"/>
        <extend val="0"/>
        <outline val="0"/>
        <shadow val="0"/>
        <u val="none"/>
        <vertAlign val="baseline"/>
        <sz val="10"/>
        <color theme="1"/>
        <name val="Aptos"/>
        <scheme val="none"/>
      </font>
      <numFmt numFmtId="13" formatCode="0%"/>
    </dxf>
    <dxf>
      <font>
        <b val="0"/>
        <i val="0"/>
        <strike val="0"/>
        <condense val="0"/>
        <extend val="0"/>
        <outline val="0"/>
        <shadow val="0"/>
        <u val="none"/>
        <vertAlign val="baseline"/>
        <sz val="10"/>
        <color theme="1"/>
        <name val="Aptos"/>
        <scheme val="none"/>
      </font>
    </dxf>
    <dxf>
      <font>
        <b val="0"/>
        <i val="0"/>
        <strike val="0"/>
        <condense val="0"/>
        <extend val="0"/>
        <outline val="0"/>
        <shadow val="0"/>
        <u val="none"/>
        <vertAlign val="baseline"/>
        <sz val="10"/>
        <color theme="1"/>
        <name val="Aptos"/>
        <scheme val="none"/>
      </font>
      <numFmt numFmtId="164" formatCode="0.0"/>
    </dxf>
    <dxf>
      <font>
        <b val="0"/>
        <i val="0"/>
        <strike val="0"/>
        <condense val="0"/>
        <extend val="0"/>
        <outline val="0"/>
        <shadow val="0"/>
        <u val="none"/>
        <vertAlign val="baseline"/>
        <sz val="10"/>
        <color theme="1"/>
        <name val="Aptos"/>
        <scheme val="none"/>
      </font>
    </dxf>
    <dxf>
      <font>
        <b val="0"/>
        <i val="0"/>
        <strike val="0"/>
        <condense val="0"/>
        <extend val="0"/>
        <outline val="0"/>
        <shadow val="0"/>
        <u val="none"/>
        <vertAlign val="baseline"/>
        <sz val="10"/>
        <color theme="1"/>
        <name val="Aptos"/>
        <scheme val="none"/>
      </font>
    </dxf>
    <dxf>
      <font>
        <b val="0"/>
        <i val="0"/>
        <strike val="0"/>
        <condense val="0"/>
        <extend val="0"/>
        <outline val="0"/>
        <shadow val="0"/>
        <u val="none"/>
        <vertAlign val="baseline"/>
        <sz val="10"/>
        <color theme="1"/>
        <name val="Aptos"/>
        <scheme val="none"/>
      </font>
    </dxf>
    <dxf>
      <font>
        <b val="0"/>
        <i val="0"/>
        <strike val="0"/>
        <condense val="0"/>
        <extend val="0"/>
        <outline val="0"/>
        <shadow val="0"/>
        <u val="none"/>
        <vertAlign val="baseline"/>
        <sz val="10"/>
        <color theme="1"/>
        <name val="Aptos"/>
        <scheme val="none"/>
      </font>
    </dxf>
    <dxf>
      <font>
        <b val="0"/>
        <i val="0"/>
        <strike val="0"/>
        <condense val="0"/>
        <extend val="0"/>
        <outline val="0"/>
        <shadow val="0"/>
        <u val="none"/>
        <vertAlign val="baseline"/>
        <sz val="10"/>
        <color theme="1"/>
        <name val="Aptos"/>
        <scheme val="none"/>
      </font>
    </dxf>
    <dxf>
      <font>
        <b val="0"/>
        <i val="0"/>
        <strike val="0"/>
        <condense val="0"/>
        <extend val="0"/>
        <outline val="0"/>
        <shadow val="0"/>
        <u val="none"/>
        <vertAlign val="baseline"/>
        <sz val="10"/>
        <color theme="1"/>
        <name val="Aptos"/>
        <scheme val="none"/>
      </font>
    </dxf>
    <dxf>
      <font>
        <b val="0"/>
        <i val="0"/>
        <strike val="0"/>
        <condense val="0"/>
        <extend val="0"/>
        <outline val="0"/>
        <shadow val="0"/>
        <u val="none"/>
        <vertAlign val="baseline"/>
        <sz val="10"/>
        <color theme="1"/>
        <name val="Aptos"/>
        <scheme val="none"/>
      </font>
    </dxf>
    <dxf>
      <font>
        <b val="0"/>
        <i val="0"/>
        <strike val="0"/>
        <condense val="0"/>
        <extend val="0"/>
        <outline val="0"/>
        <shadow val="0"/>
        <u val="none"/>
        <vertAlign val="baseline"/>
        <sz val="10"/>
        <color theme="1"/>
        <name val="Aptos"/>
        <scheme val="none"/>
      </font>
    </dxf>
    <dxf>
      <font>
        <b val="0"/>
        <i val="0"/>
        <strike val="0"/>
        <condense val="0"/>
        <extend val="0"/>
        <outline val="0"/>
        <shadow val="0"/>
        <u val="none"/>
        <vertAlign val="baseline"/>
        <sz val="10"/>
        <color theme="1"/>
        <name val="Aptos"/>
        <scheme val="none"/>
      </font>
    </dxf>
    <dxf>
      <font>
        <b val="0"/>
        <i val="0"/>
        <strike val="0"/>
        <condense val="0"/>
        <extend val="0"/>
        <outline val="0"/>
        <shadow val="0"/>
        <u val="none"/>
        <vertAlign val="baseline"/>
        <sz val="10"/>
        <color theme="1"/>
        <name val="Aptos"/>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scheme val="none"/>
      </font>
    </dxf>
    <dxf>
      <font>
        <b val="0"/>
        <i val="0"/>
        <strike val="0"/>
        <condense val="0"/>
        <extend val="0"/>
        <outline val="0"/>
        <shadow val="0"/>
        <u val="none"/>
        <vertAlign val="baseline"/>
        <sz val="10"/>
        <color theme="1"/>
        <name val="Aptos"/>
        <scheme val="none"/>
      </font>
    </dxf>
    <dxf>
      <font>
        <b/>
        <i val="0"/>
        <strike val="0"/>
        <condense val="0"/>
        <extend val="0"/>
        <outline val="0"/>
        <shadow val="0"/>
        <u val="none"/>
        <vertAlign val="baseline"/>
        <sz val="10"/>
        <color rgb="FFFFFFFF"/>
        <name val="Aptos"/>
        <scheme val="none"/>
      </font>
      <fill>
        <patternFill patternType="solid">
          <fgColor indexed="64"/>
          <bgColor rgb="FF2F75B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scheme val="none"/>
      </font>
      <numFmt numFmtId="13" formatCode="0%"/>
      <alignment horizontal="general" vertical="top" textRotation="0" wrapText="0" indent="0" justifyLastLine="0" shrinkToFit="0" readingOrder="0"/>
    </dxf>
    <dxf>
      <font>
        <b val="0"/>
        <i val="0"/>
        <strike val="0"/>
        <condense val="0"/>
        <extend val="0"/>
        <outline val="0"/>
        <shadow val="0"/>
        <u val="none"/>
        <vertAlign val="baseline"/>
        <sz val="10"/>
        <color theme="1"/>
        <name val="Aptos"/>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Aptos"/>
        <scheme val="none"/>
      </font>
      <numFmt numFmtId="165" formatCode="yyyy\-mm\-dd"/>
      <alignment horizontal="general" vertical="top" textRotation="0" wrapText="0" indent="0" justifyLastLine="0" shrinkToFit="0" readingOrder="0"/>
    </dxf>
    <dxf>
      <font>
        <b val="0"/>
        <i val="0"/>
        <strike val="0"/>
        <condense val="0"/>
        <extend val="0"/>
        <outline val="0"/>
        <shadow val="0"/>
        <u val="none"/>
        <vertAlign val="baseline"/>
        <sz val="10"/>
        <color theme="1"/>
        <name val="Aptos"/>
        <scheme val="none"/>
      </font>
      <numFmt numFmtId="165" formatCode="yyyy\-mm\-dd"/>
      <alignment horizontal="general" vertical="top" textRotation="0" wrapText="0" indent="0" justifyLastLine="0" shrinkToFit="0" readingOrder="0"/>
    </dxf>
    <dxf>
      <font>
        <b val="0"/>
        <i val="0"/>
        <strike val="0"/>
        <condense val="0"/>
        <extend val="0"/>
        <outline val="0"/>
        <shadow val="0"/>
        <u val="none"/>
        <vertAlign val="baseline"/>
        <sz val="10"/>
        <color theme="1"/>
        <name val="Aptos"/>
        <scheme val="none"/>
      </font>
      <numFmt numFmtId="164" formatCode="0.0"/>
      <alignment horizontal="general" vertical="top" textRotation="0" wrapText="0" indent="0" justifyLastLine="0" shrinkToFit="0" readingOrder="0"/>
    </dxf>
    <dxf>
      <font>
        <b val="0"/>
        <i val="0"/>
        <strike val="0"/>
        <condense val="0"/>
        <extend val="0"/>
        <outline val="0"/>
        <shadow val="0"/>
        <u val="none"/>
        <vertAlign val="baseline"/>
        <sz val="10"/>
        <color theme="1"/>
        <name val="Aptos"/>
        <scheme val="none"/>
      </font>
      <numFmt numFmtId="164" formatCode="0.0"/>
      <alignment horizontal="general" vertical="top" textRotation="0" wrapText="0" indent="0" justifyLastLine="0" shrinkToFit="0" readingOrder="0"/>
    </dxf>
    <dxf>
      <font>
        <b val="0"/>
        <i val="0"/>
        <strike val="0"/>
        <condense val="0"/>
        <extend val="0"/>
        <outline val="0"/>
        <shadow val="0"/>
        <u val="none"/>
        <vertAlign val="baseline"/>
        <sz val="10"/>
        <color theme="1"/>
        <name val="Aptos"/>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Aptos"/>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Aptos"/>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Aptos"/>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Aptos"/>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Aptos"/>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Aptos"/>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Aptos"/>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Aptos"/>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Aptos"/>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Aptos"/>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Aptos"/>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Aptos"/>
        <scheme val="none"/>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theme="1"/>
        <name val="Aptos"/>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Aptos"/>
        <scheme val="none"/>
      </font>
      <alignment horizontal="general" vertical="top" textRotation="0" wrapText="0" indent="0" justifyLastLine="0" shrinkToFit="0" readingOrder="0"/>
    </dxf>
    <dxf>
      <font>
        <b/>
        <i val="0"/>
        <strike val="0"/>
        <condense val="0"/>
        <extend val="0"/>
        <outline val="0"/>
        <shadow val="0"/>
        <u val="none"/>
        <vertAlign val="baseline"/>
        <sz val="10"/>
        <color rgb="FFFFFFFF"/>
        <name val="Aptos"/>
        <scheme val="none"/>
      </font>
      <fill>
        <patternFill patternType="solid">
          <fgColor indexed="64"/>
          <bgColor rgb="FF2F75B5"/>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Phân bổ work item theo phân hệ</a:t>
            </a:r>
          </a:p>
        </c:rich>
      </c:tx>
      <c:layout/>
      <c:overlay val="0"/>
    </c:title>
    <c:autoTitleDeleted val="0"/>
    <c:plotArea>
      <c:layout/>
      <c:barChart>
        <c:barDir val="bar"/>
        <c:grouping val="clustered"/>
        <c:varyColors val="0"/>
        <c:ser>
          <c:idx val="0"/>
          <c:order val="0"/>
          <c:tx>
            <c:v>Work items</c:v>
          </c:tx>
          <c:invertIfNegative val="0"/>
          <c:cat>
            <c:strRef>
              <c:f>Dashboard!$A$11:$A$29</c:f>
              <c:strCache>
                <c:ptCount val="19"/>
                <c:pt idx="0">
                  <c:v>Truy cập, Tổ chức &amp; Phân quyền</c:v>
                </c:pt>
                <c:pt idx="1">
                  <c:v>Quản lý Nhiệm vụ KHCN</c:v>
                </c:pt>
                <c:pt idx="2">
                  <c:v>Chủ trương &amp; Xét duyệt</c:v>
                </c:pt>
                <c:pt idx="3">
                  <c:v>Không gian làm việc &amp; Task</c:v>
                </c:pt>
                <c:pt idx="4">
                  <c:v>Hồ sơ, Tài liệu &amp; Biểu mẫu</c:v>
                </c:pt>
                <c:pt idx="5">
                  <c:v>Hội đồng &amp; Thẩm định</c:v>
                </c:pt>
                <c:pt idx="6">
                  <c:v>Thực hiện Nhiệm vụ</c:v>
                </c:pt>
                <c:pt idx="7">
                  <c:v>Điều chỉnh, Tạm dừng &amp; Dừng</c:v>
                </c:pt>
                <c:pt idx="8">
                  <c:v>Nghiệm thu</c:v>
                </c:pt>
                <c:pt idx="9">
                  <c:v>Quyết toán</c:v>
                </c:pt>
                <c:pt idx="10">
                  <c:v>Sản phẩm Nghiên cứu &amp; SHTT</c:v>
                </c:pt>
                <c:pt idx="11">
                  <c:v>Báo cáo &amp; Điều hành</c:v>
                </c:pt>
                <c:pt idx="12">
                  <c:v>Lưu trữ, Pháp lý &amp; Tra cứu</c:v>
                </c:pt>
                <c:pt idx="13">
                  <c:v>Quy trình &amp; Cấu hình Nghiệp vụ</c:v>
                </c:pt>
                <c:pt idx="14">
                  <c:v>Tích hợp Hệ thống</c:v>
                </c:pt>
                <c:pt idx="15">
                  <c:v>Vận hành Workflow &amp; Hệ thống</c:v>
                </c:pt>
                <c:pt idx="16">
                  <c:v>Audit, An toàn &amp; Cấu hình Hệ thống</c:v>
                </c:pt>
                <c:pt idx="17">
                  <c:v>Trợ giúp &amp; Hỗ trợ Người dùng</c:v>
                </c:pt>
                <c:pt idx="18">
                  <c:v>Trợ lý AI hỗ trợ nghiệp vụ</c:v>
                </c:pt>
              </c:strCache>
            </c:strRef>
          </c:cat>
          <c:val>
            <c:numRef>
              <c:f>Dashboard!$B$11:$B$29</c:f>
              <c:numCache>
                <c:formatCode>General</c:formatCode>
                <c:ptCount val="19"/>
                <c:pt idx="0">
                  <c:v>30</c:v>
                </c:pt>
                <c:pt idx="1">
                  <c:v>15</c:v>
                </c:pt>
                <c:pt idx="2">
                  <c:v>21</c:v>
                </c:pt>
                <c:pt idx="3">
                  <c:v>28</c:v>
                </c:pt>
                <c:pt idx="4">
                  <c:v>30</c:v>
                </c:pt>
                <c:pt idx="5">
                  <c:v>21</c:v>
                </c:pt>
                <c:pt idx="6">
                  <c:v>17</c:v>
                </c:pt>
                <c:pt idx="7">
                  <c:v>72</c:v>
                </c:pt>
                <c:pt idx="8">
                  <c:v>11</c:v>
                </c:pt>
                <c:pt idx="9">
                  <c:v>11</c:v>
                </c:pt>
                <c:pt idx="10">
                  <c:v>23</c:v>
                </c:pt>
                <c:pt idx="11">
                  <c:v>10</c:v>
                </c:pt>
                <c:pt idx="12">
                  <c:v>12</c:v>
                </c:pt>
                <c:pt idx="13">
                  <c:v>77</c:v>
                </c:pt>
                <c:pt idx="14">
                  <c:v>18</c:v>
                </c:pt>
                <c:pt idx="15">
                  <c:v>12</c:v>
                </c:pt>
                <c:pt idx="16">
                  <c:v>11</c:v>
                </c:pt>
                <c:pt idx="17">
                  <c:v>3</c:v>
                </c:pt>
                <c:pt idx="18">
                  <c:v>31</c:v>
                </c:pt>
              </c:numCache>
            </c:numRef>
          </c:val>
          <c:extLst>
            <c:ext xmlns:c16="http://schemas.microsoft.com/office/drawing/2014/chart" uri="{C3380CC4-5D6E-409C-BE32-E72D297353CC}">
              <c16:uniqueId val="{00000003-0E4C-436A-81BE-E70B6997F5EB}"/>
            </c:ext>
          </c:extLst>
        </c:ser>
        <c:dLbls>
          <c:showLegendKey val="0"/>
          <c:showVal val="0"/>
          <c:showCatName val="0"/>
          <c:showSerName val="0"/>
          <c:showPercent val="0"/>
          <c:showBubbleSize val="0"/>
        </c:dLbls>
        <c:gapWidth val="150"/>
        <c:axId val="426204224"/>
        <c:axId val="426204880"/>
      </c:barChart>
      <c:catAx>
        <c:axId val="426204224"/>
        <c:scaling>
          <c:orientation val="maxMin"/>
        </c:scaling>
        <c:delete val="0"/>
        <c:axPos val="l"/>
        <c:numFmt formatCode="General" sourceLinked="1"/>
        <c:majorTickMark val="out"/>
        <c:minorTickMark val="none"/>
        <c:tickLblPos val="nextTo"/>
        <c:crossAx val="426204880"/>
        <c:crosses val="autoZero"/>
        <c:auto val="1"/>
        <c:lblAlgn val="ctr"/>
        <c:lblOffset val="100"/>
        <c:noMultiLvlLbl val="0"/>
      </c:catAx>
      <c:valAx>
        <c:axId val="426204880"/>
        <c:scaling>
          <c:orientation val="minMax"/>
        </c:scaling>
        <c:delete val="0"/>
        <c:axPos val="t"/>
        <c:majorGridlines/>
        <c:numFmt formatCode="General" sourceLinked="1"/>
        <c:majorTickMark val="out"/>
        <c:minorTickMark val="none"/>
        <c:tickLblPos val="nextTo"/>
        <c:crossAx val="426204224"/>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Phân bổ theo release</a:t>
            </a:r>
          </a:p>
        </c:rich>
      </c:tx>
      <c:layout/>
      <c:overlay val="0"/>
    </c:title>
    <c:autoTitleDeleted val="0"/>
    <c:plotArea>
      <c:layout/>
      <c:barChart>
        <c:barDir val="col"/>
        <c:grouping val="clustered"/>
        <c:varyColors val="0"/>
        <c:ser>
          <c:idx val="0"/>
          <c:order val="0"/>
          <c:tx>
            <c:v>Work items</c:v>
          </c:tx>
          <c:invertIfNegative val="0"/>
          <c:cat>
            <c:strRef>
              <c:f>Dashboard!$D$11:$D$13</c:f>
              <c:strCache>
                <c:ptCount val="3"/>
                <c:pt idx="0">
                  <c:v>Pha 1</c:v>
                </c:pt>
                <c:pt idx="1">
                  <c:v>Pha 2</c:v>
                </c:pt>
                <c:pt idx="2">
                  <c:v>Pha 3</c:v>
                </c:pt>
              </c:strCache>
            </c:strRef>
          </c:cat>
          <c:val>
            <c:numRef>
              <c:f>Dashboard!$E$11:$E$13</c:f>
              <c:numCache>
                <c:formatCode>General</c:formatCode>
                <c:ptCount val="3"/>
                <c:pt idx="0">
                  <c:v>242</c:v>
                </c:pt>
                <c:pt idx="1">
                  <c:v>158</c:v>
                </c:pt>
                <c:pt idx="2">
                  <c:v>53</c:v>
                </c:pt>
              </c:numCache>
            </c:numRef>
          </c:val>
          <c:extLst>
            <c:ext xmlns:c16="http://schemas.microsoft.com/office/drawing/2014/chart" uri="{C3380CC4-5D6E-409C-BE32-E72D297353CC}">
              <c16:uniqueId val="{00000003-743D-45A9-AF84-0B1939C3F28A}"/>
            </c:ext>
          </c:extLst>
        </c:ser>
        <c:dLbls>
          <c:showLegendKey val="0"/>
          <c:showVal val="0"/>
          <c:showCatName val="0"/>
          <c:showSerName val="0"/>
          <c:showPercent val="0"/>
          <c:showBubbleSize val="0"/>
        </c:dLbls>
        <c:gapWidth val="150"/>
        <c:axId val="386360808"/>
        <c:axId val="284856192"/>
      </c:barChart>
      <c:catAx>
        <c:axId val="386360808"/>
        <c:scaling>
          <c:orientation val="minMax"/>
        </c:scaling>
        <c:delete val="0"/>
        <c:axPos val="b"/>
        <c:numFmt formatCode="General" sourceLinked="1"/>
        <c:majorTickMark val="out"/>
        <c:minorTickMark val="none"/>
        <c:tickLblPos val="nextTo"/>
        <c:crossAx val="284856192"/>
        <c:crosses val="autoZero"/>
        <c:auto val="1"/>
        <c:lblAlgn val="ctr"/>
        <c:lblOffset val="100"/>
        <c:noMultiLvlLbl val="0"/>
      </c:catAx>
      <c:valAx>
        <c:axId val="284856192"/>
        <c:scaling>
          <c:orientation val="minMax"/>
        </c:scaling>
        <c:delete val="0"/>
        <c:axPos val="l"/>
        <c:majorGridlines/>
        <c:numFmt formatCode="General" sourceLinked="1"/>
        <c:majorTickMark val="out"/>
        <c:minorTickMark val="none"/>
        <c:tickLblPos val="nextTo"/>
        <c:crossAx val="386360808"/>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0</xdr:colOff>
      <xdr:row>9</xdr:row>
      <xdr:rowOff>0</xdr:rowOff>
    </xdr:from>
    <xdr:to>
      <xdr:col>15</xdr:col>
      <xdr:colOff>254000</xdr:colOff>
      <xdr:row>37</xdr:row>
      <xdr:rowOff>12700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20</xdr:row>
      <xdr:rowOff>0</xdr:rowOff>
    </xdr:from>
    <xdr:to>
      <xdr:col>7</xdr:col>
      <xdr:colOff>514350</xdr:colOff>
      <xdr:row>38</xdr:row>
      <xdr:rowOff>6350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2" name="tblWBSFSLv4" displayName="tblWBSFSLv4" ref="A4:AA457" totalsRowShown="0" headerRowDxfId="116" dataDxfId="115">
  <autoFilter ref="A4:AA457"/>
  <tableColumns count="27">
    <tableColumn id="1" name="WBS ID" dataDxfId="114">
      <calculatedColumnFormula>B5&amp;"."&amp;TEXT(COUNTIF($B$5:B5,B5),"000")</calculatedColumnFormula>
    </tableColumn>
    <tableColumn id="2" name="Parent WBS" dataDxfId="113">
      <calculatedColumnFormula>IFERROR(INDEX('Work Packages'!$A$5:$A$200,MATCH(D5&amp;"|"&amp;E5,'Work Packages'!$P$5:$P$200,0)),"")</calculatedColumnFormula>
    </tableColumn>
    <tableColumn id="3" name="Feature ID" dataDxfId="112">
      <calculatedColumnFormula>'FSL Source'!B5</calculatedColumnFormula>
    </tableColumn>
    <tableColumn id="4" name="Phân hệ" dataDxfId="111">
      <calculatedColumnFormula>'FSL Source'!C5</calculatedColumnFormula>
    </tableColumn>
    <tableColumn id="5" name="Module" dataDxfId="110">
      <calculatedColumnFormula>'FSL Source'!D5</calculatedColumnFormula>
    </tableColumn>
    <tableColumn id="6" name="Nhóm chức năng" dataDxfId="109">
      <calculatedColumnFormula>'FSL Source'!E5</calculatedColumnFormula>
    </tableColumn>
    <tableColumn id="7" name="Work Item" dataDxfId="108">
      <calculatedColumnFormula>'FSL Source'!F5</calculatedColumnFormula>
    </tableColumn>
    <tableColumn id="8" name="Mô tả / Đầu ra" dataDxfId="107">
      <calculatedColumnFormula>'FSL Source'!G5</calculatedColumnFormula>
    </tableColumn>
    <tableColumn id="9" name="Vai trò chính" dataDxfId="106">
      <calculatedColumnFormula>'FSL Source'!H5</calculatedColumnFormula>
    </tableColumn>
    <tableColumn id="10" name="Loại" dataDxfId="105">
      <calculatedColumnFormula>'FSL Source'!I5</calculatedColumnFormula>
    </tableColumn>
    <tableColumn id="11" name="Quy trình/RD" dataDxfId="104">
      <calculatedColumnFormula>'FSL Source'!J5</calculatedColumnFormula>
    </tableColumn>
    <tableColumn id="12" name="Capability ID" dataDxfId="103">
      <calculatedColumnFormula>'FSL Source'!K5</calculatedColumnFormula>
    </tableColumn>
    <tableColumn id="13" name="Priority" dataDxfId="102">
      <calculatedColumnFormula>'FSL Source'!L5</calculatedColumnFormula>
    </tableColumn>
    <tableColumn id="14" name="Release" dataDxfId="101">
      <calculatedColumnFormula>'FSL Source'!M5</calculatedColumnFormula>
    </tableColumn>
    <tableColumn id="15" name="Trạng thái phạm vi" dataDxfId="100">
      <calculatedColumnFormula>'FSL Source'!N5</calculatedColumnFormula>
    </tableColumn>
    <tableColumn id="16" name="Nguồn/Thay đổi" dataDxfId="8">
      <calculatedColumnFormula>'FSL Source'!O5</calculatedColumnFormula>
    </tableColumn>
    <tableColumn id="17" name="Acceptance / Ghi chú FSL" dataDxfId="99">
      <calculatedColumnFormula>'FSL Source'!P5</calculatedColumnFormula>
    </tableColumn>
    <tableColumn id="18" name="Requirement/NFR ID" dataDxfId="98">
      <calculatedColumnFormula>'FSL Source'!Q5</calculatedColumnFormula>
    </tableColumn>
    <tableColumn id="19" name="Dependencies" dataDxfId="97"/>
    <tableColumn id="20" name="Owner" dataDxfId="96"/>
    <tableColumn id="21" name="Effort (person-day)" dataDxfId="95"/>
    <tableColumn id="22" name="Duration (workday)" dataDxfId="94"/>
    <tableColumn id="23" name="Planned Start" dataDxfId="93"/>
    <tableColumn id="24" name="Planned Finish" dataDxfId="92">
      <calculatedColumnFormula>IF(OR(W5="",V5=""),"",WORKDAY(W5,V5-1))</calculatedColumnFormula>
    </tableColumn>
    <tableColumn id="25" name="Status" dataDxfId="91"/>
    <tableColumn id="26" name="% Complete" dataDxfId="90"/>
    <tableColumn id="27" name="Notes / Evidence" dataDxfId="89"/>
  </tableColumns>
  <tableStyleInfo name="TableStyleMedium2" showFirstColumn="0" showLastColumn="0" showRowStripes="1" showColumnStripes="0"/>
</table>
</file>

<file path=xl/tables/table2.xml><?xml version="1.0" encoding="utf-8"?>
<table xmlns="http://schemas.openxmlformats.org/spreadsheetml/2006/main" id="3" name="tblWorkPackages" displayName="tblWorkPackages" ref="A4:P66" totalsRowShown="0" headerRowDxfId="88" dataDxfId="87">
  <autoFilter ref="A4:P66"/>
  <tableColumns count="16">
    <tableColumn id="1" name="Parent WBS" dataDxfId="86"/>
    <tableColumn id="2" name="Phân hệ" dataDxfId="85"/>
    <tableColumn id="3" name="Module" dataDxfId="84"/>
    <tableColumn id="4" name="Tổng work item" dataDxfId="83">
      <calculatedColumnFormula>COUNTIFS(WBS!$D$5:$D$457,B5,WBS!$E$5:$E$457,C5)</calculatedColumnFormula>
    </tableColumn>
    <tableColumn id="5" name="Must" dataDxfId="82">
      <calculatedColumnFormula>COUNTIFS(WBS!$D$5:$D$457,B5,WBS!$E$5:$E$457,C5,WBS!$M$5:$M$457,"Must")</calculatedColumnFormula>
    </tableColumn>
    <tableColumn id="6" name="Should" dataDxfId="81">
      <calculatedColumnFormula>COUNTIFS(WBS!$D$5:$D$457,B5,WBS!$E$5:$E$457,C5,WBS!$M$5:$M$457,"Should")</calculatedColumnFormula>
    </tableColumn>
    <tableColumn id="7" name="Could" dataDxfId="80">
      <calculatedColumnFormula>COUNTIFS(WBS!$D$5:$D$457,B5,WBS!$E$5:$E$457,C5,WBS!$M$5:$M$457,"Could")</calculatedColumnFormula>
    </tableColumn>
    <tableColumn id="8" name="Pha 1" dataDxfId="79">
      <calculatedColumnFormula>COUNTIFS(WBS!$D$5:$D$457,B5,WBS!$E$5:$E$457,C5,WBS!$N$5:$N$457,"Pha 1")</calculatedColumnFormula>
    </tableColumn>
    <tableColumn id="9" name="Pha 2" dataDxfId="78">
      <calculatedColumnFormula>COUNTIFS(WBS!$D$5:$D$457,B5,WBS!$E$5:$E$457,C5,WBS!$N$5:$N$457,"Pha 2")</calculatedColumnFormula>
    </tableColumn>
    <tableColumn id="10" name="Pha 3" dataDxfId="77">
      <calculatedColumnFormula>COUNTIFS(WBS!$D$5:$D$457,B5,WBS!$E$5:$E$457,C5,WBS!$N$5:$N$457,"Pha 3")</calculatedColumnFormula>
    </tableColumn>
    <tableColumn id="11" name="Cần xác nhận" dataDxfId="76">
      <calculatedColumnFormula>COUNTIFS(WBS!$D$5:$D$457,B5,WBS!$E$5:$E$457,C5,WBS!$O$5:$O$457,"Cần xác nhận")</calculatedColumnFormula>
    </tableColumn>
    <tableColumn id="12" name="Owner" dataDxfId="75"/>
    <tableColumn id="13" name="Effort (PD)" dataDxfId="74">
      <calculatedColumnFormula>SUMIFS(WBS!$U$5:$U$457,WBS!$D$5:$D$457,B5,WBS!$E$5:$E$457,C5)</calculatedColumnFormula>
    </tableColumn>
    <tableColumn id="14" name="Status" dataDxfId="73">
      <calculatedColumnFormula>IF(O5=1,"Done",IF(COUNTIFS(WBS!$D$5:$D$457,B5,WBS!$E$5:$E$457,C5,WBS!$Y$5:$Y$457,"Blocked")&gt;0,"Blocked",IF(COUNTIFS(WBS!$D$5:$D$457,B5,WBS!$E$5:$E$457,C5,WBS!$Y$5:$Y$457,"In Progress")&gt;0,"In Progress","Not Started")))</calculatedColumnFormula>
    </tableColumn>
    <tableColumn id="15" name="% Complete" dataDxfId="72">
      <calculatedColumnFormula>IFERROR(AVERAGEIFS(WBS!$Z$5:$Z$457,WBS!$D$5:$D$457,B5,WBS!$E$5:$E$457,C5),0)</calculatedColumnFormula>
    </tableColumn>
    <tableColumn id="16" name="Lookup Key" dataDxfId="71">
      <calculatedColumnFormula>B5&amp;"|"&amp;C5</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4" name="tblMilestones" displayName="tblMilestones" ref="A3:H11" totalsRowShown="0" headerRowDxfId="70" dataDxfId="69">
  <autoFilter ref="A3:H11"/>
  <tableColumns count="8">
    <tableColumn id="1" name="Milestone" dataDxfId="68"/>
    <tableColumn id="2" name="Kết quả" dataDxfId="67"/>
    <tableColumn id="3" name="Phạm vi work item" dataDxfId="66"/>
    <tableColumn id="4" name="Owner" dataDxfId="65"/>
    <tableColumn id="5" name="Planned Date" dataDxfId="64"/>
    <tableColumn id="6" name="Status" dataDxfId="63"/>
    <tableColumn id="7" name="Actual Date" dataDxfId="62"/>
    <tableColumn id="8" name="Evidence" dataDxfId="61"/>
  </tableColumns>
  <tableStyleInfo name="TableStyleMedium2" showFirstColumn="0" showLastColumn="0" showRowStripes="1" showColumnStripes="0"/>
</table>
</file>

<file path=xl/tables/table4.xml><?xml version="1.0" encoding="utf-8"?>
<table xmlns="http://schemas.openxmlformats.org/spreadsheetml/2006/main" id="5" name="tblCAPCoverage" displayName="tblCAPCoverage" ref="A4:K25" totalsRowShown="0" headerRowDxfId="60" dataDxfId="59">
  <autoFilter ref="A4:K25"/>
  <tableColumns count="11">
    <tableColumn id="1" name="CAP" dataDxfId="58"/>
    <tableColumn id="2" name="BR" dataDxfId="57"/>
    <tableColumn id="3" name="Tổng feature" dataDxfId="56">
      <calculatedColumnFormula>COUNTIF(WBS!$L$5:$L$457,"*"&amp;A5&amp;"*")</calculatedColumnFormula>
    </tableColumn>
    <tableColumn id="4" name="Must" dataDxfId="55">
      <calculatedColumnFormula>COUNTIFS(WBS!$L$5:$L$457,"*"&amp;A5&amp;"*",WBS!$M$5:$M$457,"Must")</calculatedColumnFormula>
    </tableColumn>
    <tableColumn id="5" name="Should" dataDxfId="54">
      <calculatedColumnFormula>COUNTIFS(WBS!$L$5:$L$457,"*"&amp;A5&amp;"*",WBS!$M$5:$M$457,"Should")</calculatedColumnFormula>
    </tableColumn>
    <tableColumn id="6" name="Could" dataDxfId="53">
      <calculatedColumnFormula>COUNTIFS(WBS!$L$5:$L$457,"*"&amp;A5&amp;"*",WBS!$M$5:$M$457,"Could")</calculatedColumnFormula>
    </tableColumn>
    <tableColumn id="7" name="Pha 1" dataDxfId="52">
      <calculatedColumnFormula>COUNTIFS(WBS!$L$5:$L$457,"*"&amp;A5&amp;"*",WBS!$N$5:$N$457,"Pha 1")</calculatedColumnFormula>
    </tableColumn>
    <tableColumn id="8" name="Pha 2" dataDxfId="51">
      <calculatedColumnFormula>COUNTIFS(WBS!$L$5:$L$457,"*"&amp;A5&amp;"*",WBS!$N$5:$N$457,"Pha 2")</calculatedColumnFormula>
    </tableColumn>
    <tableColumn id="9" name="Pha 3" dataDxfId="50">
      <calculatedColumnFormula>COUNTIFS(WBS!$L$5:$L$457,"*"&amp;A5&amp;"*",WBS!$N$5:$N$457,"Pha 3")</calculatedColumnFormula>
    </tableColumn>
    <tableColumn id="10" name="Cần xác nhận" dataDxfId="49">
      <calculatedColumnFormula>COUNTIFS(WBS!$L$5:$L$457,"*"&amp;A5&amp;"*",WBS!$O$5:$O$457,"Cần xác nhận")</calculatedColumnFormula>
    </tableColumn>
    <tableColumn id="11" name="% Complete" dataDxfId="48">
      <calculatedColumnFormula>IFERROR(SUMPRODUCT((ISNUMBER(SEARCH(A5,WBS!$L$5:$L$457)))*WBS!$Z$5:$Z$457)/C5,0)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id="6" name="tblDependencies" displayName="tblDependencies" ref="A3:F10" totalsRowShown="0" headerRowDxfId="47" dataDxfId="46">
  <autoFilter ref="A3:F10"/>
  <tableColumns count="6">
    <tableColumn id="1" name="Dependency" dataDxfId="45"/>
    <tableColumn id="2" name="Chuỗi ảnh hưởng" dataDxfId="44"/>
    <tableColumn id="3" name="Biện pháp quản trị" dataDxfId="43"/>
    <tableColumn id="4" name="Owner" dataDxfId="42"/>
    <tableColumn id="5" name="Status" dataDxfId="41"/>
    <tableColumn id="6" name="Evidence / Decision" dataDxfId="40"/>
  </tableColumns>
  <tableStyleInfo name="TableStyleMedium2" showFirstColumn="0" showLastColumn="0" showRowStripes="1" showColumnStripes="0"/>
</table>
</file>

<file path=xl/tables/table6.xml><?xml version="1.0" encoding="utf-8"?>
<table xmlns="http://schemas.openxmlformats.org/spreadsheetml/2006/main" id="7" name="tblOpenQuestions" displayName="tblOpenQuestions" ref="A4:J31" totalsRowShown="0" headerRowDxfId="39" dataDxfId="38">
  <autoFilter ref="A4:J31"/>
  <tableColumns count="10">
    <tableColumn id="1" name="Nhóm" dataDxfId="37"/>
    <tableColumn id="2" name="Mã" dataDxfId="36"/>
    <tableColumn id="3" name="Nội dung cần xác nhận" dataDxfId="35"/>
    <tableColumn id="4" name="Phương án/Đề xuất hiện tại" dataDxfId="34"/>
    <tableColumn id="5" name="Ảnh hưởng" dataDxfId="33"/>
    <tableColumn id="6" name="Trạng thái nguồn" dataDxfId="32"/>
    <tableColumn id="7" name="Owner" dataDxfId="31"/>
    <tableColumn id="8" name="Disposition Status" dataDxfId="30"/>
    <tableColumn id="9" name="Due Date" dataDxfId="29"/>
    <tableColumn id="10" name="Decision / Evidence" dataDxfId="28"/>
  </tableColumns>
  <tableStyleInfo name="TableStyleMedium2" showFirstColumn="0" showLastColumn="0" showRowStripes="1" showColumnStripes="0"/>
</table>
</file>

<file path=xl/tables/table7.xml><?xml version="1.0" encoding="utf-8"?>
<table xmlns="http://schemas.openxmlformats.org/spreadsheetml/2006/main" id="1" name="tblFunctionalScope" displayName="tblFunctionalScope" ref="A4:Q457" totalsRowShown="0" headerRowDxfId="27" dataDxfId="26">
  <autoFilter ref="A4:Q457"/>
  <tableColumns count="17">
    <tableColumn id="1" name="STT" dataDxfId="25"/>
    <tableColumn id="2" name="Feature ID" dataDxfId="24"/>
    <tableColumn id="3" name="Phân hệ" dataDxfId="23"/>
    <tableColumn id="4" name="Module" dataDxfId="22"/>
    <tableColumn id="5" name="Nhóm chức năng" dataDxfId="21"/>
    <tableColumn id="6" name="Chức năng" dataDxfId="20"/>
    <tableColumn id="7" name="Mô tả phạm vi" dataDxfId="19"/>
    <tableColumn id="8" name="Vai trò chính" dataDxfId="18"/>
    <tableColumn id="9" name="Loại" dataDxfId="17"/>
    <tableColumn id="10" name="Quy trình/RD" dataDxfId="16"/>
    <tableColumn id="11" name="Capability ID" dataDxfId="15"/>
    <tableColumn id="12" name="Priority" dataDxfId="14"/>
    <tableColumn id="13" name="Release đề xuất" dataDxfId="13"/>
    <tableColumn id="14" name="Trạng thái phạm vi" dataDxfId="12"/>
    <tableColumn id="15" name="Nguồn/Thay đổi" dataDxfId="11"/>
    <tableColumn id="16" name="Định hướng nghiệm thu/Ghi chú" dataDxfId="10"/>
    <tableColumn id="17" name="Requirement/NFR ID"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9"/>
  <sheetViews>
    <sheetView showGridLines="0" zoomScale="85" zoomScaleNormal="85" workbookViewId="0">
      <selection sqref="A1:M2"/>
    </sheetView>
  </sheetViews>
  <sheetFormatPr defaultRowHeight="12.75"/>
  <cols>
    <col min="1" max="1" width="36.7109375" style="1" customWidth="1"/>
    <col min="2" max="2" width="14.7109375" style="1" customWidth="1"/>
    <col min="3" max="3" width="3.7109375" style="1" customWidth="1"/>
    <col min="4" max="4" width="18.7109375" style="1" customWidth="1"/>
    <col min="5" max="5" width="14.7109375" style="1" customWidth="1"/>
    <col min="6" max="13" width="13.7109375" style="1" customWidth="1"/>
    <col min="14" max="16384" width="9.140625" style="1"/>
  </cols>
  <sheetData>
    <row r="1" spans="1:13">
      <c r="A1" s="17" t="s">
        <v>2146</v>
      </c>
      <c r="B1" s="17"/>
      <c r="C1" s="17"/>
      <c r="D1" s="17"/>
      <c r="E1" s="17"/>
      <c r="F1" s="17"/>
      <c r="G1" s="17"/>
      <c r="H1" s="17"/>
      <c r="I1" s="17"/>
      <c r="J1" s="17"/>
      <c r="K1" s="17"/>
      <c r="L1" s="17"/>
      <c r="M1" s="17"/>
    </row>
    <row r="2" spans="1:13">
      <c r="A2" s="17"/>
      <c r="B2" s="17"/>
      <c r="C2" s="17"/>
      <c r="D2" s="17"/>
      <c r="E2" s="17"/>
      <c r="F2" s="17"/>
      <c r="G2" s="17"/>
      <c r="H2" s="17"/>
      <c r="I2" s="17"/>
      <c r="J2" s="17"/>
      <c r="K2" s="17"/>
      <c r="L2" s="17"/>
      <c r="M2" s="17"/>
    </row>
    <row r="3" spans="1:13">
      <c r="A3" s="18" t="s">
        <v>2147</v>
      </c>
      <c r="B3" s="18"/>
      <c r="C3" s="18"/>
      <c r="D3" s="18"/>
      <c r="E3" s="18"/>
      <c r="F3" s="18"/>
      <c r="G3" s="18"/>
      <c r="H3" s="18"/>
      <c r="I3" s="18"/>
      <c r="J3" s="18"/>
      <c r="K3" s="18"/>
      <c r="L3" s="18"/>
      <c r="M3" s="18"/>
    </row>
    <row r="5" spans="1:13">
      <c r="A5" s="13" t="s">
        <v>1898</v>
      </c>
      <c r="B5" s="13"/>
      <c r="C5" s="13" t="s">
        <v>2148</v>
      </c>
      <c r="D5" s="13"/>
      <c r="E5" s="13" t="s">
        <v>2149</v>
      </c>
      <c r="F5" s="13"/>
      <c r="G5" s="13" t="s">
        <v>209</v>
      </c>
      <c r="H5" s="13"/>
      <c r="I5" s="13" t="s">
        <v>2150</v>
      </c>
      <c r="J5" s="13"/>
      <c r="K5" s="13" t="s">
        <v>2151</v>
      </c>
      <c r="L5" s="13"/>
      <c r="M5" s="13"/>
    </row>
    <row r="6" spans="1:13">
      <c r="A6" s="14">
        <f>COUNTA(WBS!$C$5:$C$457)</f>
        <v>453</v>
      </c>
      <c r="B6" s="15"/>
      <c r="C6" s="14">
        <f>COUNTIF(WBS!$M$5:$M$457,"Must")</f>
        <v>304</v>
      </c>
      <c r="D6" s="15"/>
      <c r="E6" s="14">
        <f>COUNTIF(WBS!$N$5:$N$457,"Pha 1")</f>
        <v>242</v>
      </c>
      <c r="F6" s="15"/>
      <c r="G6" s="14">
        <f>COUNTIF(WBS!$O$5:$O$457,"Cần xác nhận")</f>
        <v>61</v>
      </c>
      <c r="H6" s="15"/>
      <c r="I6" s="14">
        <f>COUNTIF(WBS!$Y$5:$Y$457,"Done")</f>
        <v>0</v>
      </c>
      <c r="J6" s="15"/>
      <c r="K6" s="16">
        <f>IFERROR(AVERAGE(WBS!$Z$5:$Z$457),0)</f>
        <v>0</v>
      </c>
      <c r="L6" s="15"/>
      <c r="M6" s="15"/>
    </row>
    <row r="7" spans="1:13">
      <c r="A7" s="15"/>
      <c r="B7" s="15"/>
      <c r="C7" s="15"/>
      <c r="D7" s="15"/>
      <c r="E7" s="15"/>
      <c r="F7" s="15"/>
      <c r="G7" s="15"/>
      <c r="H7" s="15"/>
      <c r="I7" s="15"/>
      <c r="J7" s="15"/>
      <c r="K7" s="15"/>
      <c r="L7" s="15"/>
      <c r="M7" s="15"/>
    </row>
    <row r="10" spans="1:13" ht="33.950000000000003" customHeight="1">
      <c r="A10" s="5" t="s">
        <v>4</v>
      </c>
      <c r="B10" s="5" t="s">
        <v>2152</v>
      </c>
      <c r="D10" s="5" t="s">
        <v>1856</v>
      </c>
      <c r="E10" s="5" t="s">
        <v>2152</v>
      </c>
    </row>
    <row r="11" spans="1:13">
      <c r="A11" s="1" t="s">
        <v>20</v>
      </c>
      <c r="B11" s="1">
        <f>COUNTIF(WBS!$D$5:$D$457,A11)</f>
        <v>30</v>
      </c>
      <c r="D11" s="1" t="s">
        <v>29</v>
      </c>
      <c r="E11" s="1">
        <f>COUNTIF(WBS!$N$5:$N$457,D11)</f>
        <v>242</v>
      </c>
    </row>
    <row r="12" spans="1:13">
      <c r="A12" s="1" t="s">
        <v>161</v>
      </c>
      <c r="B12" s="1">
        <f>COUNTIF(WBS!$D$5:$D$457,A12)</f>
        <v>15</v>
      </c>
      <c r="D12" s="1" t="s">
        <v>125</v>
      </c>
      <c r="E12" s="1">
        <f>COUNTIF(WBS!$N$5:$N$457,D12)</f>
        <v>158</v>
      </c>
    </row>
    <row r="13" spans="1:13">
      <c r="A13" s="1" t="s">
        <v>234</v>
      </c>
      <c r="B13" s="1">
        <f>COUNTIF(WBS!$D$5:$D$457,A13)</f>
        <v>21</v>
      </c>
      <c r="D13" s="1" t="s">
        <v>408</v>
      </c>
      <c r="E13" s="1">
        <f>COUNTIF(WBS!$N$5:$N$457,D13)</f>
        <v>53</v>
      </c>
    </row>
    <row r="14" spans="1:13">
      <c r="A14" s="1" t="s">
        <v>324</v>
      </c>
      <c r="B14" s="1">
        <f>COUNTIF(WBS!$D$5:$D$457,A14)</f>
        <v>28</v>
      </c>
    </row>
    <row r="15" spans="1:13" ht="33.950000000000003" customHeight="1">
      <c r="A15" s="1" t="s">
        <v>432</v>
      </c>
      <c r="B15" s="1">
        <f>COUNTIF(WBS!$D$5:$D$457,A15)</f>
        <v>30</v>
      </c>
      <c r="D15" s="5" t="s">
        <v>13</v>
      </c>
      <c r="E15" s="5" t="s">
        <v>2152</v>
      </c>
    </row>
    <row r="16" spans="1:13">
      <c r="A16" s="1" t="s">
        <v>548</v>
      </c>
      <c r="B16" s="1">
        <f>COUNTIF(WBS!$D$5:$D$457,A16)</f>
        <v>21</v>
      </c>
      <c r="D16" s="1" t="s">
        <v>28</v>
      </c>
      <c r="E16" s="1">
        <f>COUNTIF(WBS!$M$5:$M$457,D16)</f>
        <v>304</v>
      </c>
    </row>
    <row r="17" spans="1:5">
      <c r="A17" s="1" t="s">
        <v>639</v>
      </c>
      <c r="B17" s="1">
        <f>COUNTIF(WBS!$D$5:$D$457,A17)</f>
        <v>17</v>
      </c>
      <c r="D17" s="1" t="s">
        <v>71</v>
      </c>
      <c r="E17" s="1">
        <f>COUNTIF(WBS!$M$5:$M$457,D17)</f>
        <v>102</v>
      </c>
    </row>
    <row r="18" spans="1:5">
      <c r="A18" s="1" t="s">
        <v>723</v>
      </c>
      <c r="B18" s="1">
        <f>COUNTIF(WBS!$D$5:$D$457,A18)</f>
        <v>72</v>
      </c>
      <c r="D18" s="1" t="s">
        <v>407</v>
      </c>
      <c r="E18" s="1">
        <f>COUNTIF(WBS!$M$5:$M$457,D18)</f>
        <v>47</v>
      </c>
    </row>
    <row r="19" spans="1:5">
      <c r="A19" s="1" t="s">
        <v>965</v>
      </c>
      <c r="B19" s="1">
        <f>COUNTIF(WBS!$D$5:$D$457,A19)</f>
        <v>11</v>
      </c>
    </row>
    <row r="20" spans="1:5">
      <c r="A20" s="1" t="s">
        <v>1008</v>
      </c>
      <c r="B20" s="1">
        <f>COUNTIF(WBS!$D$5:$D$457,A20)</f>
        <v>11</v>
      </c>
    </row>
    <row r="21" spans="1:5">
      <c r="A21" s="1" t="s">
        <v>1050</v>
      </c>
      <c r="B21" s="1">
        <f>COUNTIF(WBS!$D$5:$D$457,A21)</f>
        <v>23</v>
      </c>
    </row>
    <row r="22" spans="1:5">
      <c r="A22" s="1" t="s">
        <v>1137</v>
      </c>
      <c r="B22" s="1">
        <f>COUNTIF(WBS!$D$5:$D$457,A22)</f>
        <v>10</v>
      </c>
    </row>
    <row r="23" spans="1:5">
      <c r="A23" s="1" t="s">
        <v>1179</v>
      </c>
      <c r="B23" s="1">
        <f>COUNTIF(WBS!$D$5:$D$457,A23)</f>
        <v>12</v>
      </c>
    </row>
    <row r="24" spans="1:5">
      <c r="A24" s="1" t="s">
        <v>1228</v>
      </c>
      <c r="B24" s="1">
        <f>COUNTIF(WBS!$D$5:$D$457,A24)</f>
        <v>77</v>
      </c>
    </row>
    <row r="25" spans="1:5">
      <c r="A25" s="1" t="s">
        <v>1520</v>
      </c>
      <c r="B25" s="1">
        <f>COUNTIF(WBS!$D$5:$D$457,A25)</f>
        <v>18</v>
      </c>
    </row>
    <row r="26" spans="1:5">
      <c r="A26" s="1" t="s">
        <v>1589</v>
      </c>
      <c r="B26" s="1">
        <f>COUNTIF(WBS!$D$5:$D$457,A26)</f>
        <v>12</v>
      </c>
    </row>
    <row r="27" spans="1:5">
      <c r="A27" s="1" t="s">
        <v>1635</v>
      </c>
      <c r="B27" s="1">
        <f>COUNTIF(WBS!$D$5:$D$457,A27)</f>
        <v>11</v>
      </c>
    </row>
    <row r="28" spans="1:5">
      <c r="A28" s="1" t="s">
        <v>1679</v>
      </c>
      <c r="B28" s="1">
        <f>COUNTIF(WBS!$D$5:$D$457,A28)</f>
        <v>3</v>
      </c>
    </row>
    <row r="29" spans="1:5">
      <c r="A29" s="1" t="s">
        <v>1694</v>
      </c>
      <c r="B29" s="1">
        <f>COUNTIF(WBS!$D$5:$D$457,A29)</f>
        <v>31</v>
      </c>
    </row>
  </sheetData>
  <mergeCells count="14">
    <mergeCell ref="I5:J5"/>
    <mergeCell ref="I6:J7"/>
    <mergeCell ref="K5:M5"/>
    <mergeCell ref="K6:M7"/>
    <mergeCell ref="A1:M2"/>
    <mergeCell ref="A3:M3"/>
    <mergeCell ref="A5:B5"/>
    <mergeCell ref="A6:B7"/>
    <mergeCell ref="C5:D5"/>
    <mergeCell ref="C6:D7"/>
    <mergeCell ref="E5:F5"/>
    <mergeCell ref="E6:F7"/>
    <mergeCell ref="G5:H5"/>
    <mergeCell ref="G6:H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457"/>
  <sheetViews>
    <sheetView showGridLines="0" tabSelected="1" workbookViewId="0">
      <pane xSplit="3" ySplit="4" topLeftCell="H5" activePane="bottomRight" state="frozenSplit"/>
      <selection pane="topRight" activeCell="D1" sqref="D1"/>
      <selection pane="bottomLeft" activeCell="A5" sqref="A5"/>
      <selection pane="bottomRight" activeCell="O15" sqref="O15"/>
    </sheetView>
  </sheetViews>
  <sheetFormatPr defaultRowHeight="12.75"/>
  <cols>
    <col min="1" max="1" width="15.7109375" style="1" customWidth="1"/>
    <col min="2" max="2" width="12.7109375" style="1" customWidth="1"/>
    <col min="3" max="3" width="18.7109375" style="1" customWidth="1"/>
    <col min="4" max="4" width="37.5703125" style="1" customWidth="1"/>
    <col min="5" max="5" width="24.7109375" style="1" customWidth="1"/>
    <col min="6" max="6" width="23.7109375" style="1" customWidth="1"/>
    <col min="7" max="7" width="34.7109375" style="1" customWidth="1"/>
    <col min="8" max="8" width="45.7109375" style="1" customWidth="1"/>
    <col min="9" max="9" width="24.7109375" style="1" customWidth="1"/>
    <col min="10" max="10" width="14.7109375" style="1" customWidth="1"/>
    <col min="11" max="11" width="20.7109375" style="1" customWidth="1"/>
    <col min="12" max="12" width="18.7109375" style="1" customWidth="1"/>
    <col min="13" max="14" width="11.7109375" style="1" customWidth="1"/>
    <col min="15" max="15" width="20.7109375" style="1" customWidth="1"/>
    <col min="16" max="16" width="24.7109375" style="1" customWidth="1"/>
    <col min="17" max="17" width="42.7109375" style="1" customWidth="1"/>
    <col min="18" max="19" width="22.7109375" style="1" customWidth="1"/>
    <col min="20" max="20" width="20.7109375" style="1" customWidth="1"/>
    <col min="21" max="22" width="16.7109375" style="1" customWidth="1"/>
    <col min="23" max="25" width="14.7109375" style="1" customWidth="1"/>
    <col min="26" max="26" width="12.7109375" style="1" customWidth="1"/>
    <col min="27" max="27" width="30.7109375" style="1" customWidth="1"/>
    <col min="28" max="16384" width="9.140625" style="1"/>
  </cols>
  <sheetData>
    <row r="1" spans="1:27" ht="20.25">
      <c r="A1" s="19" t="s">
        <v>1881</v>
      </c>
      <c r="B1" s="19"/>
      <c r="C1" s="19"/>
      <c r="D1" s="19"/>
      <c r="E1" s="19"/>
      <c r="F1" s="19"/>
      <c r="G1" s="19"/>
      <c r="H1" s="19"/>
      <c r="I1" s="19"/>
      <c r="J1" s="19"/>
      <c r="K1" s="19"/>
      <c r="L1" s="19"/>
      <c r="M1" s="19"/>
      <c r="N1" s="19"/>
      <c r="O1" s="19"/>
      <c r="P1" s="19"/>
      <c r="Q1" s="19"/>
      <c r="R1" s="19"/>
      <c r="S1" s="19"/>
      <c r="T1" s="19"/>
      <c r="U1" s="19"/>
      <c r="V1" s="19"/>
      <c r="W1" s="19"/>
      <c r="X1" s="19"/>
      <c r="Y1" s="19"/>
      <c r="Z1" s="19"/>
      <c r="AA1" s="19"/>
    </row>
    <row r="2" spans="1:27">
      <c r="A2" s="20" t="s">
        <v>1882</v>
      </c>
      <c r="B2" s="20"/>
      <c r="C2" s="20"/>
      <c r="D2" s="20"/>
      <c r="E2" s="20"/>
      <c r="F2" s="20"/>
      <c r="G2" s="20"/>
      <c r="H2" s="20"/>
      <c r="I2" s="20"/>
      <c r="J2" s="20"/>
      <c r="K2" s="20"/>
      <c r="L2" s="20"/>
      <c r="M2" s="20"/>
      <c r="N2" s="20"/>
      <c r="O2" s="20"/>
      <c r="P2" s="20"/>
      <c r="Q2" s="20"/>
      <c r="R2" s="20"/>
      <c r="S2" s="20"/>
      <c r="T2" s="20"/>
      <c r="U2" s="20"/>
      <c r="V2" s="20"/>
      <c r="W2" s="20"/>
      <c r="X2" s="20"/>
      <c r="Y2" s="20"/>
      <c r="Z2" s="20"/>
      <c r="AA2" s="20"/>
    </row>
    <row r="4" spans="1:27" ht="33.950000000000003" customHeight="1">
      <c r="A4" s="5" t="s">
        <v>1883</v>
      </c>
      <c r="B4" s="5" t="s">
        <v>1884</v>
      </c>
      <c r="C4" s="5" t="s">
        <v>3</v>
      </c>
      <c r="D4" s="5" t="s">
        <v>4</v>
      </c>
      <c r="E4" s="5" t="s">
        <v>5</v>
      </c>
      <c r="F4" s="5" t="s">
        <v>6</v>
      </c>
      <c r="G4" s="5" t="s">
        <v>1885</v>
      </c>
      <c r="H4" s="5" t="s">
        <v>1886</v>
      </c>
      <c r="I4" s="5" t="s">
        <v>9</v>
      </c>
      <c r="J4" s="5" t="s">
        <v>10</v>
      </c>
      <c r="K4" s="5" t="s">
        <v>11</v>
      </c>
      <c r="L4" s="5" t="s">
        <v>12</v>
      </c>
      <c r="M4" s="5" t="s">
        <v>13</v>
      </c>
      <c r="N4" s="5" t="s">
        <v>1856</v>
      </c>
      <c r="O4" s="5" t="s">
        <v>15</v>
      </c>
      <c r="P4" s="5" t="s">
        <v>16</v>
      </c>
      <c r="Q4" s="5" t="s">
        <v>1887</v>
      </c>
      <c r="R4" s="5" t="s">
        <v>18</v>
      </c>
      <c r="S4" s="5" t="s">
        <v>1888</v>
      </c>
      <c r="T4" s="5" t="s">
        <v>1889</v>
      </c>
      <c r="U4" s="5" t="s">
        <v>1890</v>
      </c>
      <c r="V4" s="5" t="s">
        <v>1891</v>
      </c>
      <c r="W4" s="5" t="s">
        <v>1892</v>
      </c>
      <c r="X4" s="5" t="s">
        <v>1893</v>
      </c>
      <c r="Y4" s="5" t="s">
        <v>1855</v>
      </c>
      <c r="Z4" s="5" t="s">
        <v>1894</v>
      </c>
      <c r="AA4" s="5" t="s">
        <v>1895</v>
      </c>
    </row>
    <row r="5" spans="1:27" ht="25.5">
      <c r="A5" s="3" t="str">
        <f>B5&amp;"."&amp;TEXT(COUNTIF($B$5:B5,B5),"000")</f>
        <v>1.01.01.001</v>
      </c>
      <c r="B5" s="3" t="str">
        <f>IFERROR(INDEX('Work Packages'!$A$5:$A$200,MATCH(D5&amp;"|"&amp;E5,'Work Packages'!$P$5:$P$200,0)),"")</f>
        <v>1.01.01</v>
      </c>
      <c r="C5" s="3" t="str">
        <f>'FSL Source'!B5</f>
        <v>IAM-SSO-001</v>
      </c>
      <c r="D5" s="3" t="str">
        <f>'FSL Source'!C5</f>
        <v>Truy cập, Tổ chức &amp; Phân quyền</v>
      </c>
      <c r="E5" s="3" t="str">
        <f>'FSL Source'!D5</f>
        <v>Đăng nhập &amp; SSO</v>
      </c>
      <c r="F5" s="4" t="str">
        <f>'FSL Source'!E5</f>
        <v>Xác thực</v>
      </c>
      <c r="G5" s="4" t="str">
        <f>'FSL Source'!F5</f>
        <v>Đăng nhập qua SSO/OIDC</v>
      </c>
      <c r="H5" s="4" t="str">
        <f>'FSL Source'!G5</f>
        <v>Chuyển hướng đến Identity Provider, nhận token và tạo phiên làm việc hợp lệ.</v>
      </c>
      <c r="I5" s="3" t="str">
        <f>'FSL Source'!H5</f>
        <v>Tất cả người dùng</v>
      </c>
      <c r="J5" s="3" t="str">
        <f>'FSL Source'!I5</f>
        <v>Nền tảng</v>
      </c>
      <c r="K5" s="3">
        <f>'FSL Source'!J5</f>
        <v>0</v>
      </c>
      <c r="L5" s="3" t="str">
        <f>'FSL Source'!K5</f>
        <v>CAP-20</v>
      </c>
      <c r="M5" s="3" t="str">
        <f>'FSL Source'!L5</f>
        <v>Must</v>
      </c>
      <c r="N5" s="3" t="str">
        <f>'FSL Source'!M5</f>
        <v>Pha 1</v>
      </c>
      <c r="O5" s="3" t="str">
        <f>'FSL Source'!N5</f>
        <v>Đề xuất trong phạm vi</v>
      </c>
      <c r="P5" s="4" t="str">
        <f>'FSL Source'!O5</f>
        <v>Hiệu chỉnh từ VHT_WBS</v>
      </c>
      <c r="Q5" s="4" t="str">
        <f>'FSL Source'!P5</f>
        <v>Đăng nhập thành công bằng tài khoản hợp lệ; lỗi xác thực không làm lộ thông tin nhạy cảm.</v>
      </c>
      <c r="R5" s="4">
        <f>'FSL Source'!Q5</f>
        <v>0</v>
      </c>
      <c r="S5" s="3"/>
      <c r="T5" s="3"/>
      <c r="U5" s="8"/>
      <c r="V5" s="8"/>
      <c r="W5" s="9"/>
      <c r="X5" s="9" t="str">
        <f t="shared" ref="X5:X68" si="0">IF(OR(W5="",V5=""),"",WORKDAY(W5,V5-1))</f>
        <v/>
      </c>
      <c r="Y5" s="3" t="s">
        <v>1860</v>
      </c>
      <c r="Z5" s="10">
        <v>0</v>
      </c>
      <c r="AA5" s="4"/>
    </row>
    <row r="6" spans="1:27" ht="25.5">
      <c r="A6" s="3" t="str">
        <f>B6&amp;"."&amp;TEXT(COUNTIF($B$5:B6,B6),"000")</f>
        <v>1.01.01.002</v>
      </c>
      <c r="B6" s="3" t="str">
        <f>IFERROR(INDEX('Work Packages'!$A$5:$A$200,MATCH(D6&amp;"|"&amp;E6,'Work Packages'!$P$5:$P$200,0)),"")</f>
        <v>1.01.01</v>
      </c>
      <c r="C6" s="3" t="str">
        <f>'FSL Source'!B6</f>
        <v>IAM-SSO-002</v>
      </c>
      <c r="D6" s="3" t="str">
        <f>'FSL Source'!C6</f>
        <v>Truy cập, Tổ chức &amp; Phân quyền</v>
      </c>
      <c r="E6" s="3" t="str">
        <f>'FSL Source'!D6</f>
        <v>Đăng nhập &amp; SSO</v>
      </c>
      <c r="F6" s="4" t="str">
        <f>'FSL Source'!E6</f>
        <v>Xác thực</v>
      </c>
      <c r="G6" s="4" t="str">
        <f>'FSL Source'!F6</f>
        <v>Đăng xuất tập trung</v>
      </c>
      <c r="H6" s="4" t="str">
        <f>'FSL Source'!G6</f>
        <v>Kết thúc phiên ứng dụng và phiên SSO theo chính sách tổ chức.</v>
      </c>
      <c r="I6" s="3" t="str">
        <f>'FSL Source'!H6</f>
        <v>Tất cả người dùng</v>
      </c>
      <c r="J6" s="3" t="str">
        <f>'FSL Source'!I6</f>
        <v>Nền tảng</v>
      </c>
      <c r="K6" s="3">
        <f>'FSL Source'!J6</f>
        <v>0</v>
      </c>
      <c r="L6" s="3" t="str">
        <f>'FSL Source'!K6</f>
        <v>CAP-20</v>
      </c>
      <c r="M6" s="3" t="str">
        <f>'FSL Source'!L6</f>
        <v>Must</v>
      </c>
      <c r="N6" s="3" t="str">
        <f>'FSL Source'!M6</f>
        <v>Pha 1</v>
      </c>
      <c r="O6" s="3" t="str">
        <f>'FSL Source'!N6</f>
        <v>Đề xuất trong phạm vi</v>
      </c>
      <c r="P6" s="4" t="str">
        <f>'FSL Source'!O6</f>
        <v>Hiệu chỉnh từ VHT_WBS</v>
      </c>
      <c r="Q6" s="4">
        <f>'FSL Source'!P6</f>
        <v>0</v>
      </c>
      <c r="R6" s="4">
        <f>'FSL Source'!Q6</f>
        <v>0</v>
      </c>
      <c r="S6" s="3"/>
      <c r="T6" s="3"/>
      <c r="U6" s="8"/>
      <c r="V6" s="8"/>
      <c r="W6" s="9"/>
      <c r="X6" s="9" t="str">
        <f t="shared" si="0"/>
        <v/>
      </c>
      <c r="Y6" s="3" t="s">
        <v>1860</v>
      </c>
      <c r="Z6" s="10">
        <v>0</v>
      </c>
      <c r="AA6" s="4"/>
    </row>
    <row r="7" spans="1:27" ht="25.5">
      <c r="A7" s="3" t="str">
        <f>B7&amp;"."&amp;TEXT(COUNTIF($B$5:B7,B7),"000")</f>
        <v>1.01.01.003</v>
      </c>
      <c r="B7" s="3" t="str">
        <f>IFERROR(INDEX('Work Packages'!$A$5:$A$200,MATCH(D7&amp;"|"&amp;E7,'Work Packages'!$P$5:$P$200,0)),"")</f>
        <v>1.01.01</v>
      </c>
      <c r="C7" s="3" t="str">
        <f>'FSL Source'!B7</f>
        <v>IAM-SSO-003</v>
      </c>
      <c r="D7" s="3" t="str">
        <f>'FSL Source'!C7</f>
        <v>Truy cập, Tổ chức &amp; Phân quyền</v>
      </c>
      <c r="E7" s="3" t="str">
        <f>'FSL Source'!D7</f>
        <v>Đăng nhập &amp; SSO</v>
      </c>
      <c r="F7" s="4" t="str">
        <f>'FSL Source'!E7</f>
        <v>Bảo mật phiên</v>
      </c>
      <c r="G7" s="4" t="str">
        <f>'FSL Source'!F7</f>
        <v>Gia hạn và hết hạn phiên</v>
      </c>
      <c r="H7" s="4" t="str">
        <f>'FSL Source'!G7</f>
        <v>Quản lý refresh token, timeout không hoạt động và bắt buộc đăng nhập lại.</v>
      </c>
      <c r="I7" s="3" t="str">
        <f>'FSL Source'!H7</f>
        <v>Tất cả người dùng</v>
      </c>
      <c r="J7" s="3" t="str">
        <f>'FSL Source'!I7</f>
        <v>Bảo mật</v>
      </c>
      <c r="K7" s="3">
        <f>'FSL Source'!J7</f>
        <v>0</v>
      </c>
      <c r="L7" s="3" t="str">
        <f>'FSL Source'!K7</f>
        <v>CAP-20</v>
      </c>
      <c r="M7" s="3" t="str">
        <f>'FSL Source'!L7</f>
        <v>Must</v>
      </c>
      <c r="N7" s="3" t="str">
        <f>'FSL Source'!M7</f>
        <v>Pha 1</v>
      </c>
      <c r="O7" s="3" t="str">
        <f>'FSL Source'!N7</f>
        <v>Đề xuất trong phạm vi</v>
      </c>
      <c r="P7" s="4" t="str">
        <f>'FSL Source'!O7</f>
        <v>Bổ sung</v>
      </c>
      <c r="Q7" s="4">
        <f>'FSL Source'!P7</f>
        <v>0</v>
      </c>
      <c r="R7" s="4">
        <f>'FSL Source'!Q7</f>
        <v>0</v>
      </c>
      <c r="S7" s="3"/>
      <c r="T7" s="3"/>
      <c r="U7" s="8"/>
      <c r="V7" s="8"/>
      <c r="W7" s="9"/>
      <c r="X7" s="9" t="str">
        <f t="shared" si="0"/>
        <v/>
      </c>
      <c r="Y7" s="3" t="s">
        <v>1860</v>
      </c>
      <c r="Z7" s="10">
        <v>0</v>
      </c>
      <c r="AA7" s="4"/>
    </row>
    <row r="8" spans="1:27" ht="25.5">
      <c r="A8" s="3" t="str">
        <f>B8&amp;"."&amp;TEXT(COUNTIF($B$5:B8,B8),"000")</f>
        <v>1.01.01.004</v>
      </c>
      <c r="B8" s="3" t="str">
        <f>IFERROR(INDEX('Work Packages'!$A$5:$A$200,MATCH(D8&amp;"|"&amp;E8,'Work Packages'!$P$5:$P$200,0)),"")</f>
        <v>1.01.01</v>
      </c>
      <c r="C8" s="3" t="str">
        <f>'FSL Source'!B8</f>
        <v>IAM-SSO-004</v>
      </c>
      <c r="D8" s="3" t="str">
        <f>'FSL Source'!C8</f>
        <v>Truy cập, Tổ chức &amp; Phân quyền</v>
      </c>
      <c r="E8" s="3" t="str">
        <f>'FSL Source'!D8</f>
        <v>Đăng nhập &amp; SSO</v>
      </c>
      <c r="F8" s="4" t="str">
        <f>'FSL Source'!E8</f>
        <v>Hồ sơ người dùng</v>
      </c>
      <c r="G8" s="4" t="str">
        <f>'FSL Source'!F8</f>
        <v>Xem hồ sơ và ngữ cảnh đăng nhập</v>
      </c>
      <c r="H8" s="4" t="str">
        <f>'FSL Source'!G8</f>
        <v>Hiển thị người dùng, đơn vị, vai trò, phạm vi dữ liệu và quyền hiệu lực.</v>
      </c>
      <c r="I8" s="3" t="str">
        <f>'FSL Source'!H8</f>
        <v>Tất cả người dùng</v>
      </c>
      <c r="J8" s="3" t="str">
        <f>'FSL Source'!I8</f>
        <v>Nền tảng</v>
      </c>
      <c r="K8" s="3">
        <f>'FSL Source'!J8</f>
        <v>0</v>
      </c>
      <c r="L8" s="3" t="str">
        <f>'FSL Source'!K8</f>
        <v>CAP-20</v>
      </c>
      <c r="M8" s="3" t="str">
        <f>'FSL Source'!L8</f>
        <v>Must</v>
      </c>
      <c r="N8" s="3" t="str">
        <f>'FSL Source'!M8</f>
        <v>Pha 1</v>
      </c>
      <c r="O8" s="3" t="str">
        <f>'FSL Source'!N8</f>
        <v>Đề xuất trong phạm vi</v>
      </c>
      <c r="P8" s="4" t="str">
        <f>'FSL Source'!O8</f>
        <v>Bổ sung</v>
      </c>
      <c r="Q8" s="4">
        <f>'FSL Source'!P8</f>
        <v>0</v>
      </c>
      <c r="R8" s="4">
        <f>'FSL Source'!Q8</f>
        <v>0</v>
      </c>
      <c r="S8" s="3"/>
      <c r="T8" s="3"/>
      <c r="U8" s="8"/>
      <c r="V8" s="8"/>
      <c r="W8" s="9"/>
      <c r="X8" s="9" t="str">
        <f t="shared" si="0"/>
        <v/>
      </c>
      <c r="Y8" s="3" t="s">
        <v>1860</v>
      </c>
      <c r="Z8" s="10">
        <v>0</v>
      </c>
      <c r="AA8" s="4"/>
    </row>
    <row r="9" spans="1:27" ht="25.5">
      <c r="A9" s="3" t="str">
        <f>B9&amp;"."&amp;TEXT(COUNTIF($B$5:B9,B9),"000")</f>
        <v>1.01.02.001</v>
      </c>
      <c r="B9" s="3" t="str">
        <f>IFERROR(INDEX('Work Packages'!$A$5:$A$200,MATCH(D9&amp;"|"&amp;E9,'Work Packages'!$P$5:$P$200,0)),"")</f>
        <v>1.01.02</v>
      </c>
      <c r="C9" s="3" t="str">
        <f>'FSL Source'!B9</f>
        <v>IAM-ORG-001</v>
      </c>
      <c r="D9" s="3" t="str">
        <f>'FSL Source'!C9</f>
        <v>Truy cập, Tổ chức &amp; Phân quyền</v>
      </c>
      <c r="E9" s="3" t="str">
        <f>'FSL Source'!D9</f>
        <v>Cơ cấu tổ chức</v>
      </c>
      <c r="F9" s="4" t="str">
        <f>'FSL Source'!E9</f>
        <v>Đơn vị tổ chức</v>
      </c>
      <c r="G9" s="4" t="str">
        <f>'FSL Source'!F9</f>
        <v>Xem danh sách Đơn vị tổ chức</v>
      </c>
      <c r="H9" s="4" t="str">
        <f>'FSL Source'!G9</f>
        <v>Tra cứu danh sách, phân trang, sắp xếp và lọc Đơn vị tổ chức theo các tiêu chí nghiệp vụ.</v>
      </c>
      <c r="I9" s="3" t="str">
        <f>'FSL Source'!H9</f>
        <v>Quản trị hệ thống</v>
      </c>
      <c r="J9" s="3" t="str">
        <f>'FSL Source'!I9</f>
        <v>Nghiệp vụ</v>
      </c>
      <c r="K9" s="3">
        <f>'FSL Source'!J9</f>
        <v>0</v>
      </c>
      <c r="L9" s="3" t="str">
        <f>'FSL Source'!K9</f>
        <v>CAP-20</v>
      </c>
      <c r="M9" s="3" t="str">
        <f>'FSL Source'!L9</f>
        <v>Must</v>
      </c>
      <c r="N9" s="3" t="str">
        <f>'FSL Source'!M9</f>
        <v>Pha 1</v>
      </c>
      <c r="O9" s="3" t="str">
        <f>'FSL Source'!N9</f>
        <v>Đề xuất trong phạm vi</v>
      </c>
      <c r="P9" s="4" t="str">
        <f>'FSL Source'!O9</f>
        <v>Bổ sung theo EPIC01</v>
      </c>
      <c r="Q9" s="4" t="str">
        <f>'FSL Source'!P9</f>
        <v>Danh sách hiển thị đúng phạm vi dữ liệu và hỗ trợ lọc/xuất theo quyền.</v>
      </c>
      <c r="R9" s="4">
        <f>'FSL Source'!Q9</f>
        <v>0</v>
      </c>
      <c r="S9" s="3"/>
      <c r="T9" s="3"/>
      <c r="U9" s="8"/>
      <c r="V9" s="8"/>
      <c r="W9" s="9"/>
      <c r="X9" s="9" t="str">
        <f t="shared" si="0"/>
        <v/>
      </c>
      <c r="Y9" s="3" t="s">
        <v>1860</v>
      </c>
      <c r="Z9" s="10">
        <v>0</v>
      </c>
      <c r="AA9" s="4"/>
    </row>
    <row r="10" spans="1:27" ht="25.5">
      <c r="A10" s="3" t="str">
        <f>B10&amp;"."&amp;TEXT(COUNTIF($B$5:B10,B10),"000")</f>
        <v>1.01.02.002</v>
      </c>
      <c r="B10" s="3" t="str">
        <f>IFERROR(INDEX('Work Packages'!$A$5:$A$200,MATCH(D10&amp;"|"&amp;E10,'Work Packages'!$P$5:$P$200,0)),"")</f>
        <v>1.01.02</v>
      </c>
      <c r="C10" s="3" t="str">
        <f>'FSL Source'!B10</f>
        <v>IAM-ORG-002</v>
      </c>
      <c r="D10" s="3" t="str">
        <f>'FSL Source'!C10</f>
        <v>Truy cập, Tổ chức &amp; Phân quyền</v>
      </c>
      <c r="E10" s="3" t="str">
        <f>'FSL Source'!D10</f>
        <v>Cơ cấu tổ chức</v>
      </c>
      <c r="F10" s="4" t="str">
        <f>'FSL Source'!E10</f>
        <v>Đơn vị tổ chức</v>
      </c>
      <c r="G10" s="4" t="str">
        <f>'FSL Source'!F10</f>
        <v>Tạo mới Đơn vị tổ chức</v>
      </c>
      <c r="H10" s="4" t="str">
        <f>'FSL Source'!G10</f>
        <v>Khởi tạo Đơn vị tổ chức, kiểm tra dữ liệu bắt buộc và lưu nháp trước khi hoàn tất.</v>
      </c>
      <c r="I10" s="3" t="str">
        <f>'FSL Source'!H10</f>
        <v>Quản trị hệ thống</v>
      </c>
      <c r="J10" s="3" t="str">
        <f>'FSL Source'!I10</f>
        <v>Nghiệp vụ</v>
      </c>
      <c r="K10" s="3">
        <f>'FSL Source'!J10</f>
        <v>0</v>
      </c>
      <c r="L10" s="3" t="str">
        <f>'FSL Source'!K10</f>
        <v>CAP-20</v>
      </c>
      <c r="M10" s="3" t="str">
        <f>'FSL Source'!L10</f>
        <v>Must</v>
      </c>
      <c r="N10" s="3" t="str">
        <f>'FSL Source'!M10</f>
        <v>Pha 1</v>
      </c>
      <c r="O10" s="3" t="str">
        <f>'FSL Source'!N10</f>
        <v>Đề xuất trong phạm vi</v>
      </c>
      <c r="P10" s="4" t="str">
        <f>'FSL Source'!O10</f>
        <v>Bổ sung theo EPIC01</v>
      </c>
      <c r="Q10" s="4" t="str">
        <f>'FSL Source'!P10</f>
        <v>Dữ liệu hợp lệ được lưu; lỗi validation hiển thị tại trường tương ứng.</v>
      </c>
      <c r="R10" s="4">
        <f>'FSL Source'!Q10</f>
        <v>0</v>
      </c>
      <c r="S10" s="3"/>
      <c r="T10" s="3"/>
      <c r="U10" s="8"/>
      <c r="V10" s="8"/>
      <c r="W10" s="9"/>
      <c r="X10" s="9" t="str">
        <f t="shared" si="0"/>
        <v/>
      </c>
      <c r="Y10" s="3" t="s">
        <v>1860</v>
      </c>
      <c r="Z10" s="10">
        <v>0</v>
      </c>
      <c r="AA10" s="4"/>
    </row>
    <row r="11" spans="1:27" ht="25.5">
      <c r="A11" s="3" t="str">
        <f>B11&amp;"."&amp;TEXT(COUNTIF($B$5:B11,B11),"000")</f>
        <v>1.01.02.003</v>
      </c>
      <c r="B11" s="3" t="str">
        <f>IFERROR(INDEX('Work Packages'!$A$5:$A$200,MATCH(D11&amp;"|"&amp;E11,'Work Packages'!$P$5:$P$200,0)),"")</f>
        <v>1.01.02</v>
      </c>
      <c r="C11" s="3" t="str">
        <f>'FSL Source'!B11</f>
        <v>IAM-ORG-003</v>
      </c>
      <c r="D11" s="3" t="str">
        <f>'FSL Source'!C11</f>
        <v>Truy cập, Tổ chức &amp; Phân quyền</v>
      </c>
      <c r="E11" s="3" t="str">
        <f>'FSL Source'!D11</f>
        <v>Cơ cấu tổ chức</v>
      </c>
      <c r="F11" s="4" t="str">
        <f>'FSL Source'!E11</f>
        <v>Đơn vị tổ chức</v>
      </c>
      <c r="G11" s="4" t="str">
        <f>'FSL Source'!F11</f>
        <v>Xem chi tiết Đơn vị tổ chức</v>
      </c>
      <c r="H11" s="4" t="str">
        <f>'FSL Source'!G11</f>
        <v>Hiển thị thông tin tổng quan, dữ liệu chi tiết, tài liệu liên quan và trạng thái của Đơn vị tổ chức.</v>
      </c>
      <c r="I11" s="3" t="str">
        <f>'FSL Source'!H11</f>
        <v>Quản trị hệ thống</v>
      </c>
      <c r="J11" s="3" t="str">
        <f>'FSL Source'!I11</f>
        <v>Nghiệp vụ</v>
      </c>
      <c r="K11" s="3">
        <f>'FSL Source'!J11</f>
        <v>0</v>
      </c>
      <c r="L11" s="3" t="str">
        <f>'FSL Source'!K11</f>
        <v>CAP-20</v>
      </c>
      <c r="M11" s="3" t="str">
        <f>'FSL Source'!L11</f>
        <v>Must</v>
      </c>
      <c r="N11" s="3" t="str">
        <f>'FSL Source'!M11</f>
        <v>Pha 1</v>
      </c>
      <c r="O11" s="3" t="str">
        <f>'FSL Source'!N11</f>
        <v>Đề xuất trong phạm vi</v>
      </c>
      <c r="P11" s="4" t="str">
        <f>'FSL Source'!O11</f>
        <v>Bổ sung theo EPIC01</v>
      </c>
      <c r="Q11" s="4" t="str">
        <f>'FSL Source'!P11</f>
        <v>Thông tin hiển thị đúng phiên bản và quyền truy cập.</v>
      </c>
      <c r="R11" s="4">
        <f>'FSL Source'!Q11</f>
        <v>0</v>
      </c>
      <c r="S11" s="3"/>
      <c r="T11" s="3"/>
      <c r="U11" s="8"/>
      <c r="V11" s="8"/>
      <c r="W11" s="9"/>
      <c r="X11" s="9" t="str">
        <f t="shared" si="0"/>
        <v/>
      </c>
      <c r="Y11" s="3" t="s">
        <v>1860</v>
      </c>
      <c r="Z11" s="10">
        <v>0</v>
      </c>
      <c r="AA11" s="4"/>
    </row>
    <row r="12" spans="1:27" ht="25.5">
      <c r="A12" s="3" t="str">
        <f>B12&amp;"."&amp;TEXT(COUNTIF($B$5:B12,B12),"000")</f>
        <v>1.01.02.004</v>
      </c>
      <c r="B12" s="3" t="str">
        <f>IFERROR(INDEX('Work Packages'!$A$5:$A$200,MATCH(D12&amp;"|"&amp;E12,'Work Packages'!$P$5:$P$200,0)),"")</f>
        <v>1.01.02</v>
      </c>
      <c r="C12" s="3" t="str">
        <f>'FSL Source'!B12</f>
        <v>IAM-ORG-004</v>
      </c>
      <c r="D12" s="3" t="str">
        <f>'FSL Source'!C12</f>
        <v>Truy cập, Tổ chức &amp; Phân quyền</v>
      </c>
      <c r="E12" s="3" t="str">
        <f>'FSL Source'!D12</f>
        <v>Cơ cấu tổ chức</v>
      </c>
      <c r="F12" s="4" t="str">
        <f>'FSL Source'!E12</f>
        <v>Đơn vị tổ chức</v>
      </c>
      <c r="G12" s="4" t="str">
        <f>'FSL Source'!F12</f>
        <v>Chỉnh sửa Đơn vị tổ chức</v>
      </c>
      <c r="H12" s="4" t="str">
        <f>'FSL Source'!G12</f>
        <v>Cập nhật Đơn vị tổ chức khi trạng thái và quyền người dùng cho phép; kiểm soát xung đột cập nhật.</v>
      </c>
      <c r="I12" s="3" t="str">
        <f>'FSL Source'!H12</f>
        <v>Quản trị hệ thống</v>
      </c>
      <c r="J12" s="3" t="str">
        <f>'FSL Source'!I12</f>
        <v>Nghiệp vụ</v>
      </c>
      <c r="K12" s="3">
        <f>'FSL Source'!J12</f>
        <v>0</v>
      </c>
      <c r="L12" s="3" t="str">
        <f>'FSL Source'!K12</f>
        <v>CAP-20</v>
      </c>
      <c r="M12" s="3" t="str">
        <f>'FSL Source'!L12</f>
        <v>Must</v>
      </c>
      <c r="N12" s="3" t="str">
        <f>'FSL Source'!M12</f>
        <v>Pha 1</v>
      </c>
      <c r="O12" s="3" t="str">
        <f>'FSL Source'!N12</f>
        <v>Đề xuất trong phạm vi</v>
      </c>
      <c r="P12" s="4" t="str">
        <f>'FSL Source'!O12</f>
        <v>Bổ sung theo EPIC01</v>
      </c>
      <c r="Q12" s="4" t="str">
        <f>'FSL Source'!P12</f>
        <v>Chỉ trường được phép sửa có hiệu lực và thay đổi được ghi lịch sử.</v>
      </c>
      <c r="R12" s="4">
        <f>'FSL Source'!Q12</f>
        <v>0</v>
      </c>
      <c r="S12" s="3"/>
      <c r="T12" s="3"/>
      <c r="U12" s="8"/>
      <c r="V12" s="8"/>
      <c r="W12" s="9"/>
      <c r="X12" s="9" t="str">
        <f t="shared" si="0"/>
        <v/>
      </c>
      <c r="Y12" s="3" t="s">
        <v>1860</v>
      </c>
      <c r="Z12" s="10">
        <v>0</v>
      </c>
      <c r="AA12" s="4"/>
    </row>
    <row r="13" spans="1:27" ht="25.5">
      <c r="A13" s="3" t="str">
        <f>B13&amp;"."&amp;TEXT(COUNTIF($B$5:B13,B13),"000")</f>
        <v>1.01.02.005</v>
      </c>
      <c r="B13" s="3" t="str">
        <f>IFERROR(INDEX('Work Packages'!$A$5:$A$200,MATCH(D13&amp;"|"&amp;E13,'Work Packages'!$P$5:$P$200,0)),"")</f>
        <v>1.01.02</v>
      </c>
      <c r="C13" s="3" t="str">
        <f>'FSL Source'!B13</f>
        <v>IAM-ORG-005</v>
      </c>
      <c r="D13" s="3" t="str">
        <f>'FSL Source'!C13</f>
        <v>Truy cập, Tổ chức &amp; Phân quyền</v>
      </c>
      <c r="E13" s="3" t="str">
        <f>'FSL Source'!D13</f>
        <v>Cơ cấu tổ chức</v>
      </c>
      <c r="F13" s="4" t="str">
        <f>'FSL Source'!E13</f>
        <v>Đơn vị tổ chức</v>
      </c>
      <c r="G13" s="4" t="str">
        <f>'FSL Source'!F13</f>
        <v>Xóa/Ngừng sử dụng Đơn vị tổ chức</v>
      </c>
      <c r="H13" s="4" t="str">
        <f>'FSL Source'!G13</f>
        <v>Xóa logic hoặc ngừng sử dụng Đơn vị tổ chức sau khi kiểm tra ràng buộc tham chiếu.</v>
      </c>
      <c r="I13" s="3" t="str">
        <f>'FSL Source'!H13</f>
        <v>Quản trị/Cán bộ nghiệp vụ</v>
      </c>
      <c r="J13" s="3" t="str">
        <f>'FSL Source'!I13</f>
        <v>Nghiệp vụ</v>
      </c>
      <c r="K13" s="3">
        <f>'FSL Source'!J13</f>
        <v>0</v>
      </c>
      <c r="L13" s="3" t="str">
        <f>'FSL Source'!K13</f>
        <v>CAP-20</v>
      </c>
      <c r="M13" s="3" t="str">
        <f>'FSL Source'!L13</f>
        <v>Should</v>
      </c>
      <c r="N13" s="3" t="str">
        <f>'FSL Source'!M13</f>
        <v>Pha 1</v>
      </c>
      <c r="O13" s="3" t="str">
        <f>'FSL Source'!N13</f>
        <v>Đề xuất trong phạm vi</v>
      </c>
      <c r="P13" s="4" t="str">
        <f>'FSL Source'!O13</f>
        <v>Bổ sung theo EPIC01</v>
      </c>
      <c r="Q13" s="4" t="str">
        <f>'FSL Source'!P13</f>
        <v>Không xóa vật lý dữ liệu đã phát sinh giao dịch; cảnh báo rõ quan hệ phụ thuộc.</v>
      </c>
      <c r="R13" s="4">
        <f>'FSL Source'!Q13</f>
        <v>0</v>
      </c>
      <c r="S13" s="3"/>
      <c r="T13" s="3"/>
      <c r="U13" s="8"/>
      <c r="V13" s="8"/>
      <c r="W13" s="9"/>
      <c r="X13" s="9" t="str">
        <f t="shared" si="0"/>
        <v/>
      </c>
      <c r="Y13" s="3" t="s">
        <v>1860</v>
      </c>
      <c r="Z13" s="10">
        <v>0</v>
      </c>
      <c r="AA13" s="4"/>
    </row>
    <row r="14" spans="1:27" ht="25.5">
      <c r="A14" s="3" t="str">
        <f>B14&amp;"."&amp;TEXT(COUNTIF($B$5:B14,B14),"000")</f>
        <v>1.01.02.006</v>
      </c>
      <c r="B14" s="3" t="str">
        <f>IFERROR(INDEX('Work Packages'!$A$5:$A$200,MATCH(D14&amp;"|"&amp;E14,'Work Packages'!$P$5:$P$200,0)),"")</f>
        <v>1.01.02</v>
      </c>
      <c r="C14" s="3" t="str">
        <f>'FSL Source'!B14</f>
        <v>IAM-ORG-006</v>
      </c>
      <c r="D14" s="3" t="str">
        <f>'FSL Source'!C14</f>
        <v>Truy cập, Tổ chức &amp; Phân quyền</v>
      </c>
      <c r="E14" s="3" t="str">
        <f>'FSL Source'!D14</f>
        <v>Cơ cấu tổ chức</v>
      </c>
      <c r="F14" s="4" t="str">
        <f>'FSL Source'!E14</f>
        <v>Đơn vị tổ chức</v>
      </c>
      <c r="G14" s="4" t="str">
        <f>'FSL Source'!F14</f>
        <v>Xem lịch sử Đơn vị tổ chức</v>
      </c>
      <c r="H14" s="4" t="str">
        <f>'FSL Source'!G14</f>
        <v>Theo dõi phiên bản, thay đổi dữ liệu, người thực hiện và lịch sử xử lý của Đơn vị tổ chức.</v>
      </c>
      <c r="I14" s="3" t="str">
        <f>'FSL Source'!H14</f>
        <v>Cán bộ nghiệp vụ/Quản trị</v>
      </c>
      <c r="J14" s="3" t="str">
        <f>'FSL Source'!I14</f>
        <v>Audit</v>
      </c>
      <c r="K14" s="3">
        <f>'FSL Source'!J14</f>
        <v>0</v>
      </c>
      <c r="L14" s="3" t="str">
        <f>'FSL Source'!K14</f>
        <v>CAP-20</v>
      </c>
      <c r="M14" s="3" t="str">
        <f>'FSL Source'!L14</f>
        <v>Must</v>
      </c>
      <c r="N14" s="3" t="str">
        <f>'FSL Source'!M14</f>
        <v>Pha 1</v>
      </c>
      <c r="O14" s="3" t="str">
        <f>'FSL Source'!N14</f>
        <v>Đề xuất trong phạm vi</v>
      </c>
      <c r="P14" s="4" t="str">
        <f>'FSL Source'!O14</f>
        <v>Bổ sung theo EPIC01</v>
      </c>
      <c r="Q14" s="4" t="str">
        <f>'FSL Source'!P14</f>
        <v>Lịch sử không thể sửa và truy vết được trước/sau của thay đổi quan trọng.</v>
      </c>
      <c r="R14" s="4">
        <f>'FSL Source'!Q14</f>
        <v>0</v>
      </c>
      <c r="S14" s="3"/>
      <c r="T14" s="3"/>
      <c r="U14" s="8"/>
      <c r="V14" s="8"/>
      <c r="W14" s="9"/>
      <c r="X14" s="9" t="str">
        <f t="shared" si="0"/>
        <v/>
      </c>
      <c r="Y14" s="3" t="s">
        <v>1860</v>
      </c>
      <c r="Z14" s="10">
        <v>0</v>
      </c>
      <c r="AA14" s="4"/>
    </row>
    <row r="15" spans="1:27" ht="25.5">
      <c r="A15" s="3" t="str">
        <f>B15&amp;"."&amp;TEXT(COUNTIF($B$5:B15,B15),"000")</f>
        <v>1.01.02.007</v>
      </c>
      <c r="B15" s="3" t="str">
        <f>IFERROR(INDEX('Work Packages'!$A$5:$A$200,MATCH(D15&amp;"|"&amp;E15,'Work Packages'!$P$5:$P$200,0)),"")</f>
        <v>1.01.02</v>
      </c>
      <c r="C15" s="3" t="str">
        <f>'FSL Source'!B15</f>
        <v>IAM-ORG-007</v>
      </c>
      <c r="D15" s="3" t="str">
        <f>'FSL Source'!C15</f>
        <v>Truy cập, Tổ chức &amp; Phân quyền</v>
      </c>
      <c r="E15" s="3" t="str">
        <f>'FSL Source'!D15</f>
        <v>Cơ cấu tổ chức</v>
      </c>
      <c r="F15" s="4" t="str">
        <f>'FSL Source'!E15</f>
        <v>Cây tổ chức</v>
      </c>
      <c r="G15" s="4" t="str">
        <f>'FSL Source'!F15</f>
        <v>Quản lý cây tổ chức đa cấp</v>
      </c>
      <c r="H15" s="4" t="str">
        <f>'FSL Source'!G15</f>
        <v>Thiết lập quan hệ cha-con, cấp đơn vị, hiệu lực và lịch sử thay đổi cơ cấu.</v>
      </c>
      <c r="I15" s="3" t="str">
        <f>'FSL Source'!H15</f>
        <v>Quản trị hệ thống</v>
      </c>
      <c r="J15" s="3" t="str">
        <f>'FSL Source'!I15</f>
        <v>Cấu hình</v>
      </c>
      <c r="K15" s="3">
        <f>'FSL Source'!J15</f>
        <v>0</v>
      </c>
      <c r="L15" s="3" t="str">
        <f>'FSL Source'!K15</f>
        <v>CAP-20</v>
      </c>
      <c r="M15" s="3" t="str">
        <f>'FSL Source'!L15</f>
        <v>Must</v>
      </c>
      <c r="N15" s="3" t="str">
        <f>'FSL Source'!M15</f>
        <v>Pha 1</v>
      </c>
      <c r="O15" s="3" t="str">
        <f>'FSL Source'!N15</f>
        <v>Đề xuất trong phạm vi</v>
      </c>
      <c r="P15" s="4" t="str">
        <f>'FSL Source'!O15</f>
        <v>Bổ sung</v>
      </c>
      <c r="Q15" s="4">
        <f>'FSL Source'!P15</f>
        <v>0</v>
      </c>
      <c r="R15" s="4">
        <f>'FSL Source'!Q15</f>
        <v>0</v>
      </c>
      <c r="S15" s="3"/>
      <c r="T15" s="3"/>
      <c r="U15" s="8"/>
      <c r="V15" s="8"/>
      <c r="W15" s="9"/>
      <c r="X15" s="9" t="str">
        <f t="shared" si="0"/>
        <v/>
      </c>
      <c r="Y15" s="3" t="s">
        <v>1860</v>
      </c>
      <c r="Z15" s="10">
        <v>0</v>
      </c>
      <c r="AA15" s="4"/>
    </row>
    <row r="16" spans="1:27" ht="25.5">
      <c r="A16" s="3" t="str">
        <f>B16&amp;"."&amp;TEXT(COUNTIF($B$5:B16,B16),"000")</f>
        <v>1.01.02.008</v>
      </c>
      <c r="B16" s="3" t="str">
        <f>IFERROR(INDEX('Work Packages'!$A$5:$A$200,MATCH(D16&amp;"|"&amp;E16,'Work Packages'!$P$5:$P$200,0)),"")</f>
        <v>1.01.02</v>
      </c>
      <c r="C16" s="3" t="str">
        <f>'FSL Source'!B16</f>
        <v>IAM-ORG-008</v>
      </c>
      <c r="D16" s="3" t="str">
        <f>'FSL Source'!C16</f>
        <v>Truy cập, Tổ chức &amp; Phân quyền</v>
      </c>
      <c r="E16" s="3" t="str">
        <f>'FSL Source'!D16</f>
        <v>Cơ cấu tổ chức</v>
      </c>
      <c r="F16" s="4" t="str">
        <f>'FSL Source'!E16</f>
        <v>Chức danh</v>
      </c>
      <c r="G16" s="4" t="str">
        <f>'FSL Source'!F16</f>
        <v>Quản lý chức danh và vị trí công việc</v>
      </c>
      <c r="H16" s="4" t="str">
        <f>'FSL Source'!G16</f>
        <v>Khai báo chức danh, vị trí, cấp quản lý và ánh xạ dữ liệu nhân sự.</v>
      </c>
      <c r="I16" s="3" t="str">
        <f>'FSL Source'!H16</f>
        <v>Quản trị hệ thống</v>
      </c>
      <c r="J16" s="3" t="str">
        <f>'FSL Source'!I16</f>
        <v>Cấu hình</v>
      </c>
      <c r="K16" s="3">
        <f>'FSL Source'!J16</f>
        <v>0</v>
      </c>
      <c r="L16" s="3" t="str">
        <f>'FSL Source'!K16</f>
        <v>CAP-20</v>
      </c>
      <c r="M16" s="3" t="str">
        <f>'FSL Source'!L16</f>
        <v>Should</v>
      </c>
      <c r="N16" s="3" t="str">
        <f>'FSL Source'!M16</f>
        <v>Pha 1</v>
      </c>
      <c r="O16" s="3" t="str">
        <f>'FSL Source'!N16</f>
        <v>Đề xuất trong phạm vi</v>
      </c>
      <c r="P16" s="4" t="str">
        <f>'FSL Source'!O16</f>
        <v>Bổ sung</v>
      </c>
      <c r="Q16" s="4">
        <f>'FSL Source'!P16</f>
        <v>0</v>
      </c>
      <c r="R16" s="4">
        <f>'FSL Source'!Q16</f>
        <v>0</v>
      </c>
      <c r="S16" s="3"/>
      <c r="T16" s="3"/>
      <c r="U16" s="8"/>
      <c r="V16" s="8"/>
      <c r="W16" s="9"/>
      <c r="X16" s="9" t="str">
        <f t="shared" si="0"/>
        <v/>
      </c>
      <c r="Y16" s="3" t="s">
        <v>1860</v>
      </c>
      <c r="Z16" s="10">
        <v>0</v>
      </c>
      <c r="AA16" s="4"/>
    </row>
    <row r="17" spans="1:27" ht="25.5">
      <c r="A17" s="3" t="str">
        <f>B17&amp;"."&amp;TEXT(COUNTIF($B$5:B17,B17),"000")</f>
        <v>1.01.03.001</v>
      </c>
      <c r="B17" s="3" t="str">
        <f>IFERROR(INDEX('Work Packages'!$A$5:$A$200,MATCH(D17&amp;"|"&amp;E17,'Work Packages'!$P$5:$P$200,0)),"")</f>
        <v>1.01.03</v>
      </c>
      <c r="C17" s="3" t="str">
        <f>'FSL Source'!B17</f>
        <v>IAM-USR-001</v>
      </c>
      <c r="D17" s="3" t="str">
        <f>'FSL Source'!C17</f>
        <v>Truy cập, Tổ chức &amp; Phân quyền</v>
      </c>
      <c r="E17" s="3" t="str">
        <f>'FSL Source'!D17</f>
        <v>Người dùng &amp; định danh</v>
      </c>
      <c r="F17" s="4" t="str">
        <f>'FSL Source'!E17</f>
        <v>Người dùng ứng dụng</v>
      </c>
      <c r="G17" s="4" t="str">
        <f>'FSL Source'!F17</f>
        <v>Xem danh sách Người dùng ứng dụng</v>
      </c>
      <c r="H17" s="4" t="str">
        <f>'FSL Source'!G17</f>
        <v>Tra cứu danh sách, phân trang, sắp xếp và lọc Người dùng ứng dụng theo các tiêu chí nghiệp vụ.</v>
      </c>
      <c r="I17" s="3" t="str">
        <f>'FSL Source'!H17</f>
        <v>Quản trị hệ thống</v>
      </c>
      <c r="J17" s="3" t="str">
        <f>'FSL Source'!I17</f>
        <v>Nghiệp vụ</v>
      </c>
      <c r="K17" s="3">
        <f>'FSL Source'!J17</f>
        <v>0</v>
      </c>
      <c r="L17" s="3" t="str">
        <f>'FSL Source'!K17</f>
        <v>CAP-20</v>
      </c>
      <c r="M17" s="3" t="str">
        <f>'FSL Source'!L17</f>
        <v>Must</v>
      </c>
      <c r="N17" s="3" t="str">
        <f>'FSL Source'!M17</f>
        <v>Pha 1</v>
      </c>
      <c r="O17" s="3" t="str">
        <f>'FSL Source'!N17</f>
        <v>Đề xuất trong phạm vi</v>
      </c>
      <c r="P17" s="4" t="str">
        <f>'FSL Source'!O17</f>
        <v>Bổ sung theo EPIC02</v>
      </c>
      <c r="Q17" s="4" t="str">
        <f>'FSL Source'!P17</f>
        <v>Danh sách hiển thị đúng phạm vi dữ liệu và hỗ trợ lọc/xuất theo quyền.</v>
      </c>
      <c r="R17" s="4">
        <f>'FSL Source'!Q17</f>
        <v>0</v>
      </c>
      <c r="S17" s="3"/>
      <c r="T17" s="3"/>
      <c r="U17" s="8"/>
      <c r="V17" s="8"/>
      <c r="W17" s="9"/>
      <c r="X17" s="9" t="str">
        <f t="shared" si="0"/>
        <v/>
      </c>
      <c r="Y17" s="3" t="s">
        <v>1860</v>
      </c>
      <c r="Z17" s="10">
        <v>0</v>
      </c>
      <c r="AA17" s="4"/>
    </row>
    <row r="18" spans="1:27" ht="25.5">
      <c r="A18" s="3" t="str">
        <f>B18&amp;"."&amp;TEXT(COUNTIF($B$5:B18,B18),"000")</f>
        <v>1.01.03.002</v>
      </c>
      <c r="B18" s="3" t="str">
        <f>IFERROR(INDEX('Work Packages'!$A$5:$A$200,MATCH(D18&amp;"|"&amp;E18,'Work Packages'!$P$5:$P$200,0)),"")</f>
        <v>1.01.03</v>
      </c>
      <c r="C18" s="3" t="str">
        <f>'FSL Source'!B18</f>
        <v>IAM-USR-002</v>
      </c>
      <c r="D18" s="3" t="str">
        <f>'FSL Source'!C18</f>
        <v>Truy cập, Tổ chức &amp; Phân quyền</v>
      </c>
      <c r="E18" s="3" t="str">
        <f>'FSL Source'!D18</f>
        <v>Người dùng &amp; định danh</v>
      </c>
      <c r="F18" s="4" t="str">
        <f>'FSL Source'!E18</f>
        <v>Người dùng ứng dụng</v>
      </c>
      <c r="G18" s="4" t="str">
        <f>'FSL Source'!F18</f>
        <v>Tạo mới Người dùng ứng dụng</v>
      </c>
      <c r="H18" s="4" t="str">
        <f>'FSL Source'!G18</f>
        <v>Khởi tạo Người dùng ứng dụng, kiểm tra dữ liệu bắt buộc và lưu nháp trước khi hoàn tất.</v>
      </c>
      <c r="I18" s="3" t="str">
        <f>'FSL Source'!H18</f>
        <v>Quản trị hệ thống</v>
      </c>
      <c r="J18" s="3" t="str">
        <f>'FSL Source'!I18</f>
        <v>Nghiệp vụ</v>
      </c>
      <c r="K18" s="3">
        <f>'FSL Source'!J18</f>
        <v>0</v>
      </c>
      <c r="L18" s="3" t="str">
        <f>'FSL Source'!K18</f>
        <v>CAP-20</v>
      </c>
      <c r="M18" s="3" t="str">
        <f>'FSL Source'!L18</f>
        <v>Must</v>
      </c>
      <c r="N18" s="3" t="str">
        <f>'FSL Source'!M18</f>
        <v>Pha 1</v>
      </c>
      <c r="O18" s="3" t="str">
        <f>'FSL Source'!N18</f>
        <v>Đề xuất trong phạm vi</v>
      </c>
      <c r="P18" s="4" t="str">
        <f>'FSL Source'!O18</f>
        <v>Bổ sung theo EPIC02</v>
      </c>
      <c r="Q18" s="4" t="str">
        <f>'FSL Source'!P18</f>
        <v>Dữ liệu hợp lệ được lưu; lỗi validation hiển thị tại trường tương ứng.</v>
      </c>
      <c r="R18" s="4">
        <f>'FSL Source'!Q18</f>
        <v>0</v>
      </c>
      <c r="S18" s="3"/>
      <c r="T18" s="3"/>
      <c r="U18" s="8"/>
      <c r="V18" s="8"/>
      <c r="W18" s="9"/>
      <c r="X18" s="9" t="str">
        <f t="shared" si="0"/>
        <v/>
      </c>
      <c r="Y18" s="3" t="s">
        <v>1860</v>
      </c>
      <c r="Z18" s="10">
        <v>0</v>
      </c>
      <c r="AA18" s="4"/>
    </row>
    <row r="19" spans="1:27" ht="25.5">
      <c r="A19" s="3" t="str">
        <f>B19&amp;"."&amp;TEXT(COUNTIF($B$5:B19,B19),"000")</f>
        <v>1.01.03.003</v>
      </c>
      <c r="B19" s="3" t="str">
        <f>IFERROR(INDEX('Work Packages'!$A$5:$A$200,MATCH(D19&amp;"|"&amp;E19,'Work Packages'!$P$5:$P$200,0)),"")</f>
        <v>1.01.03</v>
      </c>
      <c r="C19" s="3" t="str">
        <f>'FSL Source'!B19</f>
        <v>IAM-USR-003</v>
      </c>
      <c r="D19" s="3" t="str">
        <f>'FSL Source'!C19</f>
        <v>Truy cập, Tổ chức &amp; Phân quyền</v>
      </c>
      <c r="E19" s="3" t="str">
        <f>'FSL Source'!D19</f>
        <v>Người dùng &amp; định danh</v>
      </c>
      <c r="F19" s="4" t="str">
        <f>'FSL Source'!E19</f>
        <v>Người dùng ứng dụng</v>
      </c>
      <c r="G19" s="4" t="str">
        <f>'FSL Source'!F19</f>
        <v>Xem chi tiết Người dùng ứng dụng</v>
      </c>
      <c r="H19" s="4" t="str">
        <f>'FSL Source'!G19</f>
        <v>Hiển thị thông tin tổng quan, dữ liệu chi tiết, tài liệu liên quan và trạng thái của Người dùng ứng dụng.</v>
      </c>
      <c r="I19" s="3" t="str">
        <f>'FSL Source'!H19</f>
        <v>Quản trị hệ thống</v>
      </c>
      <c r="J19" s="3" t="str">
        <f>'FSL Source'!I19</f>
        <v>Nghiệp vụ</v>
      </c>
      <c r="K19" s="3">
        <f>'FSL Source'!J19</f>
        <v>0</v>
      </c>
      <c r="L19" s="3" t="str">
        <f>'FSL Source'!K19</f>
        <v>CAP-20</v>
      </c>
      <c r="M19" s="3" t="str">
        <f>'FSL Source'!L19</f>
        <v>Must</v>
      </c>
      <c r="N19" s="3" t="str">
        <f>'FSL Source'!M19</f>
        <v>Pha 1</v>
      </c>
      <c r="O19" s="3" t="str">
        <f>'FSL Source'!N19</f>
        <v>Đề xuất trong phạm vi</v>
      </c>
      <c r="P19" s="4" t="str">
        <f>'FSL Source'!O19</f>
        <v>Bổ sung theo EPIC02</v>
      </c>
      <c r="Q19" s="4" t="str">
        <f>'FSL Source'!P19</f>
        <v>Thông tin hiển thị đúng phiên bản và quyền truy cập.</v>
      </c>
      <c r="R19" s="4">
        <f>'FSL Source'!Q19</f>
        <v>0</v>
      </c>
      <c r="S19" s="3"/>
      <c r="T19" s="3"/>
      <c r="U19" s="8"/>
      <c r="V19" s="8"/>
      <c r="W19" s="9"/>
      <c r="X19" s="9" t="str">
        <f t="shared" si="0"/>
        <v/>
      </c>
      <c r="Y19" s="3" t="s">
        <v>1860</v>
      </c>
      <c r="Z19" s="10">
        <v>0</v>
      </c>
      <c r="AA19" s="4"/>
    </row>
    <row r="20" spans="1:27" ht="38.25">
      <c r="A20" s="3" t="str">
        <f>B20&amp;"."&amp;TEXT(COUNTIF($B$5:B20,B20),"000")</f>
        <v>1.01.03.004</v>
      </c>
      <c r="B20" s="3" t="str">
        <f>IFERROR(INDEX('Work Packages'!$A$5:$A$200,MATCH(D20&amp;"|"&amp;E20,'Work Packages'!$P$5:$P$200,0)),"")</f>
        <v>1.01.03</v>
      </c>
      <c r="C20" s="3" t="str">
        <f>'FSL Source'!B20</f>
        <v>IAM-USR-004</v>
      </c>
      <c r="D20" s="3" t="str">
        <f>'FSL Source'!C20</f>
        <v>Truy cập, Tổ chức &amp; Phân quyền</v>
      </c>
      <c r="E20" s="3" t="str">
        <f>'FSL Source'!D20</f>
        <v>Người dùng &amp; định danh</v>
      </c>
      <c r="F20" s="4" t="str">
        <f>'FSL Source'!E20</f>
        <v>Người dùng ứng dụng</v>
      </c>
      <c r="G20" s="4" t="str">
        <f>'FSL Source'!F20</f>
        <v>Chỉnh sửa Người dùng ứng dụng</v>
      </c>
      <c r="H20" s="4" t="str">
        <f>'FSL Source'!G20</f>
        <v>Cập nhật Người dùng ứng dụng khi trạng thái và quyền người dùng cho phép; kiểm soát xung đột cập nhật.</v>
      </c>
      <c r="I20" s="3" t="str">
        <f>'FSL Source'!H20</f>
        <v>Quản trị hệ thống</v>
      </c>
      <c r="J20" s="3" t="str">
        <f>'FSL Source'!I20</f>
        <v>Nghiệp vụ</v>
      </c>
      <c r="K20" s="3">
        <f>'FSL Source'!J20</f>
        <v>0</v>
      </c>
      <c r="L20" s="3" t="str">
        <f>'FSL Source'!K20</f>
        <v>CAP-20</v>
      </c>
      <c r="M20" s="3" t="str">
        <f>'FSL Source'!L20</f>
        <v>Must</v>
      </c>
      <c r="N20" s="3" t="str">
        <f>'FSL Source'!M20</f>
        <v>Pha 1</v>
      </c>
      <c r="O20" s="3" t="str">
        <f>'FSL Source'!N20</f>
        <v>Đề xuất trong phạm vi</v>
      </c>
      <c r="P20" s="4" t="str">
        <f>'FSL Source'!O20</f>
        <v>Bổ sung theo EPIC02</v>
      </c>
      <c r="Q20" s="4" t="str">
        <f>'FSL Source'!P20</f>
        <v>Chỉ trường được phép sửa có hiệu lực và thay đổi được ghi lịch sử.</v>
      </c>
      <c r="R20" s="4">
        <f>'FSL Source'!Q20</f>
        <v>0</v>
      </c>
      <c r="S20" s="3"/>
      <c r="T20" s="3"/>
      <c r="U20" s="8"/>
      <c r="V20" s="8"/>
      <c r="W20" s="9"/>
      <c r="X20" s="9" t="str">
        <f t="shared" si="0"/>
        <v/>
      </c>
      <c r="Y20" s="3" t="s">
        <v>1860</v>
      </c>
      <c r="Z20" s="10">
        <v>0</v>
      </c>
      <c r="AA20" s="4"/>
    </row>
    <row r="21" spans="1:27" ht="25.5">
      <c r="A21" s="3" t="str">
        <f>B21&amp;"."&amp;TEXT(COUNTIF($B$5:B21,B21),"000")</f>
        <v>1.01.03.005</v>
      </c>
      <c r="B21" s="3" t="str">
        <f>IFERROR(INDEX('Work Packages'!$A$5:$A$200,MATCH(D21&amp;"|"&amp;E21,'Work Packages'!$P$5:$P$200,0)),"")</f>
        <v>1.01.03</v>
      </c>
      <c r="C21" s="3" t="str">
        <f>'FSL Source'!B21</f>
        <v>IAM-USR-005</v>
      </c>
      <c r="D21" s="3" t="str">
        <f>'FSL Source'!C21</f>
        <v>Truy cập, Tổ chức &amp; Phân quyền</v>
      </c>
      <c r="E21" s="3" t="str">
        <f>'FSL Source'!D21</f>
        <v>Người dùng &amp; định danh</v>
      </c>
      <c r="F21" s="4" t="str">
        <f>'FSL Source'!E21</f>
        <v>Người dùng ứng dụng</v>
      </c>
      <c r="G21" s="4" t="str">
        <f>'FSL Source'!F21</f>
        <v>Xóa/Ngừng sử dụng Người dùng ứng dụng</v>
      </c>
      <c r="H21" s="4" t="str">
        <f>'FSL Source'!G21</f>
        <v>Xóa logic hoặc ngừng sử dụng Người dùng ứng dụng sau khi kiểm tra ràng buộc tham chiếu.</v>
      </c>
      <c r="I21" s="3" t="str">
        <f>'FSL Source'!H21</f>
        <v>Quản trị/Cán bộ nghiệp vụ</v>
      </c>
      <c r="J21" s="3" t="str">
        <f>'FSL Source'!I21</f>
        <v>Nghiệp vụ</v>
      </c>
      <c r="K21" s="3">
        <f>'FSL Source'!J21</f>
        <v>0</v>
      </c>
      <c r="L21" s="3" t="str">
        <f>'FSL Source'!K21</f>
        <v>CAP-20</v>
      </c>
      <c r="M21" s="3" t="str">
        <f>'FSL Source'!L21</f>
        <v>Should</v>
      </c>
      <c r="N21" s="3" t="str">
        <f>'FSL Source'!M21</f>
        <v>Pha 1</v>
      </c>
      <c r="O21" s="3" t="str">
        <f>'FSL Source'!N21</f>
        <v>Đề xuất trong phạm vi</v>
      </c>
      <c r="P21" s="4" t="str">
        <f>'FSL Source'!O21</f>
        <v>Bổ sung theo EPIC02</v>
      </c>
      <c r="Q21" s="4" t="str">
        <f>'FSL Source'!P21</f>
        <v>Không xóa vật lý dữ liệu đã phát sinh giao dịch; cảnh báo rõ quan hệ phụ thuộc.</v>
      </c>
      <c r="R21" s="4">
        <f>'FSL Source'!Q21</f>
        <v>0</v>
      </c>
      <c r="S21" s="3"/>
      <c r="T21" s="3"/>
      <c r="U21" s="8"/>
      <c r="V21" s="8"/>
      <c r="W21" s="9"/>
      <c r="X21" s="9" t="str">
        <f t="shared" si="0"/>
        <v/>
      </c>
      <c r="Y21" s="3" t="s">
        <v>1860</v>
      </c>
      <c r="Z21" s="10">
        <v>0</v>
      </c>
      <c r="AA21" s="4"/>
    </row>
    <row r="22" spans="1:27" ht="25.5">
      <c r="A22" s="3" t="str">
        <f>B22&amp;"."&amp;TEXT(COUNTIF($B$5:B22,B22),"000")</f>
        <v>1.01.03.006</v>
      </c>
      <c r="B22" s="3" t="str">
        <f>IFERROR(INDEX('Work Packages'!$A$5:$A$200,MATCH(D22&amp;"|"&amp;E22,'Work Packages'!$P$5:$P$200,0)),"")</f>
        <v>1.01.03</v>
      </c>
      <c r="C22" s="3" t="str">
        <f>'FSL Source'!B22</f>
        <v>IAM-USR-006</v>
      </c>
      <c r="D22" s="3" t="str">
        <f>'FSL Source'!C22</f>
        <v>Truy cập, Tổ chức &amp; Phân quyền</v>
      </c>
      <c r="E22" s="3" t="str">
        <f>'FSL Source'!D22</f>
        <v>Người dùng &amp; định danh</v>
      </c>
      <c r="F22" s="4" t="str">
        <f>'FSL Source'!E22</f>
        <v>Người dùng ứng dụng</v>
      </c>
      <c r="G22" s="4" t="str">
        <f>'FSL Source'!F22</f>
        <v>Xem lịch sử Người dùng ứng dụng</v>
      </c>
      <c r="H22" s="4" t="str">
        <f>'FSL Source'!G22</f>
        <v>Theo dõi phiên bản, thay đổi dữ liệu, người thực hiện và lịch sử xử lý của Người dùng ứng dụng.</v>
      </c>
      <c r="I22" s="3" t="str">
        <f>'FSL Source'!H22</f>
        <v>Cán bộ nghiệp vụ/Quản trị</v>
      </c>
      <c r="J22" s="3" t="str">
        <f>'FSL Source'!I22</f>
        <v>Audit</v>
      </c>
      <c r="K22" s="3">
        <f>'FSL Source'!J22</f>
        <v>0</v>
      </c>
      <c r="L22" s="3" t="str">
        <f>'FSL Source'!K22</f>
        <v>CAP-20</v>
      </c>
      <c r="M22" s="3" t="str">
        <f>'FSL Source'!L22</f>
        <v>Must</v>
      </c>
      <c r="N22" s="3" t="str">
        <f>'FSL Source'!M22</f>
        <v>Pha 1</v>
      </c>
      <c r="O22" s="3" t="str">
        <f>'FSL Source'!N22</f>
        <v>Đề xuất trong phạm vi</v>
      </c>
      <c r="P22" s="4" t="str">
        <f>'FSL Source'!O22</f>
        <v>Bổ sung theo EPIC02</v>
      </c>
      <c r="Q22" s="4" t="str">
        <f>'FSL Source'!P22</f>
        <v>Lịch sử không thể sửa và truy vết được trước/sau của thay đổi quan trọng.</v>
      </c>
      <c r="R22" s="4">
        <f>'FSL Source'!Q22</f>
        <v>0</v>
      </c>
      <c r="S22" s="3"/>
      <c r="T22" s="3"/>
      <c r="U22" s="8"/>
      <c r="V22" s="8"/>
      <c r="W22" s="9"/>
      <c r="X22" s="9" t="str">
        <f t="shared" si="0"/>
        <v/>
      </c>
      <c r="Y22" s="3" t="s">
        <v>1860</v>
      </c>
      <c r="Z22" s="10">
        <v>0</v>
      </c>
      <c r="AA22" s="4"/>
    </row>
    <row r="23" spans="1:27" ht="25.5">
      <c r="A23" s="3" t="str">
        <f>B23&amp;"."&amp;TEXT(COUNTIF($B$5:B23,B23),"000")</f>
        <v>1.01.03.007</v>
      </c>
      <c r="B23" s="3" t="str">
        <f>IFERROR(INDEX('Work Packages'!$A$5:$A$200,MATCH(D23&amp;"|"&amp;E23,'Work Packages'!$P$5:$P$200,0)),"")</f>
        <v>1.01.03</v>
      </c>
      <c r="C23" s="3" t="str">
        <f>'FSL Source'!B23</f>
        <v>IAM-USR-007</v>
      </c>
      <c r="D23" s="3" t="str">
        <f>'FSL Source'!C23</f>
        <v>Truy cập, Tổ chức &amp; Phân quyền</v>
      </c>
      <c r="E23" s="3" t="str">
        <f>'FSL Source'!D23</f>
        <v>Người dùng &amp; định danh</v>
      </c>
      <c r="F23" s="4" t="str">
        <f>'FSL Source'!E23</f>
        <v>Đồng bộ</v>
      </c>
      <c r="G23" s="4" t="str">
        <f>'FSL Source'!F23</f>
        <v>Đồng bộ người dùng từ AD/QLNS</v>
      </c>
      <c r="H23" s="4" t="str">
        <f>'FSL Source'!G23</f>
        <v>Đồng bộ hồ sơ, đơn vị, chức danh và trạng thái người dùng; ghi nhận sai lệch.</v>
      </c>
      <c r="I23" s="3" t="str">
        <f>'FSL Source'!H23</f>
        <v>Quản trị hệ thống</v>
      </c>
      <c r="J23" s="3" t="str">
        <f>'FSL Source'!I23</f>
        <v>Tích hợp</v>
      </c>
      <c r="K23" s="3">
        <f>'FSL Source'!J23</f>
        <v>0</v>
      </c>
      <c r="L23" s="3" t="str">
        <f>'FSL Source'!K23</f>
        <v>CAP-20</v>
      </c>
      <c r="M23" s="3" t="str">
        <f>'FSL Source'!L23</f>
        <v>Must</v>
      </c>
      <c r="N23" s="3" t="str">
        <f>'FSL Source'!M23</f>
        <v>Pha 1</v>
      </c>
      <c r="O23" s="3" t="str">
        <f>'FSL Source'!N23</f>
        <v>Đề xuất trong phạm vi</v>
      </c>
      <c r="P23" s="4" t="str">
        <f>'FSL Source'!O23</f>
        <v>Bổ sung</v>
      </c>
      <c r="Q23" s="4">
        <f>'FSL Source'!P23</f>
        <v>0</v>
      </c>
      <c r="R23" s="4">
        <f>'FSL Source'!Q23</f>
        <v>0</v>
      </c>
      <c r="S23" s="3"/>
      <c r="T23" s="3"/>
      <c r="U23" s="8"/>
      <c r="V23" s="8"/>
      <c r="W23" s="9"/>
      <c r="X23" s="9" t="str">
        <f t="shared" si="0"/>
        <v/>
      </c>
      <c r="Y23" s="3" t="s">
        <v>1860</v>
      </c>
      <c r="Z23" s="10">
        <v>0</v>
      </c>
      <c r="AA23" s="4"/>
    </row>
    <row r="24" spans="1:27" ht="25.5">
      <c r="A24" s="3" t="str">
        <f>B24&amp;"."&amp;TEXT(COUNTIF($B$5:B24,B24),"000")</f>
        <v>1.01.03.008</v>
      </c>
      <c r="B24" s="3" t="str">
        <f>IFERROR(INDEX('Work Packages'!$A$5:$A$200,MATCH(D24&amp;"|"&amp;E24,'Work Packages'!$P$5:$P$200,0)),"")</f>
        <v>1.01.03</v>
      </c>
      <c r="C24" s="3" t="str">
        <f>'FSL Source'!B24</f>
        <v>IAM-USR-008</v>
      </c>
      <c r="D24" s="3" t="str">
        <f>'FSL Source'!C24</f>
        <v>Truy cập, Tổ chức &amp; Phân quyền</v>
      </c>
      <c r="E24" s="3" t="str">
        <f>'FSL Source'!D24</f>
        <v>Người dùng &amp; định danh</v>
      </c>
      <c r="F24" s="4" t="str">
        <f>'FSL Source'!E24</f>
        <v>Phân công</v>
      </c>
      <c r="G24" s="4" t="str">
        <f>'FSL Source'!F24</f>
        <v>Gán vai trò và phạm vi dữ liệu cho người dùng</v>
      </c>
      <c r="H24" s="4" t="str">
        <f>'FSL Source'!G24</f>
        <v>Mỗi assignment gồm user, role, data scope, đơn vị/nhiệm vụ và thời hạn hiệu lực.</v>
      </c>
      <c r="I24" s="3" t="str">
        <f>'FSL Source'!H24</f>
        <v>Quản trị hệ thống</v>
      </c>
      <c r="J24" s="3" t="str">
        <f>'FSL Source'!I24</f>
        <v>Phân quyền</v>
      </c>
      <c r="K24" s="3">
        <f>'FSL Source'!J24</f>
        <v>0</v>
      </c>
      <c r="L24" s="3" t="str">
        <f>'FSL Source'!K24</f>
        <v>CAP-20</v>
      </c>
      <c r="M24" s="3" t="str">
        <f>'FSL Source'!L24</f>
        <v>Must</v>
      </c>
      <c r="N24" s="3" t="str">
        <f>'FSL Source'!M24</f>
        <v>Pha 1</v>
      </c>
      <c r="O24" s="3" t="str">
        <f>'FSL Source'!N24</f>
        <v>Đề xuất trong phạm vi</v>
      </c>
      <c r="P24" s="4" t="str">
        <f>'FSL Source'!O24</f>
        <v>Bổ sung theo recfactor-module-user-role</v>
      </c>
      <c r="Q24" s="4">
        <f>'FSL Source'!P24</f>
        <v>0</v>
      </c>
      <c r="R24" s="4">
        <f>'FSL Source'!Q24</f>
        <v>0</v>
      </c>
      <c r="S24" s="3"/>
      <c r="T24" s="3"/>
      <c r="U24" s="8"/>
      <c r="V24" s="8"/>
      <c r="W24" s="9"/>
      <c r="X24" s="9" t="str">
        <f t="shared" si="0"/>
        <v/>
      </c>
      <c r="Y24" s="3" t="s">
        <v>1860</v>
      </c>
      <c r="Z24" s="10">
        <v>0</v>
      </c>
      <c r="AA24" s="4"/>
    </row>
    <row r="25" spans="1:27" ht="25.5">
      <c r="A25" s="3" t="str">
        <f>B25&amp;"."&amp;TEXT(COUNTIF($B$5:B25,B25),"000")</f>
        <v>1.01.03.009</v>
      </c>
      <c r="B25" s="3" t="str">
        <f>IFERROR(INDEX('Work Packages'!$A$5:$A$200,MATCH(D25&amp;"|"&amp;E25,'Work Packages'!$P$5:$P$200,0)),"")</f>
        <v>1.01.03</v>
      </c>
      <c r="C25" s="3" t="str">
        <f>'FSL Source'!B25</f>
        <v>IAM-USR-009</v>
      </c>
      <c r="D25" s="3" t="str">
        <f>'FSL Source'!C25</f>
        <v>Truy cập, Tổ chức &amp; Phân quyền</v>
      </c>
      <c r="E25" s="3" t="str">
        <f>'FSL Source'!D25</f>
        <v>Người dùng &amp; định danh</v>
      </c>
      <c r="F25" s="4" t="str">
        <f>'FSL Source'!E25</f>
        <v>Phân công</v>
      </c>
      <c r="G25" s="4" t="str">
        <f>'FSL Source'!F25</f>
        <v>Ủy quyền và người thay thế</v>
      </c>
      <c r="H25" s="4" t="str">
        <f>'FSL Source'!G25</f>
        <v>Thiết lập ủy quyền theo thời gian, phạm vi task/quy trình và ngăn xung đột phân quyền.</v>
      </c>
      <c r="I25" s="3" t="str">
        <f>'FSL Source'!H25</f>
        <v>Người dùng/Quản trị</v>
      </c>
      <c r="J25" s="3" t="str">
        <f>'FSL Source'!I25</f>
        <v>Phân quyền</v>
      </c>
      <c r="K25" s="3">
        <f>'FSL Source'!J25</f>
        <v>0</v>
      </c>
      <c r="L25" s="3" t="str">
        <f>'FSL Source'!K25</f>
        <v>CAP-20; CAP-13</v>
      </c>
      <c r="M25" s="3" t="str">
        <f>'FSL Source'!L25</f>
        <v>Should</v>
      </c>
      <c r="N25" s="3" t="str">
        <f>'FSL Source'!M25</f>
        <v>Pha 2</v>
      </c>
      <c r="O25" s="3" t="str">
        <f>'FSL Source'!N25</f>
        <v>Đề xuất trong phạm vi</v>
      </c>
      <c r="P25" s="4" t="str">
        <f>'FSL Source'!O25</f>
        <v>Bổ sung</v>
      </c>
      <c r="Q25" s="4">
        <f>'FSL Source'!P25</f>
        <v>0</v>
      </c>
      <c r="R25" s="4">
        <f>'FSL Source'!Q25</f>
        <v>0</v>
      </c>
      <c r="S25" s="3"/>
      <c r="T25" s="3"/>
      <c r="U25" s="8"/>
      <c r="V25" s="8"/>
      <c r="W25" s="9"/>
      <c r="X25" s="9" t="str">
        <f t="shared" si="0"/>
        <v/>
      </c>
      <c r="Y25" s="3" t="s">
        <v>1860</v>
      </c>
      <c r="Z25" s="10">
        <v>0</v>
      </c>
      <c r="AA25" s="4"/>
    </row>
    <row r="26" spans="1:27" ht="25.5">
      <c r="A26" s="3" t="str">
        <f>B26&amp;"."&amp;TEXT(COUNTIF($B$5:B26,B26),"000")</f>
        <v>1.01.04.001</v>
      </c>
      <c r="B26" s="3" t="str">
        <f>IFERROR(INDEX('Work Packages'!$A$5:$A$200,MATCH(D26&amp;"|"&amp;E26,'Work Packages'!$P$5:$P$200,0)),"")</f>
        <v>1.01.04</v>
      </c>
      <c r="C26" s="3" t="str">
        <f>'FSL Source'!B26</f>
        <v>IAM-RBAC-001</v>
      </c>
      <c r="D26" s="3" t="str">
        <f>'FSL Source'!C26</f>
        <v>Truy cập, Tổ chức &amp; Phân quyền</v>
      </c>
      <c r="E26" s="3" t="str">
        <f>'FSL Source'!D26</f>
        <v>Vai trò &amp; phân quyền</v>
      </c>
      <c r="F26" s="4" t="str">
        <f>'FSL Source'!E26</f>
        <v>Vai trò nghiệp vụ</v>
      </c>
      <c r="G26" s="4" t="str">
        <f>'FSL Source'!F26</f>
        <v>Xem danh sách Vai trò nghiệp vụ</v>
      </c>
      <c r="H26" s="4" t="str">
        <f>'FSL Source'!G26</f>
        <v>Tra cứu danh sách, phân trang, sắp xếp và lọc Vai trò nghiệp vụ theo các tiêu chí nghiệp vụ.</v>
      </c>
      <c r="I26" s="3" t="str">
        <f>'FSL Source'!H26</f>
        <v>Quản trị hệ thống</v>
      </c>
      <c r="J26" s="3" t="str">
        <f>'FSL Source'!I26</f>
        <v>Nghiệp vụ</v>
      </c>
      <c r="K26" s="3">
        <f>'FSL Source'!J26</f>
        <v>0</v>
      </c>
      <c r="L26" s="3" t="str">
        <f>'FSL Source'!K26</f>
        <v>CAP-20</v>
      </c>
      <c r="M26" s="3" t="str">
        <f>'FSL Source'!L26</f>
        <v>Must</v>
      </c>
      <c r="N26" s="3" t="str">
        <f>'FSL Source'!M26</f>
        <v>Pha 1</v>
      </c>
      <c r="O26" s="3" t="str">
        <f>'FSL Source'!N26</f>
        <v>Đề xuất trong phạm vi</v>
      </c>
      <c r="P26" s="4" t="str">
        <f>'FSL Source'!O26</f>
        <v>Bổ sung theo EPIC03</v>
      </c>
      <c r="Q26" s="4" t="str">
        <f>'FSL Source'!P26</f>
        <v>Danh sách hiển thị đúng phạm vi dữ liệu và hỗ trợ lọc/xuất theo quyền.</v>
      </c>
      <c r="R26" s="4">
        <f>'FSL Source'!Q26</f>
        <v>0</v>
      </c>
      <c r="S26" s="3"/>
      <c r="T26" s="3"/>
      <c r="U26" s="8"/>
      <c r="V26" s="8"/>
      <c r="W26" s="9"/>
      <c r="X26" s="9" t="str">
        <f t="shared" si="0"/>
        <v/>
      </c>
      <c r="Y26" s="3" t="s">
        <v>1860</v>
      </c>
      <c r="Z26" s="10">
        <v>0</v>
      </c>
      <c r="AA26" s="4"/>
    </row>
    <row r="27" spans="1:27" ht="25.5">
      <c r="A27" s="3" t="str">
        <f>B27&amp;"."&amp;TEXT(COUNTIF($B$5:B27,B27),"000")</f>
        <v>1.01.04.002</v>
      </c>
      <c r="B27" s="3" t="str">
        <f>IFERROR(INDEX('Work Packages'!$A$5:$A$200,MATCH(D27&amp;"|"&amp;E27,'Work Packages'!$P$5:$P$200,0)),"")</f>
        <v>1.01.04</v>
      </c>
      <c r="C27" s="3" t="str">
        <f>'FSL Source'!B27</f>
        <v>IAM-RBAC-002</v>
      </c>
      <c r="D27" s="3" t="str">
        <f>'FSL Source'!C27</f>
        <v>Truy cập, Tổ chức &amp; Phân quyền</v>
      </c>
      <c r="E27" s="3" t="str">
        <f>'FSL Source'!D27</f>
        <v>Vai trò &amp; phân quyền</v>
      </c>
      <c r="F27" s="4" t="str">
        <f>'FSL Source'!E27</f>
        <v>Vai trò nghiệp vụ</v>
      </c>
      <c r="G27" s="4" t="str">
        <f>'FSL Source'!F27</f>
        <v>Tạo mới Vai trò nghiệp vụ</v>
      </c>
      <c r="H27" s="4" t="str">
        <f>'FSL Source'!G27</f>
        <v>Khởi tạo Vai trò nghiệp vụ, kiểm tra dữ liệu bắt buộc và lưu nháp trước khi hoàn tất.</v>
      </c>
      <c r="I27" s="3" t="str">
        <f>'FSL Source'!H27</f>
        <v>Quản trị hệ thống</v>
      </c>
      <c r="J27" s="3" t="str">
        <f>'FSL Source'!I27</f>
        <v>Nghiệp vụ</v>
      </c>
      <c r="K27" s="3">
        <f>'FSL Source'!J27</f>
        <v>0</v>
      </c>
      <c r="L27" s="3" t="str">
        <f>'FSL Source'!K27</f>
        <v>CAP-20</v>
      </c>
      <c r="M27" s="3" t="str">
        <f>'FSL Source'!L27</f>
        <v>Must</v>
      </c>
      <c r="N27" s="3" t="str">
        <f>'FSL Source'!M27</f>
        <v>Pha 1</v>
      </c>
      <c r="O27" s="3" t="str">
        <f>'FSL Source'!N27</f>
        <v>Đề xuất trong phạm vi</v>
      </c>
      <c r="P27" s="4" t="str">
        <f>'FSL Source'!O27</f>
        <v>Bổ sung theo EPIC03</v>
      </c>
      <c r="Q27" s="4" t="str">
        <f>'FSL Source'!P27</f>
        <v>Dữ liệu hợp lệ được lưu; lỗi validation hiển thị tại trường tương ứng.</v>
      </c>
      <c r="R27" s="4">
        <f>'FSL Source'!Q27</f>
        <v>0</v>
      </c>
      <c r="S27" s="3"/>
      <c r="T27" s="3"/>
      <c r="U27" s="8"/>
      <c r="V27" s="8"/>
      <c r="W27" s="9"/>
      <c r="X27" s="9" t="str">
        <f t="shared" si="0"/>
        <v/>
      </c>
      <c r="Y27" s="3" t="s">
        <v>1860</v>
      </c>
      <c r="Z27" s="10">
        <v>0</v>
      </c>
      <c r="AA27" s="4"/>
    </row>
    <row r="28" spans="1:27" ht="25.5">
      <c r="A28" s="3" t="str">
        <f>B28&amp;"."&amp;TEXT(COUNTIF($B$5:B28,B28),"000")</f>
        <v>1.01.04.003</v>
      </c>
      <c r="B28" s="3" t="str">
        <f>IFERROR(INDEX('Work Packages'!$A$5:$A$200,MATCH(D28&amp;"|"&amp;E28,'Work Packages'!$P$5:$P$200,0)),"")</f>
        <v>1.01.04</v>
      </c>
      <c r="C28" s="3" t="str">
        <f>'FSL Source'!B28</f>
        <v>IAM-RBAC-003</v>
      </c>
      <c r="D28" s="3" t="str">
        <f>'FSL Source'!C28</f>
        <v>Truy cập, Tổ chức &amp; Phân quyền</v>
      </c>
      <c r="E28" s="3" t="str">
        <f>'FSL Source'!D28</f>
        <v>Vai trò &amp; phân quyền</v>
      </c>
      <c r="F28" s="4" t="str">
        <f>'FSL Source'!E28</f>
        <v>Vai trò nghiệp vụ</v>
      </c>
      <c r="G28" s="4" t="str">
        <f>'FSL Source'!F28</f>
        <v>Xem chi tiết Vai trò nghiệp vụ</v>
      </c>
      <c r="H28" s="4" t="str">
        <f>'FSL Source'!G28</f>
        <v>Hiển thị thông tin tổng quan, dữ liệu chi tiết, tài liệu liên quan và trạng thái của Vai trò nghiệp vụ.</v>
      </c>
      <c r="I28" s="3" t="str">
        <f>'FSL Source'!H28</f>
        <v>Quản trị hệ thống</v>
      </c>
      <c r="J28" s="3" t="str">
        <f>'FSL Source'!I28</f>
        <v>Nghiệp vụ</v>
      </c>
      <c r="K28" s="3">
        <f>'FSL Source'!J28</f>
        <v>0</v>
      </c>
      <c r="L28" s="3" t="str">
        <f>'FSL Source'!K28</f>
        <v>CAP-20</v>
      </c>
      <c r="M28" s="3" t="str">
        <f>'FSL Source'!L28</f>
        <v>Must</v>
      </c>
      <c r="N28" s="3" t="str">
        <f>'FSL Source'!M28</f>
        <v>Pha 1</v>
      </c>
      <c r="O28" s="3" t="str">
        <f>'FSL Source'!N28</f>
        <v>Đề xuất trong phạm vi</v>
      </c>
      <c r="P28" s="4" t="str">
        <f>'FSL Source'!O28</f>
        <v>Bổ sung theo EPIC03</v>
      </c>
      <c r="Q28" s="4" t="str">
        <f>'FSL Source'!P28</f>
        <v>Thông tin hiển thị đúng phiên bản và quyền truy cập.</v>
      </c>
      <c r="R28" s="4">
        <f>'FSL Source'!Q28</f>
        <v>0</v>
      </c>
      <c r="S28" s="3"/>
      <c r="T28" s="3"/>
      <c r="U28" s="8"/>
      <c r="V28" s="8"/>
      <c r="W28" s="9"/>
      <c r="X28" s="9" t="str">
        <f t="shared" si="0"/>
        <v/>
      </c>
      <c r="Y28" s="3" t="s">
        <v>1860</v>
      </c>
      <c r="Z28" s="10">
        <v>0</v>
      </c>
      <c r="AA28" s="4"/>
    </row>
    <row r="29" spans="1:27" ht="25.5">
      <c r="A29" s="3" t="str">
        <f>B29&amp;"."&amp;TEXT(COUNTIF($B$5:B29,B29),"000")</f>
        <v>1.01.04.004</v>
      </c>
      <c r="B29" s="3" t="str">
        <f>IFERROR(INDEX('Work Packages'!$A$5:$A$200,MATCH(D29&amp;"|"&amp;E29,'Work Packages'!$P$5:$P$200,0)),"")</f>
        <v>1.01.04</v>
      </c>
      <c r="C29" s="3" t="str">
        <f>'FSL Source'!B29</f>
        <v>IAM-RBAC-004</v>
      </c>
      <c r="D29" s="3" t="str">
        <f>'FSL Source'!C29</f>
        <v>Truy cập, Tổ chức &amp; Phân quyền</v>
      </c>
      <c r="E29" s="3" t="str">
        <f>'FSL Source'!D29</f>
        <v>Vai trò &amp; phân quyền</v>
      </c>
      <c r="F29" s="4" t="str">
        <f>'FSL Source'!E29</f>
        <v>Vai trò nghiệp vụ</v>
      </c>
      <c r="G29" s="4" t="str">
        <f>'FSL Source'!F29</f>
        <v>Chỉnh sửa Vai trò nghiệp vụ</v>
      </c>
      <c r="H29" s="4" t="str">
        <f>'FSL Source'!G29</f>
        <v>Cập nhật Vai trò nghiệp vụ khi trạng thái và quyền người dùng cho phép; kiểm soát xung đột cập nhật.</v>
      </c>
      <c r="I29" s="3" t="str">
        <f>'FSL Source'!H29</f>
        <v>Quản trị hệ thống</v>
      </c>
      <c r="J29" s="3" t="str">
        <f>'FSL Source'!I29</f>
        <v>Nghiệp vụ</v>
      </c>
      <c r="K29" s="3">
        <f>'FSL Source'!J29</f>
        <v>0</v>
      </c>
      <c r="L29" s="3" t="str">
        <f>'FSL Source'!K29</f>
        <v>CAP-20</v>
      </c>
      <c r="M29" s="3" t="str">
        <f>'FSL Source'!L29</f>
        <v>Must</v>
      </c>
      <c r="N29" s="3" t="str">
        <f>'FSL Source'!M29</f>
        <v>Pha 1</v>
      </c>
      <c r="O29" s="3" t="str">
        <f>'FSL Source'!N29</f>
        <v>Đề xuất trong phạm vi</v>
      </c>
      <c r="P29" s="4" t="str">
        <f>'FSL Source'!O29</f>
        <v>Bổ sung theo EPIC03</v>
      </c>
      <c r="Q29" s="4" t="str">
        <f>'FSL Source'!P29</f>
        <v>Chỉ trường được phép sửa có hiệu lực và thay đổi được ghi lịch sử.</v>
      </c>
      <c r="R29" s="4">
        <f>'FSL Source'!Q29</f>
        <v>0</v>
      </c>
      <c r="S29" s="3"/>
      <c r="T29" s="3"/>
      <c r="U29" s="8"/>
      <c r="V29" s="8"/>
      <c r="W29" s="9"/>
      <c r="X29" s="9" t="str">
        <f t="shared" si="0"/>
        <v/>
      </c>
      <c r="Y29" s="3" t="s">
        <v>1860</v>
      </c>
      <c r="Z29" s="10">
        <v>0</v>
      </c>
      <c r="AA29" s="4"/>
    </row>
    <row r="30" spans="1:27" ht="25.5">
      <c r="A30" s="3" t="str">
        <f>B30&amp;"."&amp;TEXT(COUNTIF($B$5:B30,B30),"000")</f>
        <v>1.01.04.005</v>
      </c>
      <c r="B30" s="3" t="str">
        <f>IFERROR(INDEX('Work Packages'!$A$5:$A$200,MATCH(D30&amp;"|"&amp;E30,'Work Packages'!$P$5:$P$200,0)),"")</f>
        <v>1.01.04</v>
      </c>
      <c r="C30" s="3" t="str">
        <f>'FSL Source'!B30</f>
        <v>IAM-RBAC-005</v>
      </c>
      <c r="D30" s="3" t="str">
        <f>'FSL Source'!C30</f>
        <v>Truy cập, Tổ chức &amp; Phân quyền</v>
      </c>
      <c r="E30" s="3" t="str">
        <f>'FSL Source'!D30</f>
        <v>Vai trò &amp; phân quyền</v>
      </c>
      <c r="F30" s="4" t="str">
        <f>'FSL Source'!E30</f>
        <v>Vai trò nghiệp vụ</v>
      </c>
      <c r="G30" s="4" t="str">
        <f>'FSL Source'!F30</f>
        <v>Xóa/Ngừng sử dụng Vai trò nghiệp vụ</v>
      </c>
      <c r="H30" s="4" t="str">
        <f>'FSL Source'!G30</f>
        <v>Xóa logic hoặc ngừng sử dụng Vai trò nghiệp vụ sau khi kiểm tra ràng buộc tham chiếu.</v>
      </c>
      <c r="I30" s="3" t="str">
        <f>'FSL Source'!H30</f>
        <v>Quản trị/Cán bộ nghiệp vụ</v>
      </c>
      <c r="J30" s="3" t="str">
        <f>'FSL Source'!I30</f>
        <v>Nghiệp vụ</v>
      </c>
      <c r="K30" s="3">
        <f>'FSL Source'!J30</f>
        <v>0</v>
      </c>
      <c r="L30" s="3" t="str">
        <f>'FSL Source'!K30</f>
        <v>CAP-20</v>
      </c>
      <c r="M30" s="3" t="str">
        <f>'FSL Source'!L30</f>
        <v>Should</v>
      </c>
      <c r="N30" s="3" t="str">
        <f>'FSL Source'!M30</f>
        <v>Pha 1</v>
      </c>
      <c r="O30" s="3" t="str">
        <f>'FSL Source'!N30</f>
        <v>Đề xuất trong phạm vi</v>
      </c>
      <c r="P30" s="4" t="str">
        <f>'FSL Source'!O30</f>
        <v>Bổ sung theo EPIC03</v>
      </c>
      <c r="Q30" s="4" t="str">
        <f>'FSL Source'!P30</f>
        <v>Không xóa vật lý dữ liệu đã phát sinh giao dịch; cảnh báo rõ quan hệ phụ thuộc.</v>
      </c>
      <c r="R30" s="4">
        <f>'FSL Source'!Q30</f>
        <v>0</v>
      </c>
      <c r="S30" s="3"/>
      <c r="T30" s="3"/>
      <c r="U30" s="8"/>
      <c r="V30" s="8"/>
      <c r="W30" s="9"/>
      <c r="X30" s="9" t="str">
        <f t="shared" si="0"/>
        <v/>
      </c>
      <c r="Y30" s="3" t="s">
        <v>1860</v>
      </c>
      <c r="Z30" s="10">
        <v>0</v>
      </c>
      <c r="AA30" s="4"/>
    </row>
    <row r="31" spans="1:27" ht="25.5">
      <c r="A31" s="3" t="str">
        <f>B31&amp;"."&amp;TEXT(COUNTIF($B$5:B31,B31),"000")</f>
        <v>1.01.04.006</v>
      </c>
      <c r="B31" s="3" t="str">
        <f>IFERROR(INDEX('Work Packages'!$A$5:$A$200,MATCH(D31&amp;"|"&amp;E31,'Work Packages'!$P$5:$P$200,0)),"")</f>
        <v>1.01.04</v>
      </c>
      <c r="C31" s="3" t="str">
        <f>'FSL Source'!B31</f>
        <v>IAM-RBAC-006</v>
      </c>
      <c r="D31" s="3" t="str">
        <f>'FSL Source'!C31</f>
        <v>Truy cập, Tổ chức &amp; Phân quyền</v>
      </c>
      <c r="E31" s="3" t="str">
        <f>'FSL Source'!D31</f>
        <v>Vai trò &amp; phân quyền</v>
      </c>
      <c r="F31" s="4" t="str">
        <f>'FSL Source'!E31</f>
        <v>Vai trò nghiệp vụ</v>
      </c>
      <c r="G31" s="4" t="str">
        <f>'FSL Source'!F31</f>
        <v>Xem lịch sử Vai trò nghiệp vụ</v>
      </c>
      <c r="H31" s="4" t="str">
        <f>'FSL Source'!G31</f>
        <v>Theo dõi phiên bản, thay đổi dữ liệu, người thực hiện và lịch sử xử lý của Vai trò nghiệp vụ.</v>
      </c>
      <c r="I31" s="3" t="str">
        <f>'FSL Source'!H31</f>
        <v>Cán bộ nghiệp vụ/Quản trị</v>
      </c>
      <c r="J31" s="3" t="str">
        <f>'FSL Source'!I31</f>
        <v>Audit</v>
      </c>
      <c r="K31" s="3">
        <f>'FSL Source'!J31</f>
        <v>0</v>
      </c>
      <c r="L31" s="3" t="str">
        <f>'FSL Source'!K31</f>
        <v>CAP-20</v>
      </c>
      <c r="M31" s="3" t="str">
        <f>'FSL Source'!L31</f>
        <v>Must</v>
      </c>
      <c r="N31" s="3" t="str">
        <f>'FSL Source'!M31</f>
        <v>Pha 1</v>
      </c>
      <c r="O31" s="3" t="str">
        <f>'FSL Source'!N31</f>
        <v>Đề xuất trong phạm vi</v>
      </c>
      <c r="P31" s="4" t="str">
        <f>'FSL Source'!O31</f>
        <v>Bổ sung theo EPIC03</v>
      </c>
      <c r="Q31" s="4" t="str">
        <f>'FSL Source'!P31</f>
        <v>Lịch sử không thể sửa và truy vết được trước/sau của thay đổi quan trọng.</v>
      </c>
      <c r="R31" s="4">
        <f>'FSL Source'!Q31</f>
        <v>0</v>
      </c>
      <c r="S31" s="3"/>
      <c r="T31" s="3"/>
      <c r="U31" s="8"/>
      <c r="V31" s="8"/>
      <c r="W31" s="9"/>
      <c r="X31" s="9" t="str">
        <f t="shared" si="0"/>
        <v/>
      </c>
      <c r="Y31" s="3" t="s">
        <v>1860</v>
      </c>
      <c r="Z31" s="10">
        <v>0</v>
      </c>
      <c r="AA31" s="4"/>
    </row>
    <row r="32" spans="1:27" ht="25.5">
      <c r="A32" s="3" t="str">
        <f>B32&amp;"."&amp;TEXT(COUNTIF($B$5:B32,B32),"000")</f>
        <v>1.01.04.007</v>
      </c>
      <c r="B32" s="3" t="str">
        <f>IFERROR(INDEX('Work Packages'!$A$5:$A$200,MATCH(D32&amp;"|"&amp;E32,'Work Packages'!$P$5:$P$200,0)),"")</f>
        <v>1.01.04</v>
      </c>
      <c r="C32" s="3" t="str">
        <f>'FSL Source'!B32</f>
        <v>IAM-RBAC-007</v>
      </c>
      <c r="D32" s="3" t="str">
        <f>'FSL Source'!C32</f>
        <v>Truy cập, Tổ chức &amp; Phân quyền</v>
      </c>
      <c r="E32" s="3" t="str">
        <f>'FSL Source'!D32</f>
        <v>Vai trò &amp; phân quyền</v>
      </c>
      <c r="F32" s="4" t="str">
        <f>'FSL Source'!E32</f>
        <v>Ma trận quyền</v>
      </c>
      <c r="G32" s="4" t="str">
        <f>'FSL Source'!F32</f>
        <v>Cấu hình ma trận Role × Chức năng × Quyền</v>
      </c>
      <c r="H32" s="4" t="str">
        <f>'FSL Source'!G32</f>
        <v>Quản lý quyền xem, tạo, sửa, xóa, trình, duyệt, xuất và quản trị theo vai trò.</v>
      </c>
      <c r="I32" s="3" t="str">
        <f>'FSL Source'!H32</f>
        <v>Quản trị hệ thống</v>
      </c>
      <c r="J32" s="3" t="str">
        <f>'FSL Source'!I32</f>
        <v>Phân quyền</v>
      </c>
      <c r="K32" s="3">
        <f>'FSL Source'!J32</f>
        <v>0</v>
      </c>
      <c r="L32" s="3" t="str">
        <f>'FSL Source'!K32</f>
        <v>CAP-20</v>
      </c>
      <c r="M32" s="3" t="str">
        <f>'FSL Source'!L32</f>
        <v>Must</v>
      </c>
      <c r="N32" s="3" t="str">
        <f>'FSL Source'!M32</f>
        <v>Pha 1</v>
      </c>
      <c r="O32" s="3" t="str">
        <f>'FSL Source'!N32</f>
        <v>Đề xuất trong phạm vi</v>
      </c>
      <c r="P32" s="4" t="str">
        <f>'FSL Source'!O32</f>
        <v>Bổ sung</v>
      </c>
      <c r="Q32" s="4">
        <f>'FSL Source'!P32</f>
        <v>0</v>
      </c>
      <c r="R32" s="4">
        <f>'FSL Source'!Q32</f>
        <v>0</v>
      </c>
      <c r="S32" s="3"/>
      <c r="T32" s="3"/>
      <c r="U32" s="8"/>
      <c r="V32" s="8"/>
      <c r="W32" s="9"/>
      <c r="X32" s="9" t="str">
        <f t="shared" si="0"/>
        <v/>
      </c>
      <c r="Y32" s="3" t="s">
        <v>1860</v>
      </c>
      <c r="Z32" s="10">
        <v>0</v>
      </c>
      <c r="AA32" s="4"/>
    </row>
    <row r="33" spans="1:27" ht="25.5">
      <c r="A33" s="3" t="str">
        <f>B33&amp;"."&amp;TEXT(COUNTIF($B$5:B33,B33),"000")</f>
        <v>1.01.04.008</v>
      </c>
      <c r="B33" s="3" t="str">
        <f>IFERROR(INDEX('Work Packages'!$A$5:$A$200,MATCH(D33&amp;"|"&amp;E33,'Work Packages'!$P$5:$P$200,0)),"")</f>
        <v>1.01.04</v>
      </c>
      <c r="C33" s="3" t="str">
        <f>'FSL Source'!B33</f>
        <v>IAM-RBAC-008</v>
      </c>
      <c r="D33" s="3" t="str">
        <f>'FSL Source'!C33</f>
        <v>Truy cập, Tổ chức &amp; Phân quyền</v>
      </c>
      <c r="E33" s="3" t="str">
        <f>'FSL Source'!D33</f>
        <v>Vai trò &amp; phân quyền</v>
      </c>
      <c r="F33" s="4" t="str">
        <f>'FSL Source'!E33</f>
        <v>Phạm vi dữ liệu</v>
      </c>
      <c r="G33" s="4" t="str">
        <f>'FSL Source'!F33</f>
        <v>Cấu hình loại phạm vi dữ liệu</v>
      </c>
      <c r="H33" s="4" t="str">
        <f>'FSL Source'!G33</f>
        <v>Hỗ trợ bản thân, đơn vị, cây đơn vị, nhiệm vụ được giao và toàn hệ thống.</v>
      </c>
      <c r="I33" s="3" t="str">
        <f>'FSL Source'!H33</f>
        <v>Quản trị hệ thống</v>
      </c>
      <c r="J33" s="3" t="str">
        <f>'FSL Source'!I33</f>
        <v>Phân quyền</v>
      </c>
      <c r="K33" s="3">
        <f>'FSL Source'!J33</f>
        <v>0</v>
      </c>
      <c r="L33" s="3" t="str">
        <f>'FSL Source'!K33</f>
        <v>CAP-20</v>
      </c>
      <c r="M33" s="3" t="str">
        <f>'FSL Source'!L33</f>
        <v>Must</v>
      </c>
      <c r="N33" s="3" t="str">
        <f>'FSL Source'!M33</f>
        <v>Pha 1</v>
      </c>
      <c r="O33" s="3" t="str">
        <f>'FSL Source'!N33</f>
        <v>Đề xuất trong phạm vi</v>
      </c>
      <c r="P33" s="4" t="str">
        <f>'FSL Source'!O33</f>
        <v>Bổ sung</v>
      </c>
      <c r="Q33" s="4">
        <f>'FSL Source'!P33</f>
        <v>0</v>
      </c>
      <c r="R33" s="4">
        <f>'FSL Source'!Q33</f>
        <v>0</v>
      </c>
      <c r="S33" s="3"/>
      <c r="T33" s="3"/>
      <c r="U33" s="8"/>
      <c r="V33" s="8"/>
      <c r="W33" s="9"/>
      <c r="X33" s="9" t="str">
        <f t="shared" si="0"/>
        <v/>
      </c>
      <c r="Y33" s="3" t="s">
        <v>1860</v>
      </c>
      <c r="Z33" s="10">
        <v>0</v>
      </c>
      <c r="AA33" s="4"/>
    </row>
    <row r="34" spans="1:27" ht="25.5">
      <c r="A34" s="3" t="str">
        <f>B34&amp;"."&amp;TEXT(COUNTIF($B$5:B34,B34),"000")</f>
        <v>1.01.04.009</v>
      </c>
      <c r="B34" s="3" t="str">
        <f>IFERROR(INDEX('Work Packages'!$A$5:$A$200,MATCH(D34&amp;"|"&amp;E34,'Work Packages'!$P$5:$P$200,0)),"")</f>
        <v>1.01.04</v>
      </c>
      <c r="C34" s="3" t="str">
        <f>'FSL Source'!B34</f>
        <v>IAM-RBAC-009</v>
      </c>
      <c r="D34" s="3" t="str">
        <f>'FSL Source'!C34</f>
        <v>Truy cập, Tổ chức &amp; Phân quyền</v>
      </c>
      <c r="E34" s="3" t="str">
        <f>'FSL Source'!D34</f>
        <v>Vai trò &amp; phân quyền</v>
      </c>
      <c r="F34" s="4" t="str">
        <f>'FSL Source'!E34</f>
        <v>Mô phỏng</v>
      </c>
      <c r="G34" s="4" t="str">
        <f>'FSL Source'!F34</f>
        <v>Mô phỏng quyền hiệu lực</v>
      </c>
      <c r="H34" s="4" t="str">
        <f>'FSL Source'!G34</f>
        <v>Giải thích quyền thao tác từ role policy và phạm vi dữ liệu từ user assignment.</v>
      </c>
      <c r="I34" s="3" t="str">
        <f>'FSL Source'!H34</f>
        <v>Quản trị hệ thống/Audit</v>
      </c>
      <c r="J34" s="3" t="str">
        <f>'FSL Source'!I34</f>
        <v>Phân quyền</v>
      </c>
      <c r="K34" s="3">
        <f>'FSL Source'!J34</f>
        <v>0</v>
      </c>
      <c r="L34" s="3" t="str">
        <f>'FSL Source'!K34</f>
        <v>CAP-20</v>
      </c>
      <c r="M34" s="3" t="str">
        <f>'FSL Source'!L34</f>
        <v>Should</v>
      </c>
      <c r="N34" s="3" t="str">
        <f>'FSL Source'!M34</f>
        <v>Pha 2</v>
      </c>
      <c r="O34" s="3" t="str">
        <f>'FSL Source'!N34</f>
        <v>Đề xuất trong phạm vi</v>
      </c>
      <c r="P34" s="4" t="str">
        <f>'FSL Source'!O34</f>
        <v>Bổ sung</v>
      </c>
      <c r="Q34" s="4">
        <f>'FSL Source'!P34</f>
        <v>0</v>
      </c>
      <c r="R34" s="4">
        <f>'FSL Source'!Q34</f>
        <v>0</v>
      </c>
      <c r="S34" s="3"/>
      <c r="T34" s="3"/>
      <c r="U34" s="8"/>
      <c r="V34" s="8"/>
      <c r="W34" s="9"/>
      <c r="X34" s="9" t="str">
        <f t="shared" si="0"/>
        <v/>
      </c>
      <c r="Y34" s="3" t="s">
        <v>1860</v>
      </c>
      <c r="Z34" s="10">
        <v>0</v>
      </c>
      <c r="AA34" s="4"/>
    </row>
    <row r="35" spans="1:27" ht="25.5">
      <c r="A35" s="3" t="str">
        <f>B35&amp;"."&amp;TEXT(COUNTIF($B$5:B35,B35),"000")</f>
        <v>1.02.01.001</v>
      </c>
      <c r="B35" s="3" t="str">
        <f>IFERROR(INDEX('Work Packages'!$A$5:$A$200,MATCH(D35&amp;"|"&amp;E35,'Work Packages'!$P$5:$P$200,0)),"")</f>
        <v>1.02.01</v>
      </c>
      <c r="C35" s="3" t="str">
        <f>'FSL Source'!B35</f>
        <v>MIS-MISSION-001</v>
      </c>
      <c r="D35" s="3" t="str">
        <f>'FSL Source'!C35</f>
        <v>Quản lý Nhiệm vụ KHCN</v>
      </c>
      <c r="E35" s="3" t="str">
        <f>'FSL Source'!D35</f>
        <v>Hồ sơ nhiệm vụ</v>
      </c>
      <c r="F35" s="4" t="str">
        <f>'FSL Source'!E35</f>
        <v>Nhiệm vụ KHCN</v>
      </c>
      <c r="G35" s="4" t="str">
        <f>'FSL Source'!F35</f>
        <v>Xem danh sách Nhiệm vụ KHCN</v>
      </c>
      <c r="H35" s="4" t="str">
        <f>'FSL Source'!G35</f>
        <v>Tra cứu danh sách, phân trang, sắp xếp và lọc Nhiệm vụ KHCN theo các tiêu chí nghiệp vụ.</v>
      </c>
      <c r="I35" s="3" t="str">
        <f>'FSL Source'!H35</f>
        <v>Cán bộ KHCN/Chủ nhiệm</v>
      </c>
      <c r="J35" s="3" t="str">
        <f>'FSL Source'!I35</f>
        <v>Nghiệp vụ</v>
      </c>
      <c r="K35" s="3">
        <f>'FSL Source'!J35</f>
        <v>0</v>
      </c>
      <c r="L35" s="3" t="str">
        <f>'FSL Source'!K35</f>
        <v>CAP-02; CAP-04</v>
      </c>
      <c r="M35" s="3" t="str">
        <f>'FSL Source'!L35</f>
        <v>Must</v>
      </c>
      <c r="N35" s="3" t="str">
        <f>'FSL Source'!M35</f>
        <v>Pha 1</v>
      </c>
      <c r="O35" s="3" t="str">
        <f>'FSL Source'!N35</f>
        <v>Đề xuất trong phạm vi</v>
      </c>
      <c r="P35" s="4" t="str">
        <f>'FSL Source'!O35</f>
        <v>Hiệu chỉnh từ VHT_WBS</v>
      </c>
      <c r="Q35" s="4" t="str">
        <f>'FSL Source'!P35</f>
        <v>Danh sách hiển thị đúng phạm vi dữ liệu và hỗ trợ lọc/xuất theo quyền.</v>
      </c>
      <c r="R35" s="4">
        <f>'FSL Source'!Q35</f>
        <v>0</v>
      </c>
      <c r="S35" s="3"/>
      <c r="T35" s="3"/>
      <c r="U35" s="8"/>
      <c r="V35" s="8"/>
      <c r="W35" s="9"/>
      <c r="X35" s="9" t="str">
        <f t="shared" si="0"/>
        <v/>
      </c>
      <c r="Y35" s="3" t="s">
        <v>1860</v>
      </c>
      <c r="Z35" s="10">
        <v>0</v>
      </c>
      <c r="AA35" s="4"/>
    </row>
    <row r="36" spans="1:27" ht="25.5">
      <c r="A36" s="3" t="str">
        <f>B36&amp;"."&amp;TEXT(COUNTIF($B$5:B36,B36),"000")</f>
        <v>1.02.01.002</v>
      </c>
      <c r="B36" s="3" t="str">
        <f>IFERROR(INDEX('Work Packages'!$A$5:$A$200,MATCH(D36&amp;"|"&amp;E36,'Work Packages'!$P$5:$P$200,0)),"")</f>
        <v>1.02.01</v>
      </c>
      <c r="C36" s="3" t="str">
        <f>'FSL Source'!B36</f>
        <v>MIS-MISSION-002</v>
      </c>
      <c r="D36" s="3" t="str">
        <f>'FSL Source'!C36</f>
        <v>Quản lý Nhiệm vụ KHCN</v>
      </c>
      <c r="E36" s="3" t="str">
        <f>'FSL Source'!D36</f>
        <v>Hồ sơ nhiệm vụ</v>
      </c>
      <c r="F36" s="4" t="str">
        <f>'FSL Source'!E36</f>
        <v>Nhiệm vụ KHCN</v>
      </c>
      <c r="G36" s="4" t="str">
        <f>'FSL Source'!F36</f>
        <v>Tạo mới Nhiệm vụ KHCN</v>
      </c>
      <c r="H36" s="4" t="str">
        <f>'FSL Source'!G36</f>
        <v>Khởi tạo Nhiệm vụ KHCN, kiểm tra dữ liệu bắt buộc và lưu nháp trước khi hoàn tất.</v>
      </c>
      <c r="I36" s="3" t="str">
        <f>'FSL Source'!H36</f>
        <v>Cán bộ KHCN/Chủ nhiệm</v>
      </c>
      <c r="J36" s="3" t="str">
        <f>'FSL Source'!I36</f>
        <v>Nghiệp vụ</v>
      </c>
      <c r="K36" s="3">
        <f>'FSL Source'!J36</f>
        <v>0</v>
      </c>
      <c r="L36" s="3" t="str">
        <f>'FSL Source'!K36</f>
        <v>CAP-02; CAP-04</v>
      </c>
      <c r="M36" s="3" t="str">
        <f>'FSL Source'!L36</f>
        <v>Must</v>
      </c>
      <c r="N36" s="3" t="str">
        <f>'FSL Source'!M36</f>
        <v>Pha 1</v>
      </c>
      <c r="O36" s="3" t="str">
        <f>'FSL Source'!N36</f>
        <v>Đề xuất trong phạm vi</v>
      </c>
      <c r="P36" s="4" t="str">
        <f>'FSL Source'!O36</f>
        <v>Hiệu chỉnh từ VHT_WBS</v>
      </c>
      <c r="Q36" s="4" t="str">
        <f>'FSL Source'!P36</f>
        <v>Dữ liệu hợp lệ được lưu; lỗi validation hiển thị tại trường tương ứng.</v>
      </c>
      <c r="R36" s="4">
        <f>'FSL Source'!Q36</f>
        <v>0</v>
      </c>
      <c r="S36" s="3"/>
      <c r="T36" s="3"/>
      <c r="U36" s="8"/>
      <c r="V36" s="8"/>
      <c r="W36" s="9"/>
      <c r="X36" s="9" t="str">
        <f t="shared" si="0"/>
        <v/>
      </c>
      <c r="Y36" s="3" t="s">
        <v>1860</v>
      </c>
      <c r="Z36" s="10">
        <v>0</v>
      </c>
      <c r="AA36" s="4"/>
    </row>
    <row r="37" spans="1:27" ht="25.5">
      <c r="A37" s="3" t="str">
        <f>B37&amp;"."&amp;TEXT(COUNTIF($B$5:B37,B37),"000")</f>
        <v>1.02.01.003</v>
      </c>
      <c r="B37" s="3" t="str">
        <f>IFERROR(INDEX('Work Packages'!$A$5:$A$200,MATCH(D37&amp;"|"&amp;E37,'Work Packages'!$P$5:$P$200,0)),"")</f>
        <v>1.02.01</v>
      </c>
      <c r="C37" s="3" t="str">
        <f>'FSL Source'!B37</f>
        <v>MIS-MISSION-003</v>
      </c>
      <c r="D37" s="3" t="str">
        <f>'FSL Source'!C37</f>
        <v>Quản lý Nhiệm vụ KHCN</v>
      </c>
      <c r="E37" s="3" t="str">
        <f>'FSL Source'!D37</f>
        <v>Hồ sơ nhiệm vụ</v>
      </c>
      <c r="F37" s="4" t="str">
        <f>'FSL Source'!E37</f>
        <v>Nhiệm vụ KHCN</v>
      </c>
      <c r="G37" s="4" t="str">
        <f>'FSL Source'!F37</f>
        <v>Xem chi tiết Nhiệm vụ KHCN</v>
      </c>
      <c r="H37" s="4" t="str">
        <f>'FSL Source'!G37</f>
        <v>Hiển thị thông tin tổng quan, dữ liệu chi tiết, tài liệu liên quan và trạng thái của Nhiệm vụ KHCN.</v>
      </c>
      <c r="I37" s="3" t="str">
        <f>'FSL Source'!H37</f>
        <v>Cán bộ KHCN/Chủ nhiệm</v>
      </c>
      <c r="J37" s="3" t="str">
        <f>'FSL Source'!I37</f>
        <v>Nghiệp vụ</v>
      </c>
      <c r="K37" s="3">
        <f>'FSL Source'!J37</f>
        <v>0</v>
      </c>
      <c r="L37" s="3" t="str">
        <f>'FSL Source'!K37</f>
        <v>CAP-02; CAP-04</v>
      </c>
      <c r="M37" s="3" t="str">
        <f>'FSL Source'!L37</f>
        <v>Must</v>
      </c>
      <c r="N37" s="3" t="str">
        <f>'FSL Source'!M37</f>
        <v>Pha 1</v>
      </c>
      <c r="O37" s="3" t="str">
        <f>'FSL Source'!N37</f>
        <v>Đề xuất trong phạm vi</v>
      </c>
      <c r="P37" s="4" t="str">
        <f>'FSL Source'!O37</f>
        <v>Hiệu chỉnh từ VHT_WBS</v>
      </c>
      <c r="Q37" s="4" t="str">
        <f>'FSL Source'!P37</f>
        <v>Thông tin hiển thị đúng phiên bản và quyền truy cập.</v>
      </c>
      <c r="R37" s="4">
        <f>'FSL Source'!Q37</f>
        <v>0</v>
      </c>
      <c r="S37" s="3"/>
      <c r="T37" s="3"/>
      <c r="U37" s="8"/>
      <c r="V37" s="8"/>
      <c r="W37" s="9"/>
      <c r="X37" s="9" t="str">
        <f t="shared" si="0"/>
        <v/>
      </c>
      <c r="Y37" s="3" t="s">
        <v>1860</v>
      </c>
      <c r="Z37" s="10">
        <v>0</v>
      </c>
      <c r="AA37" s="4"/>
    </row>
    <row r="38" spans="1:27" ht="25.5">
      <c r="A38" s="3" t="str">
        <f>B38&amp;"."&amp;TEXT(COUNTIF($B$5:B38,B38),"000")</f>
        <v>1.02.01.004</v>
      </c>
      <c r="B38" s="3" t="str">
        <f>IFERROR(INDEX('Work Packages'!$A$5:$A$200,MATCH(D38&amp;"|"&amp;E38,'Work Packages'!$P$5:$P$200,0)),"")</f>
        <v>1.02.01</v>
      </c>
      <c r="C38" s="3" t="str">
        <f>'FSL Source'!B38</f>
        <v>MIS-MISSION-004</v>
      </c>
      <c r="D38" s="3" t="str">
        <f>'FSL Source'!C38</f>
        <v>Quản lý Nhiệm vụ KHCN</v>
      </c>
      <c r="E38" s="3" t="str">
        <f>'FSL Source'!D38</f>
        <v>Hồ sơ nhiệm vụ</v>
      </c>
      <c r="F38" s="4" t="str">
        <f>'FSL Source'!E38</f>
        <v>Nhiệm vụ KHCN</v>
      </c>
      <c r="G38" s="4" t="str">
        <f>'FSL Source'!F38</f>
        <v>Chỉnh sửa Nhiệm vụ KHCN</v>
      </c>
      <c r="H38" s="4" t="str">
        <f>'FSL Source'!G38</f>
        <v>Cập nhật Nhiệm vụ KHCN khi trạng thái và quyền người dùng cho phép; kiểm soát xung đột cập nhật.</v>
      </c>
      <c r="I38" s="3" t="str">
        <f>'FSL Source'!H38</f>
        <v>Cán bộ KHCN/Chủ nhiệm</v>
      </c>
      <c r="J38" s="3" t="str">
        <f>'FSL Source'!I38</f>
        <v>Nghiệp vụ</v>
      </c>
      <c r="K38" s="3">
        <f>'FSL Source'!J38</f>
        <v>0</v>
      </c>
      <c r="L38" s="3" t="str">
        <f>'FSL Source'!K38</f>
        <v>CAP-02; CAP-04</v>
      </c>
      <c r="M38" s="3" t="str">
        <f>'FSL Source'!L38</f>
        <v>Must</v>
      </c>
      <c r="N38" s="3" t="str">
        <f>'FSL Source'!M38</f>
        <v>Pha 1</v>
      </c>
      <c r="O38" s="3" t="str">
        <f>'FSL Source'!N38</f>
        <v>Đề xuất trong phạm vi</v>
      </c>
      <c r="P38" s="4" t="str">
        <f>'FSL Source'!O38</f>
        <v>Hiệu chỉnh từ VHT_WBS</v>
      </c>
      <c r="Q38" s="4" t="str">
        <f>'FSL Source'!P38</f>
        <v>Chỉ trường được phép sửa có hiệu lực và thay đổi được ghi lịch sử.</v>
      </c>
      <c r="R38" s="4">
        <f>'FSL Source'!Q38</f>
        <v>0</v>
      </c>
      <c r="S38" s="3"/>
      <c r="T38" s="3"/>
      <c r="U38" s="8"/>
      <c r="V38" s="8"/>
      <c r="W38" s="9"/>
      <c r="X38" s="9" t="str">
        <f t="shared" si="0"/>
        <v/>
      </c>
      <c r="Y38" s="3" t="s">
        <v>1860</v>
      </c>
      <c r="Z38" s="10">
        <v>0</v>
      </c>
      <c r="AA38" s="4"/>
    </row>
    <row r="39" spans="1:27" ht="25.5">
      <c r="A39" s="3" t="str">
        <f>B39&amp;"."&amp;TEXT(COUNTIF($B$5:B39,B39),"000")</f>
        <v>1.02.01.005</v>
      </c>
      <c r="B39" s="3" t="str">
        <f>IFERROR(INDEX('Work Packages'!$A$5:$A$200,MATCH(D39&amp;"|"&amp;E39,'Work Packages'!$P$5:$P$200,0)),"")</f>
        <v>1.02.01</v>
      </c>
      <c r="C39" s="3" t="str">
        <f>'FSL Source'!B39</f>
        <v>MIS-MISSION-005</v>
      </c>
      <c r="D39" s="3" t="str">
        <f>'FSL Source'!C39</f>
        <v>Quản lý Nhiệm vụ KHCN</v>
      </c>
      <c r="E39" s="3" t="str">
        <f>'FSL Source'!D39</f>
        <v>Hồ sơ nhiệm vụ</v>
      </c>
      <c r="F39" s="4" t="str">
        <f>'FSL Source'!E39</f>
        <v>Nhiệm vụ KHCN</v>
      </c>
      <c r="G39" s="4" t="str">
        <f>'FSL Source'!F39</f>
        <v>Xóa/Ngừng sử dụng Nhiệm vụ KHCN</v>
      </c>
      <c r="H39" s="4" t="str">
        <f>'FSL Source'!G39</f>
        <v>Xóa logic hoặc ngừng sử dụng Nhiệm vụ KHCN sau khi kiểm tra ràng buộc tham chiếu.</v>
      </c>
      <c r="I39" s="3" t="str">
        <f>'FSL Source'!H39</f>
        <v>Quản trị/Cán bộ nghiệp vụ</v>
      </c>
      <c r="J39" s="3" t="str">
        <f>'FSL Source'!I39</f>
        <v>Nghiệp vụ</v>
      </c>
      <c r="K39" s="3">
        <f>'FSL Source'!J39</f>
        <v>0</v>
      </c>
      <c r="L39" s="3" t="str">
        <f>'FSL Source'!K39</f>
        <v>CAP-02; CAP-04</v>
      </c>
      <c r="M39" s="3" t="str">
        <f>'FSL Source'!L39</f>
        <v>Should</v>
      </c>
      <c r="N39" s="3" t="str">
        <f>'FSL Source'!M39</f>
        <v>Pha 1</v>
      </c>
      <c r="O39" s="3" t="str">
        <f>'FSL Source'!N39</f>
        <v>Đề xuất trong phạm vi</v>
      </c>
      <c r="P39" s="4" t="str">
        <f>'FSL Source'!O39</f>
        <v>Hiệu chỉnh từ VHT_WBS</v>
      </c>
      <c r="Q39" s="4" t="str">
        <f>'FSL Source'!P39</f>
        <v>Không xóa vật lý dữ liệu đã phát sinh giao dịch; cảnh báo rõ quan hệ phụ thuộc.</v>
      </c>
      <c r="R39" s="4">
        <f>'FSL Source'!Q39</f>
        <v>0</v>
      </c>
      <c r="S39" s="3"/>
      <c r="T39" s="3"/>
      <c r="U39" s="8"/>
      <c r="V39" s="8"/>
      <c r="W39" s="9"/>
      <c r="X39" s="9" t="str">
        <f t="shared" si="0"/>
        <v/>
      </c>
      <c r="Y39" s="3" t="s">
        <v>1860</v>
      </c>
      <c r="Z39" s="10">
        <v>0</v>
      </c>
      <c r="AA39" s="4"/>
    </row>
    <row r="40" spans="1:27" ht="25.5">
      <c r="A40" s="3" t="str">
        <f>B40&amp;"."&amp;TEXT(COUNTIF($B$5:B40,B40),"000")</f>
        <v>1.02.01.006</v>
      </c>
      <c r="B40" s="3" t="str">
        <f>IFERROR(INDEX('Work Packages'!$A$5:$A$200,MATCH(D40&amp;"|"&amp;E40,'Work Packages'!$P$5:$P$200,0)),"")</f>
        <v>1.02.01</v>
      </c>
      <c r="C40" s="3" t="str">
        <f>'FSL Source'!B40</f>
        <v>MIS-MISSION-006</v>
      </c>
      <c r="D40" s="3" t="str">
        <f>'FSL Source'!C40</f>
        <v>Quản lý Nhiệm vụ KHCN</v>
      </c>
      <c r="E40" s="3" t="str">
        <f>'FSL Source'!D40</f>
        <v>Hồ sơ nhiệm vụ</v>
      </c>
      <c r="F40" s="4" t="str">
        <f>'FSL Source'!E40</f>
        <v>Nhiệm vụ KHCN</v>
      </c>
      <c r="G40" s="4" t="str">
        <f>'FSL Source'!F40</f>
        <v>Xem lịch sử Nhiệm vụ KHCN</v>
      </c>
      <c r="H40" s="4" t="str">
        <f>'FSL Source'!G40</f>
        <v>Theo dõi phiên bản, thay đổi dữ liệu, người thực hiện và lịch sử xử lý của Nhiệm vụ KHCN.</v>
      </c>
      <c r="I40" s="3" t="str">
        <f>'FSL Source'!H40</f>
        <v>Cán bộ nghiệp vụ/Quản trị</v>
      </c>
      <c r="J40" s="3" t="str">
        <f>'FSL Source'!I40</f>
        <v>Audit</v>
      </c>
      <c r="K40" s="3">
        <f>'FSL Source'!J40</f>
        <v>0</v>
      </c>
      <c r="L40" s="3" t="str">
        <f>'FSL Source'!K40</f>
        <v>CAP-02; CAP-04</v>
      </c>
      <c r="M40" s="3" t="str">
        <f>'FSL Source'!L40</f>
        <v>Must</v>
      </c>
      <c r="N40" s="3" t="str">
        <f>'FSL Source'!M40</f>
        <v>Pha 1</v>
      </c>
      <c r="O40" s="3" t="str">
        <f>'FSL Source'!N40</f>
        <v>Đề xuất trong phạm vi</v>
      </c>
      <c r="P40" s="4" t="str">
        <f>'FSL Source'!O40</f>
        <v>Hiệu chỉnh từ VHT_WBS</v>
      </c>
      <c r="Q40" s="4" t="str">
        <f>'FSL Source'!P40</f>
        <v>Lịch sử không thể sửa và truy vết được trước/sau của thay đổi quan trọng.</v>
      </c>
      <c r="R40" s="4">
        <f>'FSL Source'!Q40</f>
        <v>0</v>
      </c>
      <c r="S40" s="3"/>
      <c r="T40" s="3"/>
      <c r="U40" s="8"/>
      <c r="V40" s="8"/>
      <c r="W40" s="9"/>
      <c r="X40" s="9" t="str">
        <f t="shared" si="0"/>
        <v/>
      </c>
      <c r="Y40" s="3" t="s">
        <v>1860</v>
      </c>
      <c r="Z40" s="10">
        <v>0</v>
      </c>
      <c r="AA40" s="4"/>
    </row>
    <row r="41" spans="1:27" ht="38.25">
      <c r="A41" s="3" t="str">
        <f>B41&amp;"."&amp;TEXT(COUNTIF($B$5:B41,B41),"000")</f>
        <v>1.02.01.007</v>
      </c>
      <c r="B41" s="3" t="str">
        <f>IFERROR(INDEX('Work Packages'!$A$5:$A$200,MATCH(D41&amp;"|"&amp;E41,'Work Packages'!$P$5:$P$200,0)),"")</f>
        <v>1.02.01</v>
      </c>
      <c r="C41" s="3" t="str">
        <f>'FSL Source'!B41</f>
        <v>MIS-MISSION-007</v>
      </c>
      <c r="D41" s="3" t="str">
        <f>'FSL Source'!C41</f>
        <v>Quản lý Nhiệm vụ KHCN</v>
      </c>
      <c r="E41" s="3" t="str">
        <f>'FSL Source'!D41</f>
        <v>Hồ sơ nhiệm vụ</v>
      </c>
      <c r="F41" s="4" t="str">
        <f>'FSL Source'!E41</f>
        <v>Vòng đời</v>
      </c>
      <c r="G41" s="4" t="str">
        <f>'FSL Source'!F41</f>
        <v>Quản lý trạng thái vòng đời nhiệm vụ</v>
      </c>
      <c r="H41" s="4" t="str">
        <f>'FSL Source'!G41</f>
        <v>Quản lý chuyển trạng thái từ đề xuất, phê duyệt, thực hiện, điều chỉnh, nghiệm thu, quyết toán đến đóng nhiệm vụ.</v>
      </c>
      <c r="I41" s="3" t="str">
        <f>'FSL Source'!H41</f>
        <v>Cán bộ KHCN</v>
      </c>
      <c r="J41" s="3" t="str">
        <f>'FSL Source'!I41</f>
        <v>Nghiệp vụ</v>
      </c>
      <c r="K41" s="3" t="str">
        <f>'FSL Source'!J41</f>
        <v>RD01-RD10</v>
      </c>
      <c r="L41" s="3" t="str">
        <f>'FSL Source'!K41</f>
        <v>CAP-02; CAP-04</v>
      </c>
      <c r="M41" s="3" t="str">
        <f>'FSL Source'!L41</f>
        <v>Must</v>
      </c>
      <c r="N41" s="3" t="str">
        <f>'FSL Source'!M41</f>
        <v>Pha 1</v>
      </c>
      <c r="O41" s="3" t="str">
        <f>'FSL Source'!N41</f>
        <v>Đề xuất trong phạm vi</v>
      </c>
      <c r="P41" s="4" t="str">
        <f>'FSL Source'!O41</f>
        <v>Bổ sung</v>
      </c>
      <c r="Q41" s="4">
        <f>'FSL Source'!P41</f>
        <v>0</v>
      </c>
      <c r="R41" s="4">
        <f>'FSL Source'!Q41</f>
        <v>0</v>
      </c>
      <c r="S41" s="3"/>
      <c r="T41" s="3"/>
      <c r="U41" s="8"/>
      <c r="V41" s="8"/>
      <c r="W41" s="9"/>
      <c r="X41" s="9" t="str">
        <f t="shared" si="0"/>
        <v/>
      </c>
      <c r="Y41" s="3" t="s">
        <v>1860</v>
      </c>
      <c r="Z41" s="10">
        <v>0</v>
      </c>
      <c r="AA41" s="4"/>
    </row>
    <row r="42" spans="1:27" ht="51">
      <c r="A42" s="3" t="str">
        <f>B42&amp;"."&amp;TEXT(COUNTIF($B$5:B42,B42),"000")</f>
        <v>1.02.01.008</v>
      </c>
      <c r="B42" s="3" t="str">
        <f>IFERROR(INDEX('Work Packages'!$A$5:$A$200,MATCH(D42&amp;"|"&amp;E42,'Work Packages'!$P$5:$P$200,0)),"")</f>
        <v>1.02.01</v>
      </c>
      <c r="C42" s="3" t="str">
        <f>'FSL Source'!B42</f>
        <v>MIS-MISSION-008</v>
      </c>
      <c r="D42" s="3" t="str">
        <f>'FSL Source'!C42</f>
        <v>Quản lý Nhiệm vụ KHCN</v>
      </c>
      <c r="E42" s="3" t="str">
        <f>'FSL Source'!D42</f>
        <v>Hồ sơ nhiệm vụ</v>
      </c>
      <c r="F42" s="4" t="str">
        <f>'FSL Source'!E42</f>
        <v>Cột mốc quản trị</v>
      </c>
      <c r="G42" s="4" t="str">
        <f>'FSL Source'!F42</f>
        <v>Ánh xạ mọi quy trình vào bộ cột mốc bất biến</v>
      </c>
      <c r="H42" s="4" t="str">
        <f>'FSL Source'!G42</f>
        <v>Mọi process version phải ánh xạ về các cột mốc KhoiTao, xét duyệt, thực hiện, nghiệm thu, quyết toán, tạm dừng, dừng và lưu trữ để báo cáo không phụ thuộc chi tiết BPMN.</v>
      </c>
      <c r="I42" s="3" t="str">
        <f>'FSL Source'!H42</f>
        <v>Quản trị quy trình/Cán bộ KHCN</v>
      </c>
      <c r="J42" s="3" t="str">
        <f>'FSL Source'!I42</f>
        <v>Nền tảng</v>
      </c>
      <c r="K42" s="3" t="str">
        <f>'FSL Source'!J42</f>
        <v>RD01-RD10</v>
      </c>
      <c r="L42" s="3" t="str">
        <f>'FSL Source'!K42</f>
        <v>CAP-02; CAP-04</v>
      </c>
      <c r="M42" s="3" t="str">
        <f>'FSL Source'!L42</f>
        <v>Must</v>
      </c>
      <c r="N42" s="3" t="str">
        <f>'FSL Source'!M42</f>
        <v>Pha 1</v>
      </c>
      <c r="O42" s="3" t="str">
        <f>'FSL Source'!N42</f>
        <v>Đề xuất trong phạm vi</v>
      </c>
      <c r="P42" s="4" t="str">
        <f>'FSL Source'!O42</f>
        <v>Bổ sung theo BRD mục 7</v>
      </c>
      <c r="Q42" s="4">
        <f>'FSL Source'!P42</f>
        <v>0</v>
      </c>
      <c r="R42" s="4">
        <f>'FSL Source'!Q42</f>
        <v>0</v>
      </c>
      <c r="S42" s="3"/>
      <c r="T42" s="3"/>
      <c r="U42" s="8"/>
      <c r="V42" s="8"/>
      <c r="W42" s="9"/>
      <c r="X42" s="9" t="str">
        <f t="shared" si="0"/>
        <v/>
      </c>
      <c r="Y42" s="3" t="s">
        <v>1860</v>
      </c>
      <c r="Z42" s="10">
        <v>0</v>
      </c>
      <c r="AA42" s="4"/>
    </row>
    <row r="43" spans="1:27" ht="25.5">
      <c r="A43" s="3" t="str">
        <f>B43&amp;"."&amp;TEXT(COUNTIF($B$5:B43,B43),"000")</f>
        <v>1.02.01.009</v>
      </c>
      <c r="B43" s="3" t="str">
        <f>IFERROR(INDEX('Work Packages'!$A$5:$A$200,MATCH(D43&amp;"|"&amp;E43,'Work Packages'!$P$5:$P$200,0)),"")</f>
        <v>1.02.01</v>
      </c>
      <c r="C43" s="3" t="str">
        <f>'FSL Source'!B43</f>
        <v>MIS-MISSION-009</v>
      </c>
      <c r="D43" s="3" t="str">
        <f>'FSL Source'!C43</f>
        <v>Quản lý Nhiệm vụ KHCN</v>
      </c>
      <c r="E43" s="3" t="str">
        <f>'FSL Source'!D43</f>
        <v>Hồ sơ nhiệm vụ</v>
      </c>
      <c r="F43" s="4" t="str">
        <f>'FSL Source'!E43</f>
        <v>Điều kiện chuyển giai đoạn</v>
      </c>
      <c r="G43" s="4" t="str">
        <f>'FSL Source'!F43</f>
        <v>Kiểm tra sự kiện kết thúc và điều kiện ràng buộc</v>
      </c>
      <c r="H43" s="4" t="str">
        <f>'FSL Source'!G43</f>
        <v>Chỉ cho khởi tạo giai đoạn kế tiếp khi cột mốc và bằng chứng bắt buộc của giai đoạn trước đã hợp lệ.</v>
      </c>
      <c r="I43" s="3" t="str">
        <f>'FSL Source'!H43</f>
        <v>Cán bộ KHCN/Hệ thống</v>
      </c>
      <c r="J43" s="3" t="str">
        <f>'FSL Source'!I43</f>
        <v>Workflow</v>
      </c>
      <c r="K43" s="3" t="str">
        <f>'FSL Source'!J43</f>
        <v>RD01-RD06</v>
      </c>
      <c r="L43" s="3" t="str">
        <f>'FSL Source'!K43</f>
        <v>CAP-02; CAP-04</v>
      </c>
      <c r="M43" s="3" t="str">
        <f>'FSL Source'!L43</f>
        <v>Must</v>
      </c>
      <c r="N43" s="3" t="str">
        <f>'FSL Source'!M43</f>
        <v>Pha 1</v>
      </c>
      <c r="O43" s="3" t="str">
        <f>'FSL Source'!N43</f>
        <v>Đề xuất trong phạm vi</v>
      </c>
      <c r="P43" s="4" t="str">
        <f>'FSL Source'!O43</f>
        <v>Bổ sung theo CAP-02/BRD 0.9</v>
      </c>
      <c r="Q43" s="4">
        <f>'FSL Source'!P43</f>
        <v>0</v>
      </c>
      <c r="R43" s="4">
        <f>'FSL Source'!Q43</f>
        <v>0</v>
      </c>
      <c r="S43" s="3"/>
      <c r="T43" s="3"/>
      <c r="U43" s="8"/>
      <c r="V43" s="8"/>
      <c r="W43" s="9"/>
      <c r="X43" s="9" t="str">
        <f t="shared" si="0"/>
        <v/>
      </c>
      <c r="Y43" s="3" t="s">
        <v>1860</v>
      </c>
      <c r="Z43" s="10">
        <v>0</v>
      </c>
      <c r="AA43" s="4"/>
    </row>
    <row r="44" spans="1:27" ht="38.25">
      <c r="A44" s="3" t="str">
        <f>B44&amp;"."&amp;TEXT(COUNTIF($B$5:B44,B44),"000")</f>
        <v>1.02.01.010</v>
      </c>
      <c r="B44" s="3" t="str">
        <f>IFERROR(INDEX('Work Packages'!$A$5:$A$200,MATCH(D44&amp;"|"&amp;E44,'Work Packages'!$P$5:$P$200,0)),"")</f>
        <v>1.02.01</v>
      </c>
      <c r="C44" s="3" t="str">
        <f>'FSL Source'!B44</f>
        <v>MIS-MISSION-010</v>
      </c>
      <c r="D44" s="3" t="str">
        <f>'FSL Source'!C44</f>
        <v>Quản lý Nhiệm vụ KHCN</v>
      </c>
      <c r="E44" s="3" t="str">
        <f>'FSL Source'!D44</f>
        <v>Hồ sơ nhiệm vụ</v>
      </c>
      <c r="F44" s="4" t="str">
        <f>'FSL Source'!E44</f>
        <v>Hoàn thành nội dung</v>
      </c>
      <c r="G44" s="4" t="str">
        <f>'FSL Source'!F44</f>
        <v>Xác nhận đủ điều kiện chuyển sang nghiệm thu</v>
      </c>
      <c r="H44" s="4" t="str">
        <f>'FSL Source'!G44</f>
        <v>Người có thẩm quyền xác nhận nội dung đề tài hoàn thành; hệ thống chỉ gợi ý từ PLM/QLNS và không tự động làm kẹt hồ sơ khi đồng bộ lỗi.</v>
      </c>
      <c r="I44" s="3" t="str">
        <f>'FSL Source'!H44</f>
        <v>Cán bộ KHCN/Người có thẩm quyền</v>
      </c>
      <c r="J44" s="3" t="str">
        <f>'FSL Source'!I44</f>
        <v>Workflow</v>
      </c>
      <c r="K44" s="3" t="str">
        <f>'FSL Source'!J44</f>
        <v>RD03→RD05</v>
      </c>
      <c r="L44" s="3" t="str">
        <f>'FSL Source'!K44</f>
        <v>CAP-02; CAP-04</v>
      </c>
      <c r="M44" s="3" t="str">
        <f>'FSL Source'!L44</f>
        <v>Must</v>
      </c>
      <c r="N44" s="3" t="str">
        <f>'FSL Source'!M44</f>
        <v>Pha 1</v>
      </c>
      <c r="O44" s="3" t="str">
        <f>'FSL Source'!N44</f>
        <v>Cần xác nhận</v>
      </c>
      <c r="P44" s="4" t="str">
        <f>'FSL Source'!O44</f>
        <v>Chờ chốt B2 của BRD.</v>
      </c>
      <c r="Q44" s="4">
        <f>'FSL Source'!P44</f>
        <v>0</v>
      </c>
      <c r="R44" s="4">
        <f>'FSL Source'!Q44</f>
        <v>0</v>
      </c>
      <c r="S44" s="3"/>
      <c r="T44" s="3"/>
      <c r="U44" s="8"/>
      <c r="V44" s="8"/>
      <c r="W44" s="9"/>
      <c r="X44" s="9" t="str">
        <f t="shared" si="0"/>
        <v/>
      </c>
      <c r="Y44" s="3" t="s">
        <v>1860</v>
      </c>
      <c r="Z44" s="10">
        <v>0</v>
      </c>
      <c r="AA44" s="4"/>
    </row>
    <row r="45" spans="1:27" ht="25.5">
      <c r="A45" s="3" t="str">
        <f>B45&amp;"."&amp;TEXT(COUNTIF($B$5:B45,B45),"000")</f>
        <v>1.02.01.011</v>
      </c>
      <c r="B45" s="3" t="str">
        <f>IFERROR(INDEX('Work Packages'!$A$5:$A$200,MATCH(D45&amp;"|"&amp;E45,'Work Packages'!$P$5:$P$200,0)),"")</f>
        <v>1.02.01</v>
      </c>
      <c r="C45" s="3" t="str">
        <f>'FSL Source'!B45</f>
        <v>MIS-MISSION-011</v>
      </c>
      <c r="D45" s="3" t="str">
        <f>'FSL Source'!C45</f>
        <v>Quản lý Nhiệm vụ KHCN</v>
      </c>
      <c r="E45" s="3" t="str">
        <f>'FSL Source'!D45</f>
        <v>Hồ sơ nhiệm vụ</v>
      </c>
      <c r="F45" s="4" t="str">
        <f>'FSL Source'!E45</f>
        <v>Quan hệ hồ sơ</v>
      </c>
      <c r="G45" s="4" t="str">
        <f>'FSL Source'!F45</f>
        <v>Liên kết nhiệm vụ với các hồ sơ quy trình</v>
      </c>
      <c r="H45" s="4" t="str">
        <f>'FSL Source'!G45</f>
        <v>Tổng hợp toàn bộ dossier, process instance, quyết định, tài liệu và sản phẩm theo missionId.</v>
      </c>
      <c r="I45" s="3" t="str">
        <f>'FSL Source'!H45</f>
        <v>Cán bộ KHCN/Chủ nhiệm</v>
      </c>
      <c r="J45" s="3" t="str">
        <f>'FSL Source'!I45</f>
        <v>Nghiệp vụ</v>
      </c>
      <c r="K45" s="3" t="str">
        <f>'FSL Source'!J45</f>
        <v>RD01-RD10</v>
      </c>
      <c r="L45" s="3" t="str">
        <f>'FSL Source'!K45</f>
        <v>CAP-02; CAP-04</v>
      </c>
      <c r="M45" s="3" t="str">
        <f>'FSL Source'!L45</f>
        <v>Must</v>
      </c>
      <c r="N45" s="3" t="str">
        <f>'FSL Source'!M45</f>
        <v>Pha 1</v>
      </c>
      <c r="O45" s="3" t="str">
        <f>'FSL Source'!N45</f>
        <v>Đề xuất trong phạm vi</v>
      </c>
      <c r="P45" s="4" t="str">
        <f>'FSL Source'!O45</f>
        <v>Bổ sung</v>
      </c>
      <c r="Q45" s="4">
        <f>'FSL Source'!P45</f>
        <v>0</v>
      </c>
      <c r="R45" s="4">
        <f>'FSL Source'!Q45</f>
        <v>0</v>
      </c>
      <c r="S45" s="3"/>
      <c r="T45" s="3"/>
      <c r="U45" s="8"/>
      <c r="V45" s="8"/>
      <c r="W45" s="9"/>
      <c r="X45" s="9" t="str">
        <f t="shared" si="0"/>
        <v/>
      </c>
      <c r="Y45" s="3" t="s">
        <v>1860</v>
      </c>
      <c r="Z45" s="10">
        <v>0</v>
      </c>
      <c r="AA45" s="4"/>
    </row>
    <row r="46" spans="1:27" ht="25.5">
      <c r="A46" s="3" t="str">
        <f>B46&amp;"."&amp;TEXT(COUNTIF($B$5:B46,B46),"000")</f>
        <v>1.02.01.012</v>
      </c>
      <c r="B46" s="3" t="str">
        <f>IFERROR(INDEX('Work Packages'!$A$5:$A$200,MATCH(D46&amp;"|"&amp;E46,'Work Packages'!$P$5:$P$200,0)),"")</f>
        <v>1.02.01</v>
      </c>
      <c r="C46" s="3" t="str">
        <f>'FSL Source'!B46</f>
        <v>MIS-MISSION-012</v>
      </c>
      <c r="D46" s="3" t="str">
        <f>'FSL Source'!C46</f>
        <v>Quản lý Nhiệm vụ KHCN</v>
      </c>
      <c r="E46" s="3" t="str">
        <f>'FSL Source'!D46</f>
        <v>Hồ sơ nhiệm vụ</v>
      </c>
      <c r="F46" s="4" t="str">
        <f>'FSL Source'!E46</f>
        <v>Tra cứu</v>
      </c>
      <c r="G46" s="4" t="str">
        <f>'FSL Source'!F46</f>
        <v>Tìm kiếm nâng cao nhiệm vụ</v>
      </c>
      <c r="H46" s="4" t="str">
        <f>'FSL Source'!G46</f>
        <v>Tìm theo mã, tên, lĩnh vực, cấp, đơn vị, chủ nhiệm, trạng thái, thời gian và nguồn kinh phí.</v>
      </c>
      <c r="I46" s="3" t="str">
        <f>'FSL Source'!H46</f>
        <v>Người dùng nghiệp vụ</v>
      </c>
      <c r="J46" s="3" t="str">
        <f>'FSL Source'!I46</f>
        <v>Nghiệp vụ</v>
      </c>
      <c r="K46" s="3">
        <f>'FSL Source'!J46</f>
        <v>0</v>
      </c>
      <c r="L46" s="3" t="str">
        <f>'FSL Source'!K46</f>
        <v>CAP-02; CAP-04</v>
      </c>
      <c r="M46" s="3" t="str">
        <f>'FSL Source'!L46</f>
        <v>Must</v>
      </c>
      <c r="N46" s="3" t="str">
        <f>'FSL Source'!M46</f>
        <v>Pha 1</v>
      </c>
      <c r="O46" s="3" t="str">
        <f>'FSL Source'!N46</f>
        <v>Đề xuất trong phạm vi</v>
      </c>
      <c r="P46" s="4" t="str">
        <f>'FSL Source'!O46</f>
        <v>Bổ sung</v>
      </c>
      <c r="Q46" s="4">
        <f>'FSL Source'!P46</f>
        <v>0</v>
      </c>
      <c r="R46" s="4">
        <f>'FSL Source'!Q46</f>
        <v>0</v>
      </c>
      <c r="S46" s="3"/>
      <c r="T46" s="3"/>
      <c r="U46" s="8"/>
      <c r="V46" s="8"/>
      <c r="W46" s="9"/>
      <c r="X46" s="9" t="str">
        <f t="shared" si="0"/>
        <v/>
      </c>
      <c r="Y46" s="3" t="s">
        <v>1860</v>
      </c>
      <c r="Z46" s="10">
        <v>0</v>
      </c>
      <c r="AA46" s="4"/>
    </row>
    <row r="47" spans="1:27" ht="25.5">
      <c r="A47" s="3" t="str">
        <f>B47&amp;"."&amp;TEXT(COUNTIF($B$5:B47,B47),"000")</f>
        <v>1.02.01.013</v>
      </c>
      <c r="B47" s="3" t="str">
        <f>IFERROR(INDEX('Work Packages'!$A$5:$A$200,MATCH(D47&amp;"|"&amp;E47,'Work Packages'!$P$5:$P$200,0)),"")</f>
        <v>1.02.01</v>
      </c>
      <c r="C47" s="3" t="str">
        <f>'FSL Source'!B47</f>
        <v>MIS-MISSION-013</v>
      </c>
      <c r="D47" s="3" t="str">
        <f>'FSL Source'!C47</f>
        <v>Quản lý Nhiệm vụ KHCN</v>
      </c>
      <c r="E47" s="3" t="str">
        <f>'FSL Source'!D47</f>
        <v>Hồ sơ nhiệm vụ</v>
      </c>
      <c r="F47" s="4" t="str">
        <f>'FSL Source'!E47</f>
        <v>Mã hóa</v>
      </c>
      <c r="G47" s="4" t="str">
        <f>'FSL Source'!F47</f>
        <v>Sinh và quản lý mã nhiệm vụ</v>
      </c>
      <c r="H47" s="4" t="str">
        <f>'FSL Source'!G47</f>
        <v>Sinh mã theo quy tắc cấu hình, bảo đảm duy nhất và hỗ trợ mã kế thừa từ hệ thống ngoài.</v>
      </c>
      <c r="I47" s="3" t="str">
        <f>'FSL Source'!H47</f>
        <v>Cán bộ KHCN</v>
      </c>
      <c r="J47" s="3" t="str">
        <f>'FSL Source'!I47</f>
        <v>Cấu hình</v>
      </c>
      <c r="K47" s="3">
        <f>'FSL Source'!J47</f>
        <v>0</v>
      </c>
      <c r="L47" s="3" t="str">
        <f>'FSL Source'!K47</f>
        <v>CAP-02; CAP-04</v>
      </c>
      <c r="M47" s="3" t="str">
        <f>'FSL Source'!L47</f>
        <v>Should</v>
      </c>
      <c r="N47" s="3" t="str">
        <f>'FSL Source'!M47</f>
        <v>Pha 1</v>
      </c>
      <c r="O47" s="3" t="str">
        <f>'FSL Source'!N47</f>
        <v>Đề xuất trong phạm vi</v>
      </c>
      <c r="P47" s="4" t="str">
        <f>'FSL Source'!O47</f>
        <v>Bổ sung</v>
      </c>
      <c r="Q47" s="4">
        <f>'FSL Source'!P47</f>
        <v>0</v>
      </c>
      <c r="R47" s="4">
        <f>'FSL Source'!Q47</f>
        <v>0</v>
      </c>
      <c r="S47" s="3"/>
      <c r="T47" s="3"/>
      <c r="U47" s="8"/>
      <c r="V47" s="8"/>
      <c r="W47" s="9"/>
      <c r="X47" s="9" t="str">
        <f t="shared" si="0"/>
        <v/>
      </c>
      <c r="Y47" s="3" t="s">
        <v>1860</v>
      </c>
      <c r="Z47" s="10">
        <v>0</v>
      </c>
      <c r="AA47" s="4"/>
    </row>
    <row r="48" spans="1:27" ht="38.25">
      <c r="A48" s="3" t="str">
        <f>B48&amp;"."&amp;TEXT(COUNTIF($B$5:B48,B48),"000")</f>
        <v>1.02.01.014</v>
      </c>
      <c r="B48" s="3" t="str">
        <f>IFERROR(INDEX('Work Packages'!$A$5:$A$200,MATCH(D48&amp;"|"&amp;E48,'Work Packages'!$P$5:$P$200,0)),"")</f>
        <v>1.02.01</v>
      </c>
      <c r="C48" s="3" t="str">
        <f>'FSL Source'!B48</f>
        <v>MIS-MISSION-014</v>
      </c>
      <c r="D48" s="3" t="str">
        <f>'FSL Source'!C48</f>
        <v>Quản lý Nhiệm vụ KHCN</v>
      </c>
      <c r="E48" s="3" t="str">
        <f>'FSL Source'!D48</f>
        <v>Hồ sơ nhiệm vụ</v>
      </c>
      <c r="F48" s="4" t="str">
        <f>'FSL Source'!E48</f>
        <v>Tổng quan 360°</v>
      </c>
      <c r="G48" s="4" t="str">
        <f>'FSL Source'!F48</f>
        <v>Xem hồ sơ nhiệm vụ 360°</v>
      </c>
      <c r="H48" s="4" t="str">
        <f>'FSL Source'!G48</f>
        <v>Hiển thị thông tin, tiến độ, kinh phí, nhân sự, hồ sơ, hội đồng, sản phẩm, rủi ro và lịch sử trên một màn hình.</v>
      </c>
      <c r="I48" s="3" t="str">
        <f>'FSL Source'!H48</f>
        <v>Cán bộ KHCN/Lãnh đạo/Chủ nhiệm</v>
      </c>
      <c r="J48" s="3" t="str">
        <f>'FSL Source'!I48</f>
        <v>Nghiệp vụ</v>
      </c>
      <c r="K48" s="3">
        <f>'FSL Source'!J48</f>
        <v>0</v>
      </c>
      <c r="L48" s="3" t="str">
        <f>'FSL Source'!K48</f>
        <v>CAP-02; CAP-04</v>
      </c>
      <c r="M48" s="3" t="str">
        <f>'FSL Source'!L48</f>
        <v>Should</v>
      </c>
      <c r="N48" s="3" t="str">
        <f>'FSL Source'!M48</f>
        <v>Pha 2</v>
      </c>
      <c r="O48" s="3" t="str">
        <f>'FSL Source'!N48</f>
        <v>Đề xuất trong phạm vi</v>
      </c>
      <c r="P48" s="4" t="str">
        <f>'FSL Source'!O48</f>
        <v>Bổ sung</v>
      </c>
      <c r="Q48" s="4">
        <f>'FSL Source'!P48</f>
        <v>0</v>
      </c>
      <c r="R48" s="4">
        <f>'FSL Source'!Q48</f>
        <v>0</v>
      </c>
      <c r="S48" s="3"/>
      <c r="T48" s="3"/>
      <c r="U48" s="8"/>
      <c r="V48" s="8"/>
      <c r="W48" s="9"/>
      <c r="X48" s="9" t="str">
        <f t="shared" si="0"/>
        <v/>
      </c>
      <c r="Y48" s="3" t="s">
        <v>1860</v>
      </c>
      <c r="Z48" s="10">
        <v>0</v>
      </c>
      <c r="AA48" s="4"/>
    </row>
    <row r="49" spans="1:27" ht="25.5">
      <c r="A49" s="3" t="str">
        <f>B49&amp;"."&amp;TEXT(COUNTIF($B$5:B49,B49),"000")</f>
        <v>1.02.01.015</v>
      </c>
      <c r="B49" s="3" t="str">
        <f>IFERROR(INDEX('Work Packages'!$A$5:$A$200,MATCH(D49&amp;"|"&amp;E49,'Work Packages'!$P$5:$P$200,0)),"")</f>
        <v>1.02.01</v>
      </c>
      <c r="C49" s="3" t="str">
        <f>'FSL Source'!B49</f>
        <v>MIS-MISSION-015</v>
      </c>
      <c r="D49" s="3" t="str">
        <f>'FSL Source'!C49</f>
        <v>Quản lý Nhiệm vụ KHCN</v>
      </c>
      <c r="E49" s="3" t="str">
        <f>'FSL Source'!D49</f>
        <v>Hồ sơ nhiệm vụ</v>
      </c>
      <c r="F49" s="4" t="str">
        <f>'FSL Source'!E49</f>
        <v>Phân loại</v>
      </c>
      <c r="G49" s="4" t="str">
        <f>'FSL Source'!F49</f>
        <v>Quản lý lĩnh vực, cấp và loại nhiệm vụ</v>
      </c>
      <c r="H49" s="4" t="str">
        <f>'FSL Source'!G49</f>
        <v>Áp dụng danh mục và rule theo lĩnh vực nghiên cứu, cấp quản lý, loại hình và mức độ bảo mật.</v>
      </c>
      <c r="I49" s="3" t="str">
        <f>'FSL Source'!H49</f>
        <v>Cán bộ KHCN</v>
      </c>
      <c r="J49" s="3" t="str">
        <f>'FSL Source'!I49</f>
        <v>Nghiệp vụ</v>
      </c>
      <c r="K49" s="3">
        <f>'FSL Source'!J49</f>
        <v>0</v>
      </c>
      <c r="L49" s="3" t="str">
        <f>'FSL Source'!K49</f>
        <v>CAP-02; CAP-04</v>
      </c>
      <c r="M49" s="3" t="str">
        <f>'FSL Source'!L49</f>
        <v>Must</v>
      </c>
      <c r="N49" s="3" t="str">
        <f>'FSL Source'!M49</f>
        <v>Pha 1</v>
      </c>
      <c r="O49" s="3" t="str">
        <f>'FSL Source'!N49</f>
        <v>Đề xuất trong phạm vi</v>
      </c>
      <c r="P49" s="4" t="str">
        <f>'FSL Source'!O49</f>
        <v>Bổ sung</v>
      </c>
      <c r="Q49" s="4">
        <f>'FSL Source'!P49</f>
        <v>0</v>
      </c>
      <c r="R49" s="4">
        <f>'FSL Source'!Q49</f>
        <v>0</v>
      </c>
      <c r="S49" s="3"/>
      <c r="T49" s="3"/>
      <c r="U49" s="8"/>
      <c r="V49" s="8"/>
      <c r="W49" s="9"/>
      <c r="X49" s="9" t="str">
        <f t="shared" si="0"/>
        <v/>
      </c>
      <c r="Y49" s="3" t="s">
        <v>1860</v>
      </c>
      <c r="Z49" s="10">
        <v>0</v>
      </c>
      <c r="AA49" s="4"/>
    </row>
    <row r="50" spans="1:27" ht="25.5">
      <c r="A50" s="3" t="str">
        <f>B50&amp;"."&amp;TEXT(COUNTIF($B$5:B50,B50),"000")</f>
        <v>1.03.01.001</v>
      </c>
      <c r="B50" s="3" t="str">
        <f>IFERROR(INDEX('Work Packages'!$A$5:$A$200,MATCH(D50&amp;"|"&amp;E50,'Work Packages'!$P$5:$P$200,0)),"")</f>
        <v>1.03.01</v>
      </c>
      <c r="C50" s="3" t="str">
        <f>'FSL Source'!B50</f>
        <v>PRP-RD01-001</v>
      </c>
      <c r="D50" s="3" t="str">
        <f>'FSL Source'!C50</f>
        <v>Chủ trương &amp; Xét duyệt</v>
      </c>
      <c r="E50" s="3" t="str">
        <f>'FSL Source'!D50</f>
        <v>Xét duyệt chủ trương</v>
      </c>
      <c r="F50" s="4" t="str">
        <f>'FSL Source'!E50</f>
        <v>Hồ sơ chủ trương</v>
      </c>
      <c r="G50" s="4" t="str">
        <f>'FSL Source'!F50</f>
        <v>Xem danh sách Hồ sơ chủ trương</v>
      </c>
      <c r="H50" s="4" t="str">
        <f>'FSL Source'!G50</f>
        <v>Tra cứu danh sách, phân trang, sắp xếp và lọc Hồ sơ chủ trương theo các tiêu chí nghiệp vụ.</v>
      </c>
      <c r="I50" s="3" t="str">
        <f>'FSL Source'!H50</f>
        <v>Người đề xuất/Cán bộ KHCN</v>
      </c>
      <c r="J50" s="3" t="str">
        <f>'FSL Source'!I50</f>
        <v>Nghiệp vụ</v>
      </c>
      <c r="K50" s="3" t="str">
        <f>'FSL Source'!J50</f>
        <v>RD01.01/RD01.02</v>
      </c>
      <c r="L50" s="3" t="str">
        <f>'FSL Source'!K50</f>
        <v>CAP-04; CAP-08</v>
      </c>
      <c r="M50" s="3" t="str">
        <f>'FSL Source'!L50</f>
        <v>Must</v>
      </c>
      <c r="N50" s="3" t="str">
        <f>'FSL Source'!M50</f>
        <v>Pha 1</v>
      </c>
      <c r="O50" s="3" t="str">
        <f>'FSL Source'!N50</f>
        <v>Đề xuất trong phạm vi</v>
      </c>
      <c r="P50" s="4" t="str">
        <f>'FSL Source'!O50</f>
        <v>Hiệu chỉnh theo BRD 0.9</v>
      </c>
      <c r="Q50" s="4" t="str">
        <f>'FSL Source'!P50</f>
        <v>Danh sách hiển thị đúng phạm vi dữ liệu và hỗ trợ lọc/xuất theo quyền.</v>
      </c>
      <c r="R50" s="4">
        <f>'FSL Source'!Q50</f>
        <v>0</v>
      </c>
      <c r="S50" s="3"/>
      <c r="T50" s="3"/>
      <c r="U50" s="8"/>
      <c r="V50" s="8"/>
      <c r="W50" s="9"/>
      <c r="X50" s="9" t="str">
        <f t="shared" si="0"/>
        <v/>
      </c>
      <c r="Y50" s="3" t="s">
        <v>1860</v>
      </c>
      <c r="Z50" s="10">
        <v>0</v>
      </c>
      <c r="AA50" s="4"/>
    </row>
    <row r="51" spans="1:27" ht="25.5">
      <c r="A51" s="3" t="str">
        <f>B51&amp;"."&amp;TEXT(COUNTIF($B$5:B51,B51),"000")</f>
        <v>1.03.01.002</v>
      </c>
      <c r="B51" s="3" t="str">
        <f>IFERROR(INDEX('Work Packages'!$A$5:$A$200,MATCH(D51&amp;"|"&amp;E51,'Work Packages'!$P$5:$P$200,0)),"")</f>
        <v>1.03.01</v>
      </c>
      <c r="C51" s="3" t="str">
        <f>'FSL Source'!B51</f>
        <v>PRP-RD01-002</v>
      </c>
      <c r="D51" s="3" t="str">
        <f>'FSL Source'!C51</f>
        <v>Chủ trương &amp; Xét duyệt</v>
      </c>
      <c r="E51" s="3" t="str">
        <f>'FSL Source'!D51</f>
        <v>Xét duyệt chủ trương</v>
      </c>
      <c r="F51" s="4" t="str">
        <f>'FSL Source'!E51</f>
        <v>Hồ sơ chủ trương</v>
      </c>
      <c r="G51" s="4" t="str">
        <f>'FSL Source'!F51</f>
        <v>Tạo mới Hồ sơ chủ trương</v>
      </c>
      <c r="H51" s="4" t="str">
        <f>'FSL Source'!G51</f>
        <v>Khởi tạo Hồ sơ chủ trương, kiểm tra dữ liệu bắt buộc và lưu nháp trước khi hoàn tất.</v>
      </c>
      <c r="I51" s="3" t="str">
        <f>'FSL Source'!H51</f>
        <v>Người đề xuất/Cán bộ KHCN</v>
      </c>
      <c r="J51" s="3" t="str">
        <f>'FSL Source'!I51</f>
        <v>Nghiệp vụ</v>
      </c>
      <c r="K51" s="3" t="str">
        <f>'FSL Source'!J51</f>
        <v>RD01.01/RD01.02</v>
      </c>
      <c r="L51" s="3" t="str">
        <f>'FSL Source'!K51</f>
        <v>CAP-04; CAP-08</v>
      </c>
      <c r="M51" s="3" t="str">
        <f>'FSL Source'!L51</f>
        <v>Must</v>
      </c>
      <c r="N51" s="3" t="str">
        <f>'FSL Source'!M51</f>
        <v>Pha 1</v>
      </c>
      <c r="O51" s="3" t="str">
        <f>'FSL Source'!N51</f>
        <v>Đề xuất trong phạm vi</v>
      </c>
      <c r="P51" s="4" t="str">
        <f>'FSL Source'!O51</f>
        <v>Hiệu chỉnh theo BRD 0.9</v>
      </c>
      <c r="Q51" s="4" t="str">
        <f>'FSL Source'!P51</f>
        <v>Dữ liệu hợp lệ được lưu; lỗi validation hiển thị tại trường tương ứng.</v>
      </c>
      <c r="R51" s="4">
        <f>'FSL Source'!Q51</f>
        <v>0</v>
      </c>
      <c r="S51" s="3"/>
      <c r="T51" s="3"/>
      <c r="U51" s="8"/>
      <c r="V51" s="8"/>
      <c r="W51" s="9"/>
      <c r="X51" s="9" t="str">
        <f t="shared" si="0"/>
        <v/>
      </c>
      <c r="Y51" s="3" t="s">
        <v>1860</v>
      </c>
      <c r="Z51" s="10">
        <v>0</v>
      </c>
      <c r="AA51" s="4"/>
    </row>
    <row r="52" spans="1:27" ht="25.5">
      <c r="A52" s="3" t="str">
        <f>B52&amp;"."&amp;TEXT(COUNTIF($B$5:B52,B52),"000")</f>
        <v>1.03.01.003</v>
      </c>
      <c r="B52" s="3" t="str">
        <f>IFERROR(INDEX('Work Packages'!$A$5:$A$200,MATCH(D52&amp;"|"&amp;E52,'Work Packages'!$P$5:$P$200,0)),"")</f>
        <v>1.03.01</v>
      </c>
      <c r="C52" s="3" t="str">
        <f>'FSL Source'!B52</f>
        <v>PRP-RD01-003</v>
      </c>
      <c r="D52" s="3" t="str">
        <f>'FSL Source'!C52</f>
        <v>Chủ trương &amp; Xét duyệt</v>
      </c>
      <c r="E52" s="3" t="str">
        <f>'FSL Source'!D52</f>
        <v>Xét duyệt chủ trương</v>
      </c>
      <c r="F52" s="4" t="str">
        <f>'FSL Source'!E52</f>
        <v>Hồ sơ chủ trương</v>
      </c>
      <c r="G52" s="4" t="str">
        <f>'FSL Source'!F52</f>
        <v>Xem chi tiết Hồ sơ chủ trương</v>
      </c>
      <c r="H52" s="4" t="str">
        <f>'FSL Source'!G52</f>
        <v>Hiển thị thông tin tổng quan, dữ liệu chi tiết, tài liệu liên quan và trạng thái của Hồ sơ chủ trương.</v>
      </c>
      <c r="I52" s="3" t="str">
        <f>'FSL Source'!H52</f>
        <v>Người đề xuất/Cán bộ KHCN</v>
      </c>
      <c r="J52" s="3" t="str">
        <f>'FSL Source'!I52</f>
        <v>Nghiệp vụ</v>
      </c>
      <c r="K52" s="3" t="str">
        <f>'FSL Source'!J52</f>
        <v>RD01.01/RD01.02</v>
      </c>
      <c r="L52" s="3" t="str">
        <f>'FSL Source'!K52</f>
        <v>CAP-04; CAP-08</v>
      </c>
      <c r="M52" s="3" t="str">
        <f>'FSL Source'!L52</f>
        <v>Must</v>
      </c>
      <c r="N52" s="3" t="str">
        <f>'FSL Source'!M52</f>
        <v>Pha 1</v>
      </c>
      <c r="O52" s="3" t="str">
        <f>'FSL Source'!N52</f>
        <v>Đề xuất trong phạm vi</v>
      </c>
      <c r="P52" s="4" t="str">
        <f>'FSL Source'!O52</f>
        <v>Hiệu chỉnh theo BRD 0.9</v>
      </c>
      <c r="Q52" s="4" t="str">
        <f>'FSL Source'!P52</f>
        <v>Thông tin hiển thị đúng phiên bản và quyền truy cập.</v>
      </c>
      <c r="R52" s="4">
        <f>'FSL Source'!Q52</f>
        <v>0</v>
      </c>
      <c r="S52" s="3"/>
      <c r="T52" s="3"/>
      <c r="U52" s="8"/>
      <c r="V52" s="8"/>
      <c r="W52" s="9"/>
      <c r="X52" s="9" t="str">
        <f t="shared" si="0"/>
        <v/>
      </c>
      <c r="Y52" s="3" t="s">
        <v>1860</v>
      </c>
      <c r="Z52" s="10">
        <v>0</v>
      </c>
      <c r="AA52" s="4"/>
    </row>
    <row r="53" spans="1:27" ht="25.5">
      <c r="A53" s="3" t="str">
        <f>B53&amp;"."&amp;TEXT(COUNTIF($B$5:B53,B53),"000")</f>
        <v>1.03.01.004</v>
      </c>
      <c r="B53" s="3" t="str">
        <f>IFERROR(INDEX('Work Packages'!$A$5:$A$200,MATCH(D53&amp;"|"&amp;E53,'Work Packages'!$P$5:$P$200,0)),"")</f>
        <v>1.03.01</v>
      </c>
      <c r="C53" s="3" t="str">
        <f>'FSL Source'!B53</f>
        <v>PRP-RD01-004</v>
      </c>
      <c r="D53" s="3" t="str">
        <f>'FSL Source'!C53</f>
        <v>Chủ trương &amp; Xét duyệt</v>
      </c>
      <c r="E53" s="3" t="str">
        <f>'FSL Source'!D53</f>
        <v>Xét duyệt chủ trương</v>
      </c>
      <c r="F53" s="4" t="str">
        <f>'FSL Source'!E53</f>
        <v>Hồ sơ chủ trương</v>
      </c>
      <c r="G53" s="4" t="str">
        <f>'FSL Source'!F53</f>
        <v>Chỉnh sửa Hồ sơ chủ trương</v>
      </c>
      <c r="H53" s="4" t="str">
        <f>'FSL Source'!G53</f>
        <v>Cập nhật Hồ sơ chủ trương khi trạng thái và quyền người dùng cho phép; kiểm soát xung đột cập nhật.</v>
      </c>
      <c r="I53" s="3" t="str">
        <f>'FSL Source'!H53</f>
        <v>Người đề xuất/Cán bộ KHCN</v>
      </c>
      <c r="J53" s="3" t="str">
        <f>'FSL Source'!I53</f>
        <v>Nghiệp vụ</v>
      </c>
      <c r="K53" s="3" t="str">
        <f>'FSL Source'!J53</f>
        <v>RD01.01/RD01.02</v>
      </c>
      <c r="L53" s="3" t="str">
        <f>'FSL Source'!K53</f>
        <v>CAP-04; CAP-08</v>
      </c>
      <c r="M53" s="3" t="str">
        <f>'FSL Source'!L53</f>
        <v>Must</v>
      </c>
      <c r="N53" s="3" t="str">
        <f>'FSL Source'!M53</f>
        <v>Pha 1</v>
      </c>
      <c r="O53" s="3" t="str">
        <f>'FSL Source'!N53</f>
        <v>Đề xuất trong phạm vi</v>
      </c>
      <c r="P53" s="4" t="str">
        <f>'FSL Source'!O53</f>
        <v>Hiệu chỉnh theo BRD 0.9</v>
      </c>
      <c r="Q53" s="4" t="str">
        <f>'FSL Source'!P53</f>
        <v>Chỉ trường được phép sửa có hiệu lực và thay đổi được ghi lịch sử.</v>
      </c>
      <c r="R53" s="4">
        <f>'FSL Source'!Q53</f>
        <v>0</v>
      </c>
      <c r="S53" s="3"/>
      <c r="T53" s="3"/>
      <c r="U53" s="8"/>
      <c r="V53" s="8"/>
      <c r="W53" s="9"/>
      <c r="X53" s="9" t="str">
        <f t="shared" si="0"/>
        <v/>
      </c>
      <c r="Y53" s="3" t="s">
        <v>1860</v>
      </c>
      <c r="Z53" s="10">
        <v>0</v>
      </c>
      <c r="AA53" s="4"/>
    </row>
    <row r="54" spans="1:27" ht="25.5">
      <c r="A54" s="3" t="str">
        <f>B54&amp;"."&amp;TEXT(COUNTIF($B$5:B54,B54),"000")</f>
        <v>1.03.01.005</v>
      </c>
      <c r="B54" s="3" t="str">
        <f>IFERROR(INDEX('Work Packages'!$A$5:$A$200,MATCH(D54&amp;"|"&amp;E54,'Work Packages'!$P$5:$P$200,0)),"")</f>
        <v>1.03.01</v>
      </c>
      <c r="C54" s="3" t="str">
        <f>'FSL Source'!B54</f>
        <v>PRP-RD01-005</v>
      </c>
      <c r="D54" s="3" t="str">
        <f>'FSL Source'!C54</f>
        <v>Chủ trương &amp; Xét duyệt</v>
      </c>
      <c r="E54" s="3" t="str">
        <f>'FSL Source'!D54</f>
        <v>Xét duyệt chủ trương</v>
      </c>
      <c r="F54" s="4" t="str">
        <f>'FSL Source'!E54</f>
        <v>Hồ sơ chủ trương</v>
      </c>
      <c r="G54" s="4" t="str">
        <f>'FSL Source'!F54</f>
        <v>Xóa/Ngừng sử dụng Hồ sơ chủ trương</v>
      </c>
      <c r="H54" s="4" t="str">
        <f>'FSL Source'!G54</f>
        <v>Xóa logic hoặc ngừng sử dụng Hồ sơ chủ trương sau khi kiểm tra ràng buộc tham chiếu.</v>
      </c>
      <c r="I54" s="3" t="str">
        <f>'FSL Source'!H54</f>
        <v>Quản trị/Cán bộ nghiệp vụ</v>
      </c>
      <c r="J54" s="3" t="str">
        <f>'FSL Source'!I54</f>
        <v>Nghiệp vụ</v>
      </c>
      <c r="K54" s="3" t="str">
        <f>'FSL Source'!J54</f>
        <v>RD01.01/RD01.02</v>
      </c>
      <c r="L54" s="3" t="str">
        <f>'FSL Source'!K54</f>
        <v>CAP-04; CAP-08</v>
      </c>
      <c r="M54" s="3" t="str">
        <f>'FSL Source'!L54</f>
        <v>Should</v>
      </c>
      <c r="N54" s="3" t="str">
        <f>'FSL Source'!M54</f>
        <v>Pha 1</v>
      </c>
      <c r="O54" s="3" t="str">
        <f>'FSL Source'!N54</f>
        <v>Đề xuất trong phạm vi</v>
      </c>
      <c r="P54" s="4" t="str">
        <f>'FSL Source'!O54</f>
        <v>Hiệu chỉnh theo BRD 0.9</v>
      </c>
      <c r="Q54" s="4" t="str">
        <f>'FSL Source'!P54</f>
        <v>Không xóa vật lý dữ liệu đã phát sinh giao dịch; cảnh báo rõ quan hệ phụ thuộc.</v>
      </c>
      <c r="R54" s="4">
        <f>'FSL Source'!Q54</f>
        <v>0</v>
      </c>
      <c r="S54" s="3"/>
      <c r="T54" s="3"/>
      <c r="U54" s="8"/>
      <c r="V54" s="8"/>
      <c r="W54" s="9"/>
      <c r="X54" s="9" t="str">
        <f t="shared" si="0"/>
        <v/>
      </c>
      <c r="Y54" s="3" t="s">
        <v>1860</v>
      </c>
      <c r="Z54" s="10">
        <v>0</v>
      </c>
      <c r="AA54" s="4"/>
    </row>
    <row r="55" spans="1:27" ht="25.5">
      <c r="A55" s="3" t="str">
        <f>B55&amp;"."&amp;TEXT(COUNTIF($B$5:B55,B55),"000")</f>
        <v>1.03.01.006</v>
      </c>
      <c r="B55" s="3" t="str">
        <f>IFERROR(INDEX('Work Packages'!$A$5:$A$200,MATCH(D55&amp;"|"&amp;E55,'Work Packages'!$P$5:$P$200,0)),"")</f>
        <v>1.03.01</v>
      </c>
      <c r="C55" s="3" t="str">
        <f>'FSL Source'!B55</f>
        <v>PRP-RD01-006</v>
      </c>
      <c r="D55" s="3" t="str">
        <f>'FSL Source'!C55</f>
        <v>Chủ trương &amp; Xét duyệt</v>
      </c>
      <c r="E55" s="3" t="str">
        <f>'FSL Source'!D55</f>
        <v>Xét duyệt chủ trương</v>
      </c>
      <c r="F55" s="4" t="str">
        <f>'FSL Source'!E55</f>
        <v>Hồ sơ chủ trương</v>
      </c>
      <c r="G55" s="4" t="str">
        <f>'FSL Source'!F55</f>
        <v>Trình duyệt Hồ sơ chủ trương</v>
      </c>
      <c r="H55" s="4" t="str">
        <f>'FSL Source'!G55</f>
        <v>Kiểm tra điều kiện, khóa phiên bản trình và khởi tạo/tiếp tục quy trình phê duyệt Hồ sơ chủ trương.</v>
      </c>
      <c r="I55" s="3" t="str">
        <f>'FSL Source'!H55</f>
        <v>Người lập/Chủ nhiệm nhiệm vụ</v>
      </c>
      <c r="J55" s="3" t="str">
        <f>'FSL Source'!I55</f>
        <v>Workflow</v>
      </c>
      <c r="K55" s="3" t="str">
        <f>'FSL Source'!J55</f>
        <v>RD01.01/RD01.02</v>
      </c>
      <c r="L55" s="3" t="str">
        <f>'FSL Source'!K55</f>
        <v>CAP-04; CAP-08</v>
      </c>
      <c r="M55" s="3" t="str">
        <f>'FSL Source'!L55</f>
        <v>Must</v>
      </c>
      <c r="N55" s="3" t="str">
        <f>'FSL Source'!M55</f>
        <v>Pha 1</v>
      </c>
      <c r="O55" s="3" t="str">
        <f>'FSL Source'!N55</f>
        <v>Đề xuất trong phạm vi</v>
      </c>
      <c r="P55" s="4" t="str">
        <f>'FSL Source'!O55</f>
        <v>Hiệu chỉnh theo BRD 0.9</v>
      </c>
      <c r="Q55" s="4" t="str">
        <f>'FSL Source'!P55</f>
        <v>Tạo đúng process instance, business key và task đầu tiên; không submit trùng.</v>
      </c>
      <c r="R55" s="4">
        <f>'FSL Source'!Q55</f>
        <v>0</v>
      </c>
      <c r="S55" s="3"/>
      <c r="T55" s="3"/>
      <c r="U55" s="8"/>
      <c r="V55" s="8"/>
      <c r="W55" s="9"/>
      <c r="X55" s="9" t="str">
        <f t="shared" si="0"/>
        <v/>
      </c>
      <c r="Y55" s="3" t="s">
        <v>1860</v>
      </c>
      <c r="Z55" s="10">
        <v>0</v>
      </c>
      <c r="AA55" s="4"/>
    </row>
    <row r="56" spans="1:27" ht="25.5">
      <c r="A56" s="3" t="str">
        <f>B56&amp;"."&amp;TEXT(COUNTIF($B$5:B56,B56),"000")</f>
        <v>1.03.01.007</v>
      </c>
      <c r="B56" s="3" t="str">
        <f>IFERROR(INDEX('Work Packages'!$A$5:$A$200,MATCH(D56&amp;"|"&amp;E56,'Work Packages'!$P$5:$P$200,0)),"")</f>
        <v>1.03.01</v>
      </c>
      <c r="C56" s="3" t="str">
        <f>'FSL Source'!B56</f>
        <v>PRP-RD01-007</v>
      </c>
      <c r="D56" s="3" t="str">
        <f>'FSL Source'!C56</f>
        <v>Chủ trương &amp; Xét duyệt</v>
      </c>
      <c r="E56" s="3" t="str">
        <f>'FSL Source'!D56</f>
        <v>Xét duyệt chủ trương</v>
      </c>
      <c r="F56" s="4" t="str">
        <f>'FSL Source'!E56</f>
        <v>Hồ sơ chủ trương</v>
      </c>
      <c r="G56" s="4" t="str">
        <f>'FSL Source'!F56</f>
        <v>Xem lịch sử Hồ sơ chủ trương</v>
      </c>
      <c r="H56" s="4" t="str">
        <f>'FSL Source'!G56</f>
        <v>Theo dõi phiên bản, thay đổi dữ liệu, người thực hiện và lịch sử xử lý của Hồ sơ chủ trương.</v>
      </c>
      <c r="I56" s="3" t="str">
        <f>'FSL Source'!H56</f>
        <v>Cán bộ nghiệp vụ/Quản trị</v>
      </c>
      <c r="J56" s="3" t="str">
        <f>'FSL Source'!I56</f>
        <v>Audit</v>
      </c>
      <c r="K56" s="3" t="str">
        <f>'FSL Source'!J56</f>
        <v>RD01.01/RD01.02</v>
      </c>
      <c r="L56" s="3" t="str">
        <f>'FSL Source'!K56</f>
        <v>CAP-04; CAP-08</v>
      </c>
      <c r="M56" s="3" t="str">
        <f>'FSL Source'!L56</f>
        <v>Must</v>
      </c>
      <c r="N56" s="3" t="str">
        <f>'FSL Source'!M56</f>
        <v>Pha 1</v>
      </c>
      <c r="O56" s="3" t="str">
        <f>'FSL Source'!N56</f>
        <v>Đề xuất trong phạm vi</v>
      </c>
      <c r="P56" s="4" t="str">
        <f>'FSL Source'!O56</f>
        <v>Hiệu chỉnh theo BRD 0.9</v>
      </c>
      <c r="Q56" s="4" t="str">
        <f>'FSL Source'!P56</f>
        <v>Lịch sử không thể sửa và truy vết được trước/sau của thay đổi quan trọng.</v>
      </c>
      <c r="R56" s="4">
        <f>'FSL Source'!Q56</f>
        <v>0</v>
      </c>
      <c r="S56" s="3"/>
      <c r="T56" s="3"/>
      <c r="U56" s="8"/>
      <c r="V56" s="8"/>
      <c r="W56" s="9"/>
      <c r="X56" s="9" t="str">
        <f t="shared" si="0"/>
        <v/>
      </c>
      <c r="Y56" s="3" t="s">
        <v>1860</v>
      </c>
      <c r="Z56" s="10">
        <v>0</v>
      </c>
      <c r="AA56" s="4"/>
    </row>
    <row r="57" spans="1:27" ht="25.5">
      <c r="A57" s="3" t="str">
        <f>B57&amp;"."&amp;TEXT(COUNTIF($B$5:B57,B57),"000")</f>
        <v>1.03.01.008</v>
      </c>
      <c r="B57" s="3" t="str">
        <f>IFERROR(INDEX('Work Packages'!$A$5:$A$200,MATCH(D57&amp;"|"&amp;E57,'Work Packages'!$P$5:$P$200,0)),"")</f>
        <v>1.03.01</v>
      </c>
      <c r="C57" s="3" t="str">
        <f>'FSL Source'!B57</f>
        <v>PRP-RD01-008</v>
      </c>
      <c r="D57" s="3" t="str">
        <f>'FSL Source'!C57</f>
        <v>Chủ trương &amp; Xét duyệt</v>
      </c>
      <c r="E57" s="3" t="str">
        <f>'FSL Source'!D57</f>
        <v>Xét duyệt chủ trương</v>
      </c>
      <c r="F57" s="4" t="str">
        <f>'FSL Source'!E57</f>
        <v>Nội dung đề xuất</v>
      </c>
      <c r="G57" s="4" t="str">
        <f>'FSL Source'!F57</f>
        <v>Khai báo căn cứ, mục tiêu, phạm vi và hiệu quả dự kiến</v>
      </c>
      <c r="H57" s="4" t="str">
        <f>'FSL Source'!G57</f>
        <v>Ghi nhận đầy đủ cơ sở hình thành, mục tiêu, phạm vi, sản phẩm và giá trị dự kiến của chủ trương.</v>
      </c>
      <c r="I57" s="3" t="str">
        <f>'FSL Source'!H57</f>
        <v>Người đề xuất</v>
      </c>
      <c r="J57" s="3" t="str">
        <f>'FSL Source'!I57</f>
        <v>Nghiệp vụ</v>
      </c>
      <c r="K57" s="3" t="str">
        <f>'FSL Source'!J57</f>
        <v>RD01</v>
      </c>
      <c r="L57" s="3" t="str">
        <f>'FSL Source'!K57</f>
        <v>CAP-04; CAP-08</v>
      </c>
      <c r="M57" s="3" t="str">
        <f>'FSL Source'!L57</f>
        <v>Must</v>
      </c>
      <c r="N57" s="3" t="str">
        <f>'FSL Source'!M57</f>
        <v>Pha 1</v>
      </c>
      <c r="O57" s="3" t="str">
        <f>'FSL Source'!N57</f>
        <v>Đề xuất trong phạm vi</v>
      </c>
      <c r="P57" s="4" t="str">
        <f>'FSL Source'!O57</f>
        <v>Bổ sung</v>
      </c>
      <c r="Q57" s="4">
        <f>'FSL Source'!P57</f>
        <v>0</v>
      </c>
      <c r="R57" s="4">
        <f>'FSL Source'!Q57</f>
        <v>0</v>
      </c>
      <c r="S57" s="3"/>
      <c r="T57" s="3"/>
      <c r="U57" s="8"/>
      <c r="V57" s="8"/>
      <c r="W57" s="9"/>
      <c r="X57" s="9" t="str">
        <f t="shared" si="0"/>
        <v/>
      </c>
      <c r="Y57" s="3" t="s">
        <v>1860</v>
      </c>
      <c r="Z57" s="10">
        <v>0</v>
      </c>
      <c r="AA57" s="4"/>
    </row>
    <row r="58" spans="1:27" ht="25.5">
      <c r="A58" s="3" t="str">
        <f>B58&amp;"."&amp;TEXT(COUNTIF($B$5:B58,B58),"000")</f>
        <v>1.03.01.009</v>
      </c>
      <c r="B58" s="3" t="str">
        <f>IFERROR(INDEX('Work Packages'!$A$5:$A$200,MATCH(D58&amp;"|"&amp;E58,'Work Packages'!$P$5:$P$200,0)),"")</f>
        <v>1.03.01</v>
      </c>
      <c r="C58" s="3" t="str">
        <f>'FSL Source'!B58</f>
        <v>PRP-RD01-009</v>
      </c>
      <c r="D58" s="3" t="str">
        <f>'FSL Source'!C58</f>
        <v>Chủ trương &amp; Xét duyệt</v>
      </c>
      <c r="E58" s="3" t="str">
        <f>'FSL Source'!D58</f>
        <v>Xét duyệt chủ trương</v>
      </c>
      <c r="F58" s="4" t="str">
        <f>'FSL Source'!E58</f>
        <v>Dự kiến nguồn lực</v>
      </c>
      <c r="G58" s="4" t="str">
        <f>'FSL Source'!F58</f>
        <v>Khai báo kinh phí, tiến độ và nguồn lực dự kiến</v>
      </c>
      <c r="H58" s="4" t="str">
        <f>'FSL Source'!G58</f>
        <v>Quản lý tổng mức dự kiến, nguồn vốn, thời gian và đơn vị chủ trì/phối hợp.</v>
      </c>
      <c r="I58" s="3" t="str">
        <f>'FSL Source'!H58</f>
        <v>Người đề xuất</v>
      </c>
      <c r="J58" s="3" t="str">
        <f>'FSL Source'!I58</f>
        <v>Nghiệp vụ</v>
      </c>
      <c r="K58" s="3" t="str">
        <f>'FSL Source'!J58</f>
        <v>RD01</v>
      </c>
      <c r="L58" s="3" t="str">
        <f>'FSL Source'!K58</f>
        <v>CAP-04; CAP-08</v>
      </c>
      <c r="M58" s="3" t="str">
        <f>'FSL Source'!L58</f>
        <v>Must</v>
      </c>
      <c r="N58" s="3" t="str">
        <f>'FSL Source'!M58</f>
        <v>Pha 1</v>
      </c>
      <c r="O58" s="3" t="str">
        <f>'FSL Source'!N58</f>
        <v>Đề xuất trong phạm vi</v>
      </c>
      <c r="P58" s="4" t="str">
        <f>'FSL Source'!O58</f>
        <v>Bổ sung</v>
      </c>
      <c r="Q58" s="4">
        <f>'FSL Source'!P58</f>
        <v>0</v>
      </c>
      <c r="R58" s="4">
        <f>'FSL Source'!Q58</f>
        <v>0</v>
      </c>
      <c r="S58" s="3"/>
      <c r="T58" s="3"/>
      <c r="U58" s="8"/>
      <c r="V58" s="8"/>
      <c r="W58" s="9"/>
      <c r="X58" s="9" t="str">
        <f t="shared" si="0"/>
        <v/>
      </c>
      <c r="Y58" s="3" t="s">
        <v>1860</v>
      </c>
      <c r="Z58" s="10">
        <v>0</v>
      </c>
      <c r="AA58" s="4"/>
    </row>
    <row r="59" spans="1:27" ht="38.25">
      <c r="A59" s="3" t="str">
        <f>B59&amp;"."&amp;TEXT(COUNTIF($B$5:B59,B59),"000")</f>
        <v>1.03.01.010</v>
      </c>
      <c r="B59" s="3" t="str">
        <f>IFERROR(INDEX('Work Packages'!$A$5:$A$200,MATCH(D59&amp;"|"&amp;E59,'Work Packages'!$P$5:$P$200,0)),"")</f>
        <v>1.03.01</v>
      </c>
      <c r="C59" s="3" t="str">
        <f>'FSL Source'!B59</f>
        <v>PRP-RD01-010</v>
      </c>
      <c r="D59" s="3" t="str">
        <f>'FSL Source'!C59</f>
        <v>Chủ trương &amp; Xét duyệt</v>
      </c>
      <c r="E59" s="3" t="str">
        <f>'FSL Source'!D59</f>
        <v>Xét duyệt chủ trương</v>
      </c>
      <c r="F59" s="4" t="str">
        <f>'FSL Source'!E59</f>
        <v>Kết quả</v>
      </c>
      <c r="G59" s="4" t="str">
        <f>'FSL Source'!F59</f>
        <v>Lập và ban hành quyết định chủ trương</v>
      </c>
      <c r="H59" s="4" t="str">
        <f>'FSL Source'!G59</f>
        <v>Tạo quyết định từ mẫu, thực hiện xác nhận điện tử hoặc ký số theo phương án được chốt, ban hành và cập nhật kết quả vào nhiệm vụ.</v>
      </c>
      <c r="I59" s="3" t="str">
        <f>'FSL Source'!H59</f>
        <v>Cán bộ KHCN/Lãnh đạo</v>
      </c>
      <c r="J59" s="3" t="str">
        <f>'FSL Source'!I59</f>
        <v>Workflow</v>
      </c>
      <c r="K59" s="3" t="str">
        <f>'FSL Source'!J59</f>
        <v>RD01</v>
      </c>
      <c r="L59" s="3" t="str">
        <f>'FSL Source'!K59</f>
        <v>CAP-04; CAP-08</v>
      </c>
      <c r="M59" s="3" t="str">
        <f>'FSL Source'!L59</f>
        <v>Must</v>
      </c>
      <c r="N59" s="3" t="str">
        <f>'FSL Source'!M59</f>
        <v>Pha 1</v>
      </c>
      <c r="O59" s="3" t="str">
        <f>'FSL Source'!N59</f>
        <v>Cần xác nhận</v>
      </c>
      <c r="P59" s="4" t="str">
        <f>'FSL Source'!O59</f>
        <v>Chờ chốt A2 của BRD.</v>
      </c>
      <c r="Q59" s="4">
        <f>'FSL Source'!P59</f>
        <v>0</v>
      </c>
      <c r="R59" s="4">
        <f>'FSL Source'!Q59</f>
        <v>0</v>
      </c>
      <c r="S59" s="3"/>
      <c r="T59" s="3"/>
      <c r="U59" s="8"/>
      <c r="V59" s="8"/>
      <c r="W59" s="9"/>
      <c r="X59" s="9" t="str">
        <f t="shared" si="0"/>
        <v/>
      </c>
      <c r="Y59" s="3" t="s">
        <v>1860</v>
      </c>
      <c r="Z59" s="10">
        <v>0</v>
      </c>
      <c r="AA59" s="4"/>
    </row>
    <row r="60" spans="1:27" ht="25.5">
      <c r="A60" s="3" t="str">
        <f>B60&amp;"."&amp;TEXT(COUNTIF($B$5:B60,B60),"000")</f>
        <v>1.03.02.001</v>
      </c>
      <c r="B60" s="3" t="str">
        <f>IFERROR(INDEX('Work Packages'!$A$5:$A$200,MATCH(D60&amp;"|"&amp;E60,'Work Packages'!$P$5:$P$200,0)),"")</f>
        <v>1.03.02</v>
      </c>
      <c r="C60" s="3" t="str">
        <f>'FSL Source'!B60</f>
        <v>PRP-RD02-001</v>
      </c>
      <c r="D60" s="3" t="str">
        <f>'FSL Source'!C60</f>
        <v>Chủ trương &amp; Xét duyệt</v>
      </c>
      <c r="E60" s="3" t="str">
        <f>'FSL Source'!D60</f>
        <v>Xét duyệt nhiệm vụ</v>
      </c>
      <c r="F60" s="4" t="str">
        <f>'FSL Source'!E60</f>
        <v>Hồ sơ xét duyệt nhiệm vụ</v>
      </c>
      <c r="G60" s="4" t="str">
        <f>'FSL Source'!F60</f>
        <v>Xem danh sách Hồ sơ xét duyệt nhiệm vụ</v>
      </c>
      <c r="H60" s="4" t="str">
        <f>'FSL Source'!G60</f>
        <v>Tra cứu danh sách, phân trang, sắp xếp và lọc Hồ sơ xét duyệt nhiệm vụ theo các tiêu chí nghiệp vụ.</v>
      </c>
      <c r="I60" s="3" t="str">
        <f>'FSL Source'!H60</f>
        <v>Chủ nhiệm/Cán bộ KHCN</v>
      </c>
      <c r="J60" s="3" t="str">
        <f>'FSL Source'!I60</f>
        <v>Nghiệp vụ</v>
      </c>
      <c r="K60" s="3" t="str">
        <f>'FSL Source'!J60</f>
        <v>RD02.01/RD02.02</v>
      </c>
      <c r="L60" s="3" t="str">
        <f>'FSL Source'!K60</f>
        <v>CAP-04; CAP-08</v>
      </c>
      <c r="M60" s="3" t="str">
        <f>'FSL Source'!L60</f>
        <v>Must</v>
      </c>
      <c r="N60" s="3" t="str">
        <f>'FSL Source'!M60</f>
        <v>Pha 1</v>
      </c>
      <c r="O60" s="3" t="str">
        <f>'FSL Source'!N60</f>
        <v>Đề xuất trong phạm vi</v>
      </c>
      <c r="P60" s="4" t="str">
        <f>'FSL Source'!O60</f>
        <v>Hiệu chỉnh theo BRD 0.9</v>
      </c>
      <c r="Q60" s="4" t="str">
        <f>'FSL Source'!P60</f>
        <v>Danh sách hiển thị đúng phạm vi dữ liệu và hỗ trợ lọc/xuất theo quyền.</v>
      </c>
      <c r="R60" s="4">
        <f>'FSL Source'!Q60</f>
        <v>0</v>
      </c>
      <c r="S60" s="3"/>
      <c r="T60" s="3"/>
      <c r="U60" s="8"/>
      <c r="V60" s="8"/>
      <c r="W60" s="9"/>
      <c r="X60" s="9" t="str">
        <f t="shared" si="0"/>
        <v/>
      </c>
      <c r="Y60" s="3" t="s">
        <v>1860</v>
      </c>
      <c r="Z60" s="10">
        <v>0</v>
      </c>
      <c r="AA60" s="4"/>
    </row>
    <row r="61" spans="1:27" ht="25.5">
      <c r="A61" s="3" t="str">
        <f>B61&amp;"."&amp;TEXT(COUNTIF($B$5:B61,B61),"000")</f>
        <v>1.03.02.002</v>
      </c>
      <c r="B61" s="3" t="str">
        <f>IFERROR(INDEX('Work Packages'!$A$5:$A$200,MATCH(D61&amp;"|"&amp;E61,'Work Packages'!$P$5:$P$200,0)),"")</f>
        <v>1.03.02</v>
      </c>
      <c r="C61" s="3" t="str">
        <f>'FSL Source'!B61</f>
        <v>PRP-RD02-002</v>
      </c>
      <c r="D61" s="3" t="str">
        <f>'FSL Source'!C61</f>
        <v>Chủ trương &amp; Xét duyệt</v>
      </c>
      <c r="E61" s="3" t="str">
        <f>'FSL Source'!D61</f>
        <v>Xét duyệt nhiệm vụ</v>
      </c>
      <c r="F61" s="4" t="str">
        <f>'FSL Source'!E61</f>
        <v>Hồ sơ xét duyệt nhiệm vụ</v>
      </c>
      <c r="G61" s="4" t="str">
        <f>'FSL Source'!F61</f>
        <v>Tạo mới Hồ sơ xét duyệt nhiệm vụ</v>
      </c>
      <c r="H61" s="4" t="str">
        <f>'FSL Source'!G61</f>
        <v>Khởi tạo Hồ sơ xét duyệt nhiệm vụ, kiểm tra dữ liệu bắt buộc và lưu nháp trước khi hoàn tất.</v>
      </c>
      <c r="I61" s="3" t="str">
        <f>'FSL Source'!H61</f>
        <v>Chủ nhiệm/Cán bộ KHCN</v>
      </c>
      <c r="J61" s="3" t="str">
        <f>'FSL Source'!I61</f>
        <v>Nghiệp vụ</v>
      </c>
      <c r="K61" s="3" t="str">
        <f>'FSL Source'!J61</f>
        <v>RD02.01/RD02.02</v>
      </c>
      <c r="L61" s="3" t="str">
        <f>'FSL Source'!K61</f>
        <v>CAP-04; CAP-08</v>
      </c>
      <c r="M61" s="3" t="str">
        <f>'FSL Source'!L61</f>
        <v>Must</v>
      </c>
      <c r="N61" s="3" t="str">
        <f>'FSL Source'!M61</f>
        <v>Pha 1</v>
      </c>
      <c r="O61" s="3" t="str">
        <f>'FSL Source'!N61</f>
        <v>Đề xuất trong phạm vi</v>
      </c>
      <c r="P61" s="4" t="str">
        <f>'FSL Source'!O61</f>
        <v>Hiệu chỉnh theo BRD 0.9</v>
      </c>
      <c r="Q61" s="4" t="str">
        <f>'FSL Source'!P61</f>
        <v>Dữ liệu hợp lệ được lưu; lỗi validation hiển thị tại trường tương ứng.</v>
      </c>
      <c r="R61" s="4">
        <f>'FSL Source'!Q61</f>
        <v>0</v>
      </c>
      <c r="S61" s="3"/>
      <c r="T61" s="3"/>
      <c r="U61" s="8"/>
      <c r="V61" s="8"/>
      <c r="W61" s="9"/>
      <c r="X61" s="9" t="str">
        <f t="shared" si="0"/>
        <v/>
      </c>
      <c r="Y61" s="3" t="s">
        <v>1860</v>
      </c>
      <c r="Z61" s="10">
        <v>0</v>
      </c>
      <c r="AA61" s="4"/>
    </row>
    <row r="62" spans="1:27" ht="38.25">
      <c r="A62" s="3" t="str">
        <f>B62&amp;"."&amp;TEXT(COUNTIF($B$5:B62,B62),"000")</f>
        <v>1.03.02.003</v>
      </c>
      <c r="B62" s="3" t="str">
        <f>IFERROR(INDEX('Work Packages'!$A$5:$A$200,MATCH(D62&amp;"|"&amp;E62,'Work Packages'!$P$5:$P$200,0)),"")</f>
        <v>1.03.02</v>
      </c>
      <c r="C62" s="3" t="str">
        <f>'FSL Source'!B62</f>
        <v>PRP-RD02-003</v>
      </c>
      <c r="D62" s="3" t="str">
        <f>'FSL Source'!C62</f>
        <v>Chủ trương &amp; Xét duyệt</v>
      </c>
      <c r="E62" s="3" t="str">
        <f>'FSL Source'!D62</f>
        <v>Xét duyệt nhiệm vụ</v>
      </c>
      <c r="F62" s="4" t="str">
        <f>'FSL Source'!E62</f>
        <v>Hồ sơ xét duyệt nhiệm vụ</v>
      </c>
      <c r="G62" s="4" t="str">
        <f>'FSL Source'!F62</f>
        <v>Xem chi tiết Hồ sơ xét duyệt nhiệm vụ</v>
      </c>
      <c r="H62" s="4" t="str">
        <f>'FSL Source'!G62</f>
        <v>Hiển thị thông tin tổng quan, dữ liệu chi tiết, tài liệu liên quan và trạng thái của Hồ sơ xét duyệt nhiệm vụ.</v>
      </c>
      <c r="I62" s="3" t="str">
        <f>'FSL Source'!H62</f>
        <v>Chủ nhiệm/Cán bộ KHCN</v>
      </c>
      <c r="J62" s="3" t="str">
        <f>'FSL Source'!I62</f>
        <v>Nghiệp vụ</v>
      </c>
      <c r="K62" s="3" t="str">
        <f>'FSL Source'!J62</f>
        <v>RD02.01/RD02.02</v>
      </c>
      <c r="L62" s="3" t="str">
        <f>'FSL Source'!K62</f>
        <v>CAP-04; CAP-08</v>
      </c>
      <c r="M62" s="3" t="str">
        <f>'FSL Source'!L62</f>
        <v>Must</v>
      </c>
      <c r="N62" s="3" t="str">
        <f>'FSL Source'!M62</f>
        <v>Pha 1</v>
      </c>
      <c r="O62" s="3" t="str">
        <f>'FSL Source'!N62</f>
        <v>Đề xuất trong phạm vi</v>
      </c>
      <c r="P62" s="4" t="str">
        <f>'FSL Source'!O62</f>
        <v>Hiệu chỉnh theo BRD 0.9</v>
      </c>
      <c r="Q62" s="4" t="str">
        <f>'FSL Source'!P62</f>
        <v>Thông tin hiển thị đúng phiên bản và quyền truy cập.</v>
      </c>
      <c r="R62" s="4">
        <f>'FSL Source'!Q62</f>
        <v>0</v>
      </c>
      <c r="S62" s="3"/>
      <c r="T62" s="3"/>
      <c r="U62" s="8"/>
      <c r="V62" s="8"/>
      <c r="W62" s="9"/>
      <c r="X62" s="9" t="str">
        <f t="shared" si="0"/>
        <v/>
      </c>
      <c r="Y62" s="3" t="s">
        <v>1860</v>
      </c>
      <c r="Z62" s="10">
        <v>0</v>
      </c>
      <c r="AA62" s="4"/>
    </row>
    <row r="63" spans="1:27" ht="38.25">
      <c r="A63" s="3" t="str">
        <f>B63&amp;"."&amp;TEXT(COUNTIF($B$5:B63,B63),"000")</f>
        <v>1.03.02.004</v>
      </c>
      <c r="B63" s="3" t="str">
        <f>IFERROR(INDEX('Work Packages'!$A$5:$A$200,MATCH(D63&amp;"|"&amp;E63,'Work Packages'!$P$5:$P$200,0)),"")</f>
        <v>1.03.02</v>
      </c>
      <c r="C63" s="3" t="str">
        <f>'FSL Source'!B63</f>
        <v>PRP-RD02-004</v>
      </c>
      <c r="D63" s="3" t="str">
        <f>'FSL Source'!C63</f>
        <v>Chủ trương &amp; Xét duyệt</v>
      </c>
      <c r="E63" s="3" t="str">
        <f>'FSL Source'!D63</f>
        <v>Xét duyệt nhiệm vụ</v>
      </c>
      <c r="F63" s="4" t="str">
        <f>'FSL Source'!E63</f>
        <v>Hồ sơ xét duyệt nhiệm vụ</v>
      </c>
      <c r="G63" s="4" t="str">
        <f>'FSL Source'!F63</f>
        <v>Chỉnh sửa Hồ sơ xét duyệt nhiệm vụ</v>
      </c>
      <c r="H63" s="4" t="str">
        <f>'FSL Source'!G63</f>
        <v>Cập nhật Hồ sơ xét duyệt nhiệm vụ khi trạng thái và quyền người dùng cho phép; kiểm soát xung đột cập nhật.</v>
      </c>
      <c r="I63" s="3" t="str">
        <f>'FSL Source'!H63</f>
        <v>Chủ nhiệm/Cán bộ KHCN</v>
      </c>
      <c r="J63" s="3" t="str">
        <f>'FSL Source'!I63</f>
        <v>Nghiệp vụ</v>
      </c>
      <c r="K63" s="3" t="str">
        <f>'FSL Source'!J63</f>
        <v>RD02.01/RD02.02</v>
      </c>
      <c r="L63" s="3" t="str">
        <f>'FSL Source'!K63</f>
        <v>CAP-04; CAP-08</v>
      </c>
      <c r="M63" s="3" t="str">
        <f>'FSL Source'!L63</f>
        <v>Must</v>
      </c>
      <c r="N63" s="3" t="str">
        <f>'FSL Source'!M63</f>
        <v>Pha 1</v>
      </c>
      <c r="O63" s="3" t="str">
        <f>'FSL Source'!N63</f>
        <v>Đề xuất trong phạm vi</v>
      </c>
      <c r="P63" s="4" t="str">
        <f>'FSL Source'!O63</f>
        <v>Hiệu chỉnh theo BRD 0.9</v>
      </c>
      <c r="Q63" s="4" t="str">
        <f>'FSL Source'!P63</f>
        <v>Chỉ trường được phép sửa có hiệu lực và thay đổi được ghi lịch sử.</v>
      </c>
      <c r="R63" s="4">
        <f>'FSL Source'!Q63</f>
        <v>0</v>
      </c>
      <c r="S63" s="3"/>
      <c r="T63" s="3"/>
      <c r="U63" s="8"/>
      <c r="V63" s="8"/>
      <c r="W63" s="9"/>
      <c r="X63" s="9" t="str">
        <f t="shared" si="0"/>
        <v/>
      </c>
      <c r="Y63" s="3" t="s">
        <v>1860</v>
      </c>
      <c r="Z63" s="10">
        <v>0</v>
      </c>
      <c r="AA63" s="4"/>
    </row>
    <row r="64" spans="1:27" ht="25.5">
      <c r="A64" s="3" t="str">
        <f>B64&amp;"."&amp;TEXT(COUNTIF($B$5:B64,B64),"000")</f>
        <v>1.03.02.005</v>
      </c>
      <c r="B64" s="3" t="str">
        <f>IFERROR(INDEX('Work Packages'!$A$5:$A$200,MATCH(D64&amp;"|"&amp;E64,'Work Packages'!$P$5:$P$200,0)),"")</f>
        <v>1.03.02</v>
      </c>
      <c r="C64" s="3" t="str">
        <f>'FSL Source'!B64</f>
        <v>PRP-RD02-005</v>
      </c>
      <c r="D64" s="3" t="str">
        <f>'FSL Source'!C64</f>
        <v>Chủ trương &amp; Xét duyệt</v>
      </c>
      <c r="E64" s="3" t="str">
        <f>'FSL Source'!D64</f>
        <v>Xét duyệt nhiệm vụ</v>
      </c>
      <c r="F64" s="4" t="str">
        <f>'FSL Source'!E64</f>
        <v>Hồ sơ xét duyệt nhiệm vụ</v>
      </c>
      <c r="G64" s="4" t="str">
        <f>'FSL Source'!F64</f>
        <v>Xóa/Ngừng sử dụng Hồ sơ xét duyệt nhiệm vụ</v>
      </c>
      <c r="H64" s="4" t="str">
        <f>'FSL Source'!G64</f>
        <v>Xóa logic hoặc ngừng sử dụng Hồ sơ xét duyệt nhiệm vụ sau khi kiểm tra ràng buộc tham chiếu.</v>
      </c>
      <c r="I64" s="3" t="str">
        <f>'FSL Source'!H64</f>
        <v>Quản trị/Cán bộ nghiệp vụ</v>
      </c>
      <c r="J64" s="3" t="str">
        <f>'FSL Source'!I64</f>
        <v>Nghiệp vụ</v>
      </c>
      <c r="K64" s="3" t="str">
        <f>'FSL Source'!J64</f>
        <v>RD02.01/RD02.02</v>
      </c>
      <c r="L64" s="3" t="str">
        <f>'FSL Source'!K64</f>
        <v>CAP-04; CAP-08</v>
      </c>
      <c r="M64" s="3" t="str">
        <f>'FSL Source'!L64</f>
        <v>Should</v>
      </c>
      <c r="N64" s="3" t="str">
        <f>'FSL Source'!M64</f>
        <v>Pha 1</v>
      </c>
      <c r="O64" s="3" t="str">
        <f>'FSL Source'!N64</f>
        <v>Đề xuất trong phạm vi</v>
      </c>
      <c r="P64" s="4" t="str">
        <f>'FSL Source'!O64</f>
        <v>Hiệu chỉnh theo BRD 0.9</v>
      </c>
      <c r="Q64" s="4" t="str">
        <f>'FSL Source'!P64</f>
        <v>Không xóa vật lý dữ liệu đã phát sinh giao dịch; cảnh báo rõ quan hệ phụ thuộc.</v>
      </c>
      <c r="R64" s="4">
        <f>'FSL Source'!Q64</f>
        <v>0</v>
      </c>
      <c r="S64" s="3"/>
      <c r="T64" s="3"/>
      <c r="U64" s="8"/>
      <c r="V64" s="8"/>
      <c r="W64" s="9"/>
      <c r="X64" s="9" t="str">
        <f t="shared" si="0"/>
        <v/>
      </c>
      <c r="Y64" s="3" t="s">
        <v>1860</v>
      </c>
      <c r="Z64" s="10">
        <v>0</v>
      </c>
      <c r="AA64" s="4"/>
    </row>
    <row r="65" spans="1:27" ht="38.25">
      <c r="A65" s="3" t="str">
        <f>B65&amp;"."&amp;TEXT(COUNTIF($B$5:B65,B65),"000")</f>
        <v>1.03.02.006</v>
      </c>
      <c r="B65" s="3" t="str">
        <f>IFERROR(INDEX('Work Packages'!$A$5:$A$200,MATCH(D65&amp;"|"&amp;E65,'Work Packages'!$P$5:$P$200,0)),"")</f>
        <v>1.03.02</v>
      </c>
      <c r="C65" s="3" t="str">
        <f>'FSL Source'!B65</f>
        <v>PRP-RD02-006</v>
      </c>
      <c r="D65" s="3" t="str">
        <f>'FSL Source'!C65</f>
        <v>Chủ trương &amp; Xét duyệt</v>
      </c>
      <c r="E65" s="3" t="str">
        <f>'FSL Source'!D65</f>
        <v>Xét duyệt nhiệm vụ</v>
      </c>
      <c r="F65" s="4" t="str">
        <f>'FSL Source'!E65</f>
        <v>Hồ sơ xét duyệt nhiệm vụ</v>
      </c>
      <c r="G65" s="4" t="str">
        <f>'FSL Source'!F65</f>
        <v>Trình duyệt Hồ sơ xét duyệt nhiệm vụ</v>
      </c>
      <c r="H65" s="4" t="str">
        <f>'FSL Source'!G65</f>
        <v>Kiểm tra điều kiện, khóa phiên bản trình và khởi tạo/tiếp tục quy trình phê duyệt Hồ sơ xét duyệt nhiệm vụ.</v>
      </c>
      <c r="I65" s="3" t="str">
        <f>'FSL Source'!H65</f>
        <v>Người lập/Chủ nhiệm nhiệm vụ</v>
      </c>
      <c r="J65" s="3" t="str">
        <f>'FSL Source'!I65</f>
        <v>Workflow</v>
      </c>
      <c r="K65" s="3" t="str">
        <f>'FSL Source'!J65</f>
        <v>RD02.01/RD02.02</v>
      </c>
      <c r="L65" s="3" t="str">
        <f>'FSL Source'!K65</f>
        <v>CAP-04; CAP-08</v>
      </c>
      <c r="M65" s="3" t="str">
        <f>'FSL Source'!L65</f>
        <v>Must</v>
      </c>
      <c r="N65" s="3" t="str">
        <f>'FSL Source'!M65</f>
        <v>Pha 1</v>
      </c>
      <c r="O65" s="3" t="str">
        <f>'FSL Source'!N65</f>
        <v>Đề xuất trong phạm vi</v>
      </c>
      <c r="P65" s="4" t="str">
        <f>'FSL Source'!O65</f>
        <v>Hiệu chỉnh theo BRD 0.9</v>
      </c>
      <c r="Q65" s="4" t="str">
        <f>'FSL Source'!P65</f>
        <v>Tạo đúng process instance, business key và task đầu tiên; không submit trùng.</v>
      </c>
      <c r="R65" s="4">
        <f>'FSL Source'!Q65</f>
        <v>0</v>
      </c>
      <c r="S65" s="3"/>
      <c r="T65" s="3"/>
      <c r="U65" s="8"/>
      <c r="V65" s="8"/>
      <c r="W65" s="9"/>
      <c r="X65" s="9" t="str">
        <f t="shared" si="0"/>
        <v/>
      </c>
      <c r="Y65" s="3" t="s">
        <v>1860</v>
      </c>
      <c r="Z65" s="10">
        <v>0</v>
      </c>
      <c r="AA65" s="4"/>
    </row>
    <row r="66" spans="1:27" ht="25.5">
      <c r="A66" s="3" t="str">
        <f>B66&amp;"."&amp;TEXT(COUNTIF($B$5:B66,B66),"000")</f>
        <v>1.03.02.007</v>
      </c>
      <c r="B66" s="3" t="str">
        <f>IFERROR(INDEX('Work Packages'!$A$5:$A$200,MATCH(D66&amp;"|"&amp;E66,'Work Packages'!$P$5:$P$200,0)),"")</f>
        <v>1.03.02</v>
      </c>
      <c r="C66" s="3" t="str">
        <f>'FSL Source'!B66</f>
        <v>PRP-RD02-007</v>
      </c>
      <c r="D66" s="3" t="str">
        <f>'FSL Source'!C66</f>
        <v>Chủ trương &amp; Xét duyệt</v>
      </c>
      <c r="E66" s="3" t="str">
        <f>'FSL Source'!D66</f>
        <v>Xét duyệt nhiệm vụ</v>
      </c>
      <c r="F66" s="4" t="str">
        <f>'FSL Source'!E66</f>
        <v>Hồ sơ xét duyệt nhiệm vụ</v>
      </c>
      <c r="G66" s="4" t="str">
        <f>'FSL Source'!F66</f>
        <v>Xem lịch sử Hồ sơ xét duyệt nhiệm vụ</v>
      </c>
      <c r="H66" s="4" t="str">
        <f>'FSL Source'!G66</f>
        <v>Theo dõi phiên bản, thay đổi dữ liệu, người thực hiện và lịch sử xử lý của Hồ sơ xét duyệt nhiệm vụ.</v>
      </c>
      <c r="I66" s="3" t="str">
        <f>'FSL Source'!H66</f>
        <v>Cán bộ nghiệp vụ/Quản trị</v>
      </c>
      <c r="J66" s="3" t="str">
        <f>'FSL Source'!I66</f>
        <v>Audit</v>
      </c>
      <c r="K66" s="3" t="str">
        <f>'FSL Source'!J66</f>
        <v>RD02.01/RD02.02</v>
      </c>
      <c r="L66" s="3" t="str">
        <f>'FSL Source'!K66</f>
        <v>CAP-04; CAP-08</v>
      </c>
      <c r="M66" s="3" t="str">
        <f>'FSL Source'!L66</f>
        <v>Must</v>
      </c>
      <c r="N66" s="3" t="str">
        <f>'FSL Source'!M66</f>
        <v>Pha 1</v>
      </c>
      <c r="O66" s="3" t="str">
        <f>'FSL Source'!N66</f>
        <v>Đề xuất trong phạm vi</v>
      </c>
      <c r="P66" s="4" t="str">
        <f>'FSL Source'!O66</f>
        <v>Hiệu chỉnh theo BRD 0.9</v>
      </c>
      <c r="Q66" s="4" t="str">
        <f>'FSL Source'!P66</f>
        <v>Lịch sử không thể sửa và truy vết được trước/sau của thay đổi quan trọng.</v>
      </c>
      <c r="R66" s="4">
        <f>'FSL Source'!Q66</f>
        <v>0</v>
      </c>
      <c r="S66" s="3"/>
      <c r="T66" s="3"/>
      <c r="U66" s="8"/>
      <c r="V66" s="8"/>
      <c r="W66" s="9"/>
      <c r="X66" s="9" t="str">
        <f t="shared" si="0"/>
        <v/>
      </c>
      <c r="Y66" s="3" t="s">
        <v>1860</v>
      </c>
      <c r="Z66" s="10">
        <v>0</v>
      </c>
      <c r="AA66" s="4"/>
    </row>
    <row r="67" spans="1:27" ht="25.5">
      <c r="A67" s="3" t="str">
        <f>B67&amp;"."&amp;TEXT(COUNTIF($B$5:B67,B67),"000")</f>
        <v>1.03.02.008</v>
      </c>
      <c r="B67" s="3" t="str">
        <f>IFERROR(INDEX('Work Packages'!$A$5:$A$200,MATCH(D67&amp;"|"&amp;E67,'Work Packages'!$P$5:$P$200,0)),"")</f>
        <v>1.03.02</v>
      </c>
      <c r="C67" s="3" t="str">
        <f>'FSL Source'!B67</f>
        <v>PRP-RD02-008</v>
      </c>
      <c r="D67" s="3" t="str">
        <f>'FSL Source'!C67</f>
        <v>Chủ trương &amp; Xét duyệt</v>
      </c>
      <c r="E67" s="3" t="str">
        <f>'FSL Source'!D67</f>
        <v>Xét duyệt nhiệm vụ</v>
      </c>
      <c r="F67" s="4" t="str">
        <f>'FSL Source'!E67</f>
        <v>Thuyết minh</v>
      </c>
      <c r="G67" s="4" t="str">
        <f>'FSL Source'!F67</f>
        <v>Lập thuyết minh nhiệm vụ</v>
      </c>
      <c r="H67" s="4" t="str">
        <f>'FSL Source'!G67</f>
        <v>Quản lý mục tiêu, nội dung nghiên cứu, phương pháp, sản phẩm, kế hoạch và tổ chức thực hiện.</v>
      </c>
      <c r="I67" s="3" t="str">
        <f>'FSL Source'!H67</f>
        <v>Chủ nhiệm nhiệm vụ</v>
      </c>
      <c r="J67" s="3" t="str">
        <f>'FSL Source'!I67</f>
        <v>Nghiệp vụ</v>
      </c>
      <c r="K67" s="3" t="str">
        <f>'FSL Source'!J67</f>
        <v>RD02</v>
      </c>
      <c r="L67" s="3" t="str">
        <f>'FSL Source'!K67</f>
        <v>CAP-04; CAP-08</v>
      </c>
      <c r="M67" s="3" t="str">
        <f>'FSL Source'!L67</f>
        <v>Must</v>
      </c>
      <c r="N67" s="3" t="str">
        <f>'FSL Source'!M67</f>
        <v>Pha 1</v>
      </c>
      <c r="O67" s="3" t="str">
        <f>'FSL Source'!N67</f>
        <v>Đề xuất trong phạm vi</v>
      </c>
      <c r="P67" s="4" t="str">
        <f>'FSL Source'!O67</f>
        <v>Bổ sung</v>
      </c>
      <c r="Q67" s="4">
        <f>'FSL Source'!P67</f>
        <v>0</v>
      </c>
      <c r="R67" s="4">
        <f>'FSL Source'!Q67</f>
        <v>0</v>
      </c>
      <c r="S67" s="3"/>
      <c r="T67" s="3"/>
      <c r="U67" s="8"/>
      <c r="V67" s="8"/>
      <c r="W67" s="9"/>
      <c r="X67" s="9" t="str">
        <f t="shared" si="0"/>
        <v/>
      </c>
      <c r="Y67" s="3" t="s">
        <v>1860</v>
      </c>
      <c r="Z67" s="10">
        <v>0</v>
      </c>
      <c r="AA67" s="4"/>
    </row>
    <row r="68" spans="1:27" ht="25.5">
      <c r="A68" s="3" t="str">
        <f>B68&amp;"."&amp;TEXT(COUNTIF($B$5:B68,B68),"000")</f>
        <v>1.03.02.009</v>
      </c>
      <c r="B68" s="3" t="str">
        <f>IFERROR(INDEX('Work Packages'!$A$5:$A$200,MATCH(D68&amp;"|"&amp;E68,'Work Packages'!$P$5:$P$200,0)),"")</f>
        <v>1.03.02</v>
      </c>
      <c r="C68" s="3" t="str">
        <f>'FSL Source'!B68</f>
        <v>PRP-RD02-009</v>
      </c>
      <c r="D68" s="3" t="str">
        <f>'FSL Source'!C68</f>
        <v>Chủ trương &amp; Xét duyệt</v>
      </c>
      <c r="E68" s="3" t="str">
        <f>'FSL Source'!D68</f>
        <v>Xét duyệt nhiệm vụ</v>
      </c>
      <c r="F68" s="4" t="str">
        <f>'FSL Source'!E68</f>
        <v>Dự toán</v>
      </c>
      <c r="G68" s="4" t="str">
        <f>'FSL Source'!F68</f>
        <v>Lập và thẩm định dự toán</v>
      </c>
      <c r="H68" s="4" t="str">
        <f>'FSL Source'!G68</f>
        <v>Khai báo khoản mục, nguồn kinh phí, năm thực hiện; kiểm tra định mức và tổng hợp thẩm định.</v>
      </c>
      <c r="I68" s="3" t="str">
        <f>'FSL Source'!H68</f>
        <v>Chủ nhiệm/Tài chính/Cán bộ KHCN</v>
      </c>
      <c r="J68" s="3" t="str">
        <f>'FSL Source'!I68</f>
        <v>Nghiệp vụ</v>
      </c>
      <c r="K68" s="3" t="str">
        <f>'FSL Source'!J68</f>
        <v>RD02</v>
      </c>
      <c r="L68" s="3" t="str">
        <f>'FSL Source'!K68</f>
        <v>CAP-04; CAP-08</v>
      </c>
      <c r="M68" s="3" t="str">
        <f>'FSL Source'!L68</f>
        <v>Must</v>
      </c>
      <c r="N68" s="3" t="str">
        <f>'FSL Source'!M68</f>
        <v>Pha 1</v>
      </c>
      <c r="O68" s="3" t="str">
        <f>'FSL Source'!N68</f>
        <v>Đề xuất trong phạm vi</v>
      </c>
      <c r="P68" s="4" t="str">
        <f>'FSL Source'!O68</f>
        <v>Bổ sung</v>
      </c>
      <c r="Q68" s="4">
        <f>'FSL Source'!P68</f>
        <v>0</v>
      </c>
      <c r="R68" s="4">
        <f>'FSL Source'!Q68</f>
        <v>0</v>
      </c>
      <c r="S68" s="3"/>
      <c r="T68" s="3"/>
      <c r="U68" s="8"/>
      <c r="V68" s="8"/>
      <c r="W68" s="9"/>
      <c r="X68" s="9" t="str">
        <f t="shared" si="0"/>
        <v/>
      </c>
      <c r="Y68" s="3" t="s">
        <v>1860</v>
      </c>
      <c r="Z68" s="10">
        <v>0</v>
      </c>
      <c r="AA68" s="4"/>
    </row>
    <row r="69" spans="1:27" ht="25.5">
      <c r="A69" s="3" t="str">
        <f>B69&amp;"."&amp;TEXT(COUNTIF($B$5:B69,B69),"000")</f>
        <v>1.03.02.010</v>
      </c>
      <c r="B69" s="3" t="str">
        <f>IFERROR(INDEX('Work Packages'!$A$5:$A$200,MATCH(D69&amp;"|"&amp;E69,'Work Packages'!$P$5:$P$200,0)),"")</f>
        <v>1.03.02</v>
      </c>
      <c r="C69" s="3" t="str">
        <f>'FSL Source'!B69</f>
        <v>PRP-RD02-010</v>
      </c>
      <c r="D69" s="3" t="str">
        <f>'FSL Source'!C69</f>
        <v>Chủ trương &amp; Xét duyệt</v>
      </c>
      <c r="E69" s="3" t="str">
        <f>'FSL Source'!D69</f>
        <v>Xét duyệt nhiệm vụ</v>
      </c>
      <c r="F69" s="4" t="str">
        <f>'FSL Source'!E69</f>
        <v>Thẩm định</v>
      </c>
      <c r="G69" s="4" t="str">
        <f>'FSL Source'!F69</f>
        <v>Phân công thẩm định và tổng hợp ý kiến</v>
      </c>
      <c r="H69" s="4" t="str">
        <f>'FSL Source'!G69</f>
        <v>Phân công chuyên gia/đơn vị, thu nhận ý kiến, yêu cầu bổ sung và tổng hợp kết quả.</v>
      </c>
      <c r="I69" s="3" t="str">
        <f>'FSL Source'!H69</f>
        <v>Cán bộ KHCN/Chuyên gia</v>
      </c>
      <c r="J69" s="3" t="str">
        <f>'FSL Source'!I69</f>
        <v>Workflow</v>
      </c>
      <c r="K69" s="3" t="str">
        <f>'FSL Source'!J69</f>
        <v>RD02</v>
      </c>
      <c r="L69" s="3" t="str">
        <f>'FSL Source'!K69</f>
        <v>CAP-04; CAP-08</v>
      </c>
      <c r="M69" s="3" t="str">
        <f>'FSL Source'!L69</f>
        <v>Must</v>
      </c>
      <c r="N69" s="3" t="str">
        <f>'FSL Source'!M69</f>
        <v>Pha 1</v>
      </c>
      <c r="O69" s="3" t="str">
        <f>'FSL Source'!N69</f>
        <v>Đề xuất trong phạm vi</v>
      </c>
      <c r="P69" s="4" t="str">
        <f>'FSL Source'!O69</f>
        <v>Bổ sung</v>
      </c>
      <c r="Q69" s="4">
        <f>'FSL Source'!P69</f>
        <v>0</v>
      </c>
      <c r="R69" s="4">
        <f>'FSL Source'!Q69</f>
        <v>0</v>
      </c>
      <c r="S69" s="3"/>
      <c r="T69" s="3"/>
      <c r="U69" s="8"/>
      <c r="V69" s="8"/>
      <c r="W69" s="9"/>
      <c r="X69" s="9" t="str">
        <f t="shared" ref="X69:X132" si="1">IF(OR(W69="",V69=""),"",WORKDAY(W69,V69-1))</f>
        <v/>
      </c>
      <c r="Y69" s="3" t="s">
        <v>1860</v>
      </c>
      <c r="Z69" s="10">
        <v>0</v>
      </c>
      <c r="AA69" s="4"/>
    </row>
    <row r="70" spans="1:27" ht="38.25">
      <c r="A70" s="3" t="str">
        <f>B70&amp;"."&amp;TEXT(COUNTIF($B$5:B70,B70),"000")</f>
        <v>1.03.02.011</v>
      </c>
      <c r="B70" s="3" t="str">
        <f>IFERROR(INDEX('Work Packages'!$A$5:$A$200,MATCH(D70&amp;"|"&amp;E70,'Work Packages'!$P$5:$P$200,0)),"")</f>
        <v>1.03.02</v>
      </c>
      <c r="C70" s="3" t="str">
        <f>'FSL Source'!B70</f>
        <v>PRP-RD02-011</v>
      </c>
      <c r="D70" s="3" t="str">
        <f>'FSL Source'!C70</f>
        <v>Chủ trương &amp; Xét duyệt</v>
      </c>
      <c r="E70" s="3" t="str">
        <f>'FSL Source'!D70</f>
        <v>Xét duyệt nhiệm vụ</v>
      </c>
      <c r="F70" s="4" t="str">
        <f>'FSL Source'!E70</f>
        <v>Kết quả</v>
      </c>
      <c r="G70" s="4" t="str">
        <f>'FSL Source'!F70</f>
        <v>Ban hành quyết định giao nhiệm vụ</v>
      </c>
      <c r="H70" s="4" t="str">
        <f>'FSL Source'!G70</f>
        <v>Sinh quyết định từ kết quả duyệt, thực hiện xác nhận điện tử hoặc ký số theo phương án được chốt, cấp mã và kích hoạt giai đoạn thực hiện.</v>
      </c>
      <c r="I70" s="3" t="str">
        <f>'FSL Source'!H70</f>
        <v>Cán bộ KHCN/Lãnh đạo</v>
      </c>
      <c r="J70" s="3" t="str">
        <f>'FSL Source'!I70</f>
        <v>Workflow</v>
      </c>
      <c r="K70" s="3" t="str">
        <f>'FSL Source'!J70</f>
        <v>RD02</v>
      </c>
      <c r="L70" s="3" t="str">
        <f>'FSL Source'!K70</f>
        <v>CAP-04; CAP-08</v>
      </c>
      <c r="M70" s="3" t="str">
        <f>'FSL Source'!L70</f>
        <v>Must</v>
      </c>
      <c r="N70" s="3" t="str">
        <f>'FSL Source'!M70</f>
        <v>Pha 1</v>
      </c>
      <c r="O70" s="3" t="str">
        <f>'FSL Source'!N70</f>
        <v>Cần xác nhận</v>
      </c>
      <c r="P70" s="4" t="str">
        <f>'FSL Source'!O70</f>
        <v>Chờ chốt A2 của BRD.</v>
      </c>
      <c r="Q70" s="4">
        <f>'FSL Source'!P70</f>
        <v>0</v>
      </c>
      <c r="R70" s="4">
        <f>'FSL Source'!Q70</f>
        <v>0</v>
      </c>
      <c r="S70" s="3"/>
      <c r="T70" s="3"/>
      <c r="U70" s="8"/>
      <c r="V70" s="8"/>
      <c r="W70" s="9"/>
      <c r="X70" s="9" t="str">
        <f t="shared" si="1"/>
        <v/>
      </c>
      <c r="Y70" s="3" t="s">
        <v>1860</v>
      </c>
      <c r="Z70" s="10">
        <v>0</v>
      </c>
      <c r="AA70" s="4"/>
    </row>
    <row r="71" spans="1:27" ht="38.25">
      <c r="A71" s="3" t="str">
        <f>B71&amp;"."&amp;TEXT(COUNTIF($B$5:B71,B71),"000")</f>
        <v>1.04.01.001</v>
      </c>
      <c r="B71" s="3" t="str">
        <f>IFERROR(INDEX('Work Packages'!$A$5:$A$200,MATCH(D71&amp;"|"&amp;E71,'Work Packages'!$P$5:$P$200,0)),"")</f>
        <v>1.04.01</v>
      </c>
      <c r="C71" s="3" t="str">
        <f>'FSL Source'!B71</f>
        <v>TSK-WORK-001</v>
      </c>
      <c r="D71" s="3" t="str">
        <f>'FSL Source'!C71</f>
        <v>Không gian làm việc &amp; Task</v>
      </c>
      <c r="E71" s="3" t="str">
        <f>'FSL Source'!D71</f>
        <v>Việc của tôi</v>
      </c>
      <c r="F71" s="4" t="str">
        <f>'FSL Source'!E71</f>
        <v>Danh sách công việc</v>
      </c>
      <c r="G71" s="4" t="str">
        <f>'FSL Source'!F71</f>
        <v>Xem danh sách việc của tôi</v>
      </c>
      <c r="H71" s="4" t="str">
        <f>'FSL Source'!G71</f>
        <v>Tổng hợp task Camunda và ngữ cảnh nghiệp vụ, phân nhóm chờ xử lý, đã xử lý, quá hạn và được ủy quyền.</v>
      </c>
      <c r="I71" s="3" t="str">
        <f>'FSL Source'!H71</f>
        <v>Tất cả người dùng nghiệp vụ</v>
      </c>
      <c r="J71" s="3" t="str">
        <f>'FSL Source'!I71</f>
        <v>Workflow</v>
      </c>
      <c r="K71" s="3">
        <f>'FSL Source'!J71</f>
        <v>0</v>
      </c>
      <c r="L71" s="3" t="str">
        <f>'FSL Source'!K71</f>
        <v>CAP-07</v>
      </c>
      <c r="M71" s="3" t="str">
        <f>'FSL Source'!L71</f>
        <v>Must</v>
      </c>
      <c r="N71" s="3" t="str">
        <f>'FSL Source'!M71</f>
        <v>Pha 1</v>
      </c>
      <c r="O71" s="3" t="str">
        <f>'FSL Source'!N71</f>
        <v>Đề xuất trong phạm vi</v>
      </c>
      <c r="P71" s="4" t="str">
        <f>'FSL Source'!O71</f>
        <v>Hiệu chỉnh từ VHT_WBS</v>
      </c>
      <c r="Q71" s="4">
        <f>'FSL Source'!P71</f>
        <v>0</v>
      </c>
      <c r="R71" s="4">
        <f>'FSL Source'!Q71</f>
        <v>0</v>
      </c>
      <c r="S71" s="3"/>
      <c r="T71" s="3"/>
      <c r="U71" s="8"/>
      <c r="V71" s="8"/>
      <c r="W71" s="9"/>
      <c r="X71" s="9" t="str">
        <f t="shared" si="1"/>
        <v/>
      </c>
      <c r="Y71" s="3" t="s">
        <v>1860</v>
      </c>
      <c r="Z71" s="10">
        <v>0</v>
      </c>
      <c r="AA71" s="4"/>
    </row>
    <row r="72" spans="1:27" ht="25.5">
      <c r="A72" s="3" t="str">
        <f>B72&amp;"."&amp;TEXT(COUNTIF($B$5:B72,B72),"000")</f>
        <v>1.04.01.002</v>
      </c>
      <c r="B72" s="3" t="str">
        <f>IFERROR(INDEX('Work Packages'!$A$5:$A$200,MATCH(D72&amp;"|"&amp;E72,'Work Packages'!$P$5:$P$200,0)),"")</f>
        <v>1.04.01</v>
      </c>
      <c r="C72" s="3" t="str">
        <f>'FSL Source'!B72</f>
        <v>TSK-WORK-002</v>
      </c>
      <c r="D72" s="3" t="str">
        <f>'FSL Source'!C72</f>
        <v>Không gian làm việc &amp; Task</v>
      </c>
      <c r="E72" s="3" t="str">
        <f>'FSL Source'!D72</f>
        <v>Việc của tôi</v>
      </c>
      <c r="F72" s="4" t="str">
        <f>'FSL Source'!E72</f>
        <v>Danh sách công việc</v>
      </c>
      <c r="G72" s="4" t="str">
        <f>'FSL Source'!F72</f>
        <v>Tìm kiếm, lọc và lưu chế độ xem</v>
      </c>
      <c r="H72" s="4" t="str">
        <f>'FSL Source'!G72</f>
        <v>Lọc theo quy trình, loại hồ sơ, đơn vị, hạn xử lý, trạng thái và mức ưu tiên; lưu bộ lọc cá nhân.</v>
      </c>
      <c r="I72" s="3" t="str">
        <f>'FSL Source'!H72</f>
        <v>Tất cả người dùng nghiệp vụ</v>
      </c>
      <c r="J72" s="3" t="str">
        <f>'FSL Source'!I72</f>
        <v>Workflow</v>
      </c>
      <c r="K72" s="3">
        <f>'FSL Source'!J72</f>
        <v>0</v>
      </c>
      <c r="L72" s="3" t="str">
        <f>'FSL Source'!K72</f>
        <v>CAP-07</v>
      </c>
      <c r="M72" s="3" t="str">
        <f>'FSL Source'!L72</f>
        <v>Must</v>
      </c>
      <c r="N72" s="3" t="str">
        <f>'FSL Source'!M72</f>
        <v>Pha 1</v>
      </c>
      <c r="O72" s="3" t="str">
        <f>'FSL Source'!N72</f>
        <v>Đề xuất trong phạm vi</v>
      </c>
      <c r="P72" s="4" t="str">
        <f>'FSL Source'!O72</f>
        <v>Bổ sung</v>
      </c>
      <c r="Q72" s="4">
        <f>'FSL Source'!P72</f>
        <v>0</v>
      </c>
      <c r="R72" s="4">
        <f>'FSL Source'!Q72</f>
        <v>0</v>
      </c>
      <c r="S72" s="3"/>
      <c r="T72" s="3"/>
      <c r="U72" s="8"/>
      <c r="V72" s="8"/>
      <c r="W72" s="9"/>
      <c r="X72" s="9" t="str">
        <f t="shared" si="1"/>
        <v/>
      </c>
      <c r="Y72" s="3" t="s">
        <v>1860</v>
      </c>
      <c r="Z72" s="10">
        <v>0</v>
      </c>
      <c r="AA72" s="4"/>
    </row>
    <row r="73" spans="1:27" ht="25.5">
      <c r="A73" s="3" t="str">
        <f>B73&amp;"."&amp;TEXT(COUNTIF($B$5:B73,B73),"000")</f>
        <v>1.04.01.003</v>
      </c>
      <c r="B73" s="3" t="str">
        <f>IFERROR(INDEX('Work Packages'!$A$5:$A$200,MATCH(D73&amp;"|"&amp;E73,'Work Packages'!$P$5:$P$200,0)),"")</f>
        <v>1.04.01</v>
      </c>
      <c r="C73" s="3" t="str">
        <f>'FSL Source'!B73</f>
        <v>TSK-WORK-003</v>
      </c>
      <c r="D73" s="3" t="str">
        <f>'FSL Source'!C73</f>
        <v>Không gian làm việc &amp; Task</v>
      </c>
      <c r="E73" s="3" t="str">
        <f>'FSL Source'!D73</f>
        <v>Việc của tôi</v>
      </c>
      <c r="F73" s="4" t="str">
        <f>'FSL Source'!E73</f>
        <v>Chi tiết task</v>
      </c>
      <c r="G73" s="4" t="str">
        <f>'FSL Source'!F73</f>
        <v>Xem màn hình xử lý task hợp nhất</v>
      </c>
      <c r="H73" s="4" t="str">
        <f>'FSL Source'!G73</f>
        <v>Hiển thị nhiệm vụ, hồ sơ, tài liệu, biểu mẫu, lịch sử, SLA và action khả dụng.</v>
      </c>
      <c r="I73" s="3" t="str">
        <f>'FSL Source'!H73</f>
        <v>Người xử lý</v>
      </c>
      <c r="J73" s="3" t="str">
        <f>'FSL Source'!I73</f>
        <v>Workflow</v>
      </c>
      <c r="K73" s="3">
        <f>'FSL Source'!J73</f>
        <v>0</v>
      </c>
      <c r="L73" s="3" t="str">
        <f>'FSL Source'!K73</f>
        <v>CAP-07</v>
      </c>
      <c r="M73" s="3" t="str">
        <f>'FSL Source'!L73</f>
        <v>Must</v>
      </c>
      <c r="N73" s="3" t="str">
        <f>'FSL Source'!M73</f>
        <v>Pha 1</v>
      </c>
      <c r="O73" s="3" t="str">
        <f>'FSL Source'!N73</f>
        <v>Đề xuất trong phạm vi</v>
      </c>
      <c r="P73" s="4" t="str">
        <f>'FSL Source'!O73</f>
        <v>Bổ sung</v>
      </c>
      <c r="Q73" s="4">
        <f>'FSL Source'!P73</f>
        <v>0</v>
      </c>
      <c r="R73" s="4">
        <f>'FSL Source'!Q73</f>
        <v>0</v>
      </c>
      <c r="S73" s="3"/>
      <c r="T73" s="3"/>
      <c r="U73" s="8"/>
      <c r="V73" s="8"/>
      <c r="W73" s="9"/>
      <c r="X73" s="9" t="str">
        <f t="shared" si="1"/>
        <v/>
      </c>
      <c r="Y73" s="3" t="s">
        <v>1860</v>
      </c>
      <c r="Z73" s="10">
        <v>0</v>
      </c>
      <c r="AA73" s="4"/>
    </row>
    <row r="74" spans="1:27">
      <c r="A74" s="3" t="str">
        <f>B74&amp;"."&amp;TEXT(COUNTIF($B$5:B74,B74),"000")</f>
        <v>1.04.02.001</v>
      </c>
      <c r="B74" s="3" t="str">
        <f>IFERROR(INDEX('Work Packages'!$A$5:$A$200,MATCH(D74&amp;"|"&amp;E74,'Work Packages'!$P$5:$P$200,0)),"")</f>
        <v>1.04.02</v>
      </c>
      <c r="C74" s="3" t="str">
        <f>'FSL Source'!B74</f>
        <v>TSK-ACTION-001</v>
      </c>
      <c r="D74" s="3" t="str">
        <f>'FSL Source'!C74</f>
        <v>Không gian làm việc &amp; Task</v>
      </c>
      <c r="E74" s="3" t="str">
        <f>'FSL Source'!D74</f>
        <v>Xử lý task</v>
      </c>
      <c r="F74" s="4" t="str">
        <f>'FSL Source'!E74</f>
        <v>Thao tác chuẩn</v>
      </c>
      <c r="G74" s="4" t="str">
        <f>'FSL Source'!F74</f>
        <v>Nhận/claim task</v>
      </c>
      <c r="H74" s="4" t="str">
        <f>'FSL Source'!G74</f>
        <v>Nhận xử lý task đang ở nhóm ứng viên.</v>
      </c>
      <c r="I74" s="3" t="str">
        <f>'FSL Source'!H74</f>
        <v>Người xử lý/Người lập</v>
      </c>
      <c r="J74" s="3" t="str">
        <f>'FSL Source'!I74</f>
        <v>Workflow</v>
      </c>
      <c r="K74" s="3">
        <f>'FSL Source'!J74</f>
        <v>0</v>
      </c>
      <c r="L74" s="3" t="str">
        <f>'FSL Source'!K74</f>
        <v>CAP-08</v>
      </c>
      <c r="M74" s="3" t="str">
        <f>'FSL Source'!L74</f>
        <v>Must</v>
      </c>
      <c r="N74" s="3" t="str">
        <f>'FSL Source'!M74</f>
        <v>Pha 1</v>
      </c>
      <c r="O74" s="3" t="str">
        <f>'FSL Source'!N74</f>
        <v>Đề xuất trong phạm vi</v>
      </c>
      <c r="P74" s="4" t="str">
        <f>'FSL Source'!O74</f>
        <v>Bổ sung</v>
      </c>
      <c r="Q74" s="4">
        <f>'FSL Source'!P74</f>
        <v>0</v>
      </c>
      <c r="R74" s="4">
        <f>'FSL Source'!Q74</f>
        <v>0</v>
      </c>
      <c r="S74" s="3"/>
      <c r="T74" s="3"/>
      <c r="U74" s="8"/>
      <c r="V74" s="8"/>
      <c r="W74" s="9"/>
      <c r="X74" s="9" t="str">
        <f t="shared" si="1"/>
        <v/>
      </c>
      <c r="Y74" s="3" t="s">
        <v>1860</v>
      </c>
      <c r="Z74" s="10">
        <v>0</v>
      </c>
      <c r="AA74" s="4"/>
    </row>
    <row r="75" spans="1:27">
      <c r="A75" s="3" t="str">
        <f>B75&amp;"."&amp;TEXT(COUNTIF($B$5:B75,B75),"000")</f>
        <v>1.04.02.002</v>
      </c>
      <c r="B75" s="3" t="str">
        <f>IFERROR(INDEX('Work Packages'!$A$5:$A$200,MATCH(D75&amp;"|"&amp;E75,'Work Packages'!$P$5:$P$200,0)),"")</f>
        <v>1.04.02</v>
      </c>
      <c r="C75" s="3" t="str">
        <f>'FSL Source'!B75</f>
        <v>TSK-ACTION-002</v>
      </c>
      <c r="D75" s="3" t="str">
        <f>'FSL Source'!C75</f>
        <v>Không gian làm việc &amp; Task</v>
      </c>
      <c r="E75" s="3" t="str">
        <f>'FSL Source'!D75</f>
        <v>Xử lý task</v>
      </c>
      <c r="F75" s="4" t="str">
        <f>'FSL Source'!E75</f>
        <v>Thao tác chuẩn</v>
      </c>
      <c r="G75" s="4" t="str">
        <f>'FSL Source'!F75</f>
        <v>Gửi duyệt hồ sơ</v>
      </c>
      <c r="H75" s="4" t="str">
        <f>'FSL Source'!G75</f>
        <v>Khóa phiên bản hồ sơ và chuyển vào tuyến xử lý.</v>
      </c>
      <c r="I75" s="3" t="str">
        <f>'FSL Source'!H75</f>
        <v>Người xử lý/Người lập</v>
      </c>
      <c r="J75" s="3" t="str">
        <f>'FSL Source'!I75</f>
        <v>Workflow</v>
      </c>
      <c r="K75" s="3">
        <f>'FSL Source'!J75</f>
        <v>0</v>
      </c>
      <c r="L75" s="3" t="str">
        <f>'FSL Source'!K75</f>
        <v>CAP-08</v>
      </c>
      <c r="M75" s="3" t="str">
        <f>'FSL Source'!L75</f>
        <v>Must</v>
      </c>
      <c r="N75" s="3" t="str">
        <f>'FSL Source'!M75</f>
        <v>Pha 1</v>
      </c>
      <c r="O75" s="3" t="str">
        <f>'FSL Source'!N75</f>
        <v>Đề xuất trong phạm vi</v>
      </c>
      <c r="P75" s="4" t="str">
        <f>'FSL Source'!O75</f>
        <v>Bổ sung</v>
      </c>
      <c r="Q75" s="4">
        <f>'FSL Source'!P75</f>
        <v>0</v>
      </c>
      <c r="R75" s="4">
        <f>'FSL Source'!Q75</f>
        <v>0</v>
      </c>
      <c r="S75" s="3"/>
      <c r="T75" s="3"/>
      <c r="U75" s="8"/>
      <c r="V75" s="8"/>
      <c r="W75" s="9"/>
      <c r="X75" s="9" t="str">
        <f t="shared" si="1"/>
        <v/>
      </c>
      <c r="Y75" s="3" t="s">
        <v>1860</v>
      </c>
      <c r="Z75" s="10">
        <v>0</v>
      </c>
      <c r="AA75" s="4"/>
    </row>
    <row r="76" spans="1:27" ht="25.5">
      <c r="A76" s="3" t="str">
        <f>B76&amp;"."&amp;TEXT(COUNTIF($B$5:B76,B76),"000")</f>
        <v>1.04.02.003</v>
      </c>
      <c r="B76" s="3" t="str">
        <f>IFERROR(INDEX('Work Packages'!$A$5:$A$200,MATCH(D76&amp;"|"&amp;E76,'Work Packages'!$P$5:$P$200,0)),"")</f>
        <v>1.04.02</v>
      </c>
      <c r="C76" s="3" t="str">
        <f>'FSL Source'!B76</f>
        <v>TSK-ACTION-003</v>
      </c>
      <c r="D76" s="3" t="str">
        <f>'FSL Source'!C76</f>
        <v>Không gian làm việc &amp; Task</v>
      </c>
      <c r="E76" s="3" t="str">
        <f>'FSL Source'!D76</f>
        <v>Xử lý task</v>
      </c>
      <c r="F76" s="4" t="str">
        <f>'FSL Source'!E76</f>
        <v>Thao tác chuẩn</v>
      </c>
      <c r="G76" s="4" t="str">
        <f>'FSL Source'!F76</f>
        <v>Đồng ý duyệt</v>
      </c>
      <c r="H76" s="4" t="str">
        <f>'FSL Source'!G76</f>
        <v>Hoàn tất task với outcome APPROVE và định tuyến bước tiếp theo.</v>
      </c>
      <c r="I76" s="3" t="str">
        <f>'FSL Source'!H76</f>
        <v>Người xử lý/Người lập</v>
      </c>
      <c r="J76" s="3" t="str">
        <f>'FSL Source'!I76</f>
        <v>Workflow</v>
      </c>
      <c r="K76" s="3">
        <f>'FSL Source'!J76</f>
        <v>0</v>
      </c>
      <c r="L76" s="3" t="str">
        <f>'FSL Source'!K76</f>
        <v>CAP-08</v>
      </c>
      <c r="M76" s="3" t="str">
        <f>'FSL Source'!L76</f>
        <v>Must</v>
      </c>
      <c r="N76" s="3" t="str">
        <f>'FSL Source'!M76</f>
        <v>Pha 1</v>
      </c>
      <c r="O76" s="3" t="str">
        <f>'FSL Source'!N76</f>
        <v>Đề xuất trong phạm vi</v>
      </c>
      <c r="P76" s="4" t="str">
        <f>'FSL Source'!O76</f>
        <v>Bổ sung</v>
      </c>
      <c r="Q76" s="4">
        <f>'FSL Source'!P76</f>
        <v>0</v>
      </c>
      <c r="R76" s="4">
        <f>'FSL Source'!Q76</f>
        <v>0</v>
      </c>
      <c r="S76" s="3"/>
      <c r="T76" s="3"/>
      <c r="U76" s="8"/>
      <c r="V76" s="8"/>
      <c r="W76" s="9"/>
      <c r="X76" s="9" t="str">
        <f t="shared" si="1"/>
        <v/>
      </c>
      <c r="Y76" s="3" t="s">
        <v>1860</v>
      </c>
      <c r="Z76" s="10">
        <v>0</v>
      </c>
      <c r="AA76" s="4"/>
    </row>
    <row r="77" spans="1:27" ht="25.5">
      <c r="A77" s="3" t="str">
        <f>B77&amp;"."&amp;TEXT(COUNTIF($B$5:B77,B77),"000")</f>
        <v>1.04.02.004</v>
      </c>
      <c r="B77" s="3" t="str">
        <f>IFERROR(INDEX('Work Packages'!$A$5:$A$200,MATCH(D77&amp;"|"&amp;E77,'Work Packages'!$P$5:$P$200,0)),"")</f>
        <v>1.04.02</v>
      </c>
      <c r="C77" s="3" t="str">
        <f>'FSL Source'!B77</f>
        <v>TSK-ACTION-004</v>
      </c>
      <c r="D77" s="3" t="str">
        <f>'FSL Source'!C77</f>
        <v>Không gian làm việc &amp; Task</v>
      </c>
      <c r="E77" s="3" t="str">
        <f>'FSL Source'!D77</f>
        <v>Xử lý task</v>
      </c>
      <c r="F77" s="4" t="str">
        <f>'FSL Source'!E77</f>
        <v>Thao tác chuẩn</v>
      </c>
      <c r="G77" s="4" t="str">
        <f>'FSL Source'!F77</f>
        <v>Yêu cầu điều chỉnh/bổ sung</v>
      </c>
      <c r="H77" s="4" t="str">
        <f>'FSL Source'!G77</f>
        <v>Trả hồ sơ theo nhánh RETURN, bắt buộc ghi lý do và nội dung cần bổ sung.</v>
      </c>
      <c r="I77" s="3" t="str">
        <f>'FSL Source'!H77</f>
        <v>Người xử lý/Người lập</v>
      </c>
      <c r="J77" s="3" t="str">
        <f>'FSL Source'!I77</f>
        <v>Workflow</v>
      </c>
      <c r="K77" s="3">
        <f>'FSL Source'!J77</f>
        <v>0</v>
      </c>
      <c r="L77" s="3" t="str">
        <f>'FSL Source'!K77</f>
        <v>CAP-08</v>
      </c>
      <c r="M77" s="3" t="str">
        <f>'FSL Source'!L77</f>
        <v>Must</v>
      </c>
      <c r="N77" s="3" t="str">
        <f>'FSL Source'!M77</f>
        <v>Pha 1</v>
      </c>
      <c r="O77" s="3" t="str">
        <f>'FSL Source'!N77</f>
        <v>Đề xuất trong phạm vi</v>
      </c>
      <c r="P77" s="4" t="str">
        <f>'FSL Source'!O77</f>
        <v>Bổ sung</v>
      </c>
      <c r="Q77" s="4">
        <f>'FSL Source'!P77</f>
        <v>0</v>
      </c>
      <c r="R77" s="4">
        <f>'FSL Source'!Q77</f>
        <v>0</v>
      </c>
      <c r="S77" s="3"/>
      <c r="T77" s="3"/>
      <c r="U77" s="8"/>
      <c r="V77" s="8"/>
      <c r="W77" s="9"/>
      <c r="X77" s="9" t="str">
        <f t="shared" si="1"/>
        <v/>
      </c>
      <c r="Y77" s="3" t="s">
        <v>1860</v>
      </c>
      <c r="Z77" s="10">
        <v>0</v>
      </c>
      <c r="AA77" s="4"/>
    </row>
    <row r="78" spans="1:27" ht="25.5">
      <c r="A78" s="3" t="str">
        <f>B78&amp;"."&amp;TEXT(COUNTIF($B$5:B78,B78),"000")</f>
        <v>1.04.02.005</v>
      </c>
      <c r="B78" s="3" t="str">
        <f>IFERROR(INDEX('Work Packages'!$A$5:$A$200,MATCH(D78&amp;"|"&amp;E78,'Work Packages'!$P$5:$P$200,0)),"")</f>
        <v>1.04.02</v>
      </c>
      <c r="C78" s="3" t="str">
        <f>'FSL Source'!B78</f>
        <v>TSK-ACTION-005</v>
      </c>
      <c r="D78" s="3" t="str">
        <f>'FSL Source'!C78</f>
        <v>Không gian làm việc &amp; Task</v>
      </c>
      <c r="E78" s="3" t="str">
        <f>'FSL Source'!D78</f>
        <v>Xử lý task</v>
      </c>
      <c r="F78" s="4" t="str">
        <f>'FSL Source'!E78</f>
        <v>Thao tác chuẩn</v>
      </c>
      <c r="G78" s="4" t="str">
        <f>'FSL Source'!F78</f>
        <v>Từ chối duyệt</v>
      </c>
      <c r="H78" s="4" t="str">
        <f>'FSL Source'!G78</f>
        <v>Hoàn tất task theo nhánh REJECT, bắt buộc lý do và xác nhận.</v>
      </c>
      <c r="I78" s="3" t="str">
        <f>'FSL Source'!H78</f>
        <v>Người xử lý/Người lập</v>
      </c>
      <c r="J78" s="3" t="str">
        <f>'FSL Source'!I78</f>
        <v>Workflow</v>
      </c>
      <c r="K78" s="3">
        <f>'FSL Source'!J78</f>
        <v>0</v>
      </c>
      <c r="L78" s="3" t="str">
        <f>'FSL Source'!K78</f>
        <v>CAP-08</v>
      </c>
      <c r="M78" s="3" t="str">
        <f>'FSL Source'!L78</f>
        <v>Must</v>
      </c>
      <c r="N78" s="3" t="str">
        <f>'FSL Source'!M78</f>
        <v>Pha 1</v>
      </c>
      <c r="O78" s="3" t="str">
        <f>'FSL Source'!N78</f>
        <v>Đề xuất trong phạm vi</v>
      </c>
      <c r="P78" s="4" t="str">
        <f>'FSL Source'!O78</f>
        <v>Bổ sung</v>
      </c>
      <c r="Q78" s="4">
        <f>'FSL Source'!P78</f>
        <v>0</v>
      </c>
      <c r="R78" s="4">
        <f>'FSL Source'!Q78</f>
        <v>0</v>
      </c>
      <c r="S78" s="3"/>
      <c r="T78" s="3"/>
      <c r="U78" s="8"/>
      <c r="V78" s="8"/>
      <c r="W78" s="9"/>
      <c r="X78" s="9" t="str">
        <f t="shared" si="1"/>
        <v/>
      </c>
      <c r="Y78" s="3" t="s">
        <v>1860</v>
      </c>
      <c r="Z78" s="10">
        <v>0</v>
      </c>
      <c r="AA78" s="4"/>
    </row>
    <row r="79" spans="1:27" ht="25.5">
      <c r="A79" s="3" t="str">
        <f>B79&amp;"."&amp;TEXT(COUNTIF($B$5:B79,B79),"000")</f>
        <v>1.04.02.006</v>
      </c>
      <c r="B79" s="3" t="str">
        <f>IFERROR(INDEX('Work Packages'!$A$5:$A$200,MATCH(D79&amp;"|"&amp;E79,'Work Packages'!$P$5:$P$200,0)),"")</f>
        <v>1.04.02</v>
      </c>
      <c r="C79" s="3" t="str">
        <f>'FSL Source'!B79</f>
        <v>TSK-ACTION-006</v>
      </c>
      <c r="D79" s="3" t="str">
        <f>'FSL Source'!C79</f>
        <v>Không gian làm việc &amp; Task</v>
      </c>
      <c r="E79" s="3" t="str">
        <f>'FSL Source'!D79</f>
        <v>Xử lý task</v>
      </c>
      <c r="F79" s="4" t="str">
        <f>'FSL Source'!E79</f>
        <v>Thao tác chuẩn</v>
      </c>
      <c r="G79" s="4" t="str">
        <f>'FSL Source'!F79</f>
        <v>Bổ sung ý kiến/thảo luận</v>
      </c>
      <c r="H79" s="4" t="str">
        <f>'FSL Source'!G79</f>
        <v>Trao đổi theo hồ sơ/task, hỗ trợ mention và thông báo.</v>
      </c>
      <c r="I79" s="3" t="str">
        <f>'FSL Source'!H79</f>
        <v>Người xử lý/Người lập</v>
      </c>
      <c r="J79" s="3" t="str">
        <f>'FSL Source'!I79</f>
        <v>Workflow</v>
      </c>
      <c r="K79" s="3">
        <f>'FSL Source'!J79</f>
        <v>0</v>
      </c>
      <c r="L79" s="3" t="str">
        <f>'FSL Source'!K79</f>
        <v>CAP-08</v>
      </c>
      <c r="M79" s="3" t="str">
        <f>'FSL Source'!L79</f>
        <v>Must</v>
      </c>
      <c r="N79" s="3" t="str">
        <f>'FSL Source'!M79</f>
        <v>Pha 1</v>
      </c>
      <c r="O79" s="3" t="str">
        <f>'FSL Source'!N79</f>
        <v>Đề xuất trong phạm vi</v>
      </c>
      <c r="P79" s="4" t="str">
        <f>'FSL Source'!O79</f>
        <v>Bổ sung</v>
      </c>
      <c r="Q79" s="4">
        <f>'FSL Source'!P79</f>
        <v>0</v>
      </c>
      <c r="R79" s="4">
        <f>'FSL Source'!Q79</f>
        <v>0</v>
      </c>
      <c r="S79" s="3"/>
      <c r="T79" s="3"/>
      <c r="U79" s="8"/>
      <c r="V79" s="8"/>
      <c r="W79" s="9"/>
      <c r="X79" s="9" t="str">
        <f t="shared" si="1"/>
        <v/>
      </c>
      <c r="Y79" s="3" t="s">
        <v>1860</v>
      </c>
      <c r="Z79" s="10">
        <v>0</v>
      </c>
      <c r="AA79" s="4"/>
    </row>
    <row r="80" spans="1:27">
      <c r="A80" s="3" t="str">
        <f>B80&amp;"."&amp;TEXT(COUNTIF($B$5:B80,B80),"000")</f>
        <v>1.04.02.007</v>
      </c>
      <c r="B80" s="3" t="str">
        <f>IFERROR(INDEX('Work Packages'!$A$5:$A$200,MATCH(D80&amp;"|"&amp;E80,'Work Packages'!$P$5:$P$200,0)),"")</f>
        <v>1.04.02</v>
      </c>
      <c r="C80" s="3" t="str">
        <f>'FSL Source'!B80</f>
        <v>TSK-ACTION-007</v>
      </c>
      <c r="D80" s="3" t="str">
        <f>'FSL Source'!C80</f>
        <v>Không gian làm việc &amp; Task</v>
      </c>
      <c r="E80" s="3" t="str">
        <f>'FSL Source'!D80</f>
        <v>Xử lý task</v>
      </c>
      <c r="F80" s="4" t="str">
        <f>'FSL Source'!E80</f>
        <v>Thao tác chuẩn</v>
      </c>
      <c r="G80" s="4" t="str">
        <f>'FSL Source'!F80</f>
        <v>Tải lên và xem tài liệu</v>
      </c>
      <c r="H80" s="4" t="str">
        <f>'FSL Source'!G80</f>
        <v>Quản lý tài liệu hỗ trợ theo quyền xem/tải.</v>
      </c>
      <c r="I80" s="3" t="str">
        <f>'FSL Source'!H80</f>
        <v>Người xử lý/Người lập</v>
      </c>
      <c r="J80" s="3" t="str">
        <f>'FSL Source'!I80</f>
        <v>Workflow</v>
      </c>
      <c r="K80" s="3">
        <f>'FSL Source'!J80</f>
        <v>0</v>
      </c>
      <c r="L80" s="3" t="str">
        <f>'FSL Source'!K80</f>
        <v>CAP-08</v>
      </c>
      <c r="M80" s="3" t="str">
        <f>'FSL Source'!L80</f>
        <v>Must</v>
      </c>
      <c r="N80" s="3" t="str">
        <f>'FSL Source'!M80</f>
        <v>Pha 1</v>
      </c>
      <c r="O80" s="3" t="str">
        <f>'FSL Source'!N80</f>
        <v>Đề xuất trong phạm vi</v>
      </c>
      <c r="P80" s="4" t="str">
        <f>'FSL Source'!O80</f>
        <v>Bổ sung</v>
      </c>
      <c r="Q80" s="4">
        <f>'FSL Source'!P80</f>
        <v>0</v>
      </c>
      <c r="R80" s="4">
        <f>'FSL Source'!Q80</f>
        <v>0</v>
      </c>
      <c r="S80" s="3"/>
      <c r="T80" s="3"/>
      <c r="U80" s="8"/>
      <c r="V80" s="8"/>
      <c r="W80" s="9"/>
      <c r="X80" s="9" t="str">
        <f t="shared" si="1"/>
        <v/>
      </c>
      <c r="Y80" s="3" t="s">
        <v>1860</v>
      </c>
      <c r="Z80" s="10">
        <v>0</v>
      </c>
      <c r="AA80" s="4"/>
    </row>
    <row r="81" spans="1:27">
      <c r="A81" s="3" t="str">
        <f>B81&amp;"."&amp;TEXT(COUNTIF($B$5:B81,B81),"000")</f>
        <v>1.04.02.008</v>
      </c>
      <c r="B81" s="3" t="str">
        <f>IFERROR(INDEX('Work Packages'!$A$5:$A$200,MATCH(D81&amp;"|"&amp;E81,'Work Packages'!$P$5:$P$200,0)),"")</f>
        <v>1.04.02</v>
      </c>
      <c r="C81" s="3" t="str">
        <f>'FSL Source'!B81</f>
        <v>TSK-ACTION-008</v>
      </c>
      <c r="D81" s="3" t="str">
        <f>'FSL Source'!C81</f>
        <v>Không gian làm việc &amp; Task</v>
      </c>
      <c r="E81" s="3" t="str">
        <f>'FSL Source'!D81</f>
        <v>Xử lý task</v>
      </c>
      <c r="F81" s="4" t="str">
        <f>'FSL Source'!E81</f>
        <v>Thao tác chuẩn</v>
      </c>
      <c r="G81" s="4" t="str">
        <f>'FSL Source'!F81</f>
        <v>Xuất PDF/In hồ sơ</v>
      </c>
      <c r="H81" s="4" t="str">
        <f>'FSL Source'!G81</f>
        <v>Kết xuất hồ sơ theo mẫu và quyền dữ liệu.</v>
      </c>
      <c r="I81" s="3" t="str">
        <f>'FSL Source'!H81</f>
        <v>Người xử lý/Người lập</v>
      </c>
      <c r="J81" s="3" t="str">
        <f>'FSL Source'!I81</f>
        <v>Workflow</v>
      </c>
      <c r="K81" s="3">
        <f>'FSL Source'!J81</f>
        <v>0</v>
      </c>
      <c r="L81" s="3" t="str">
        <f>'FSL Source'!K81</f>
        <v>CAP-08</v>
      </c>
      <c r="M81" s="3" t="str">
        <f>'FSL Source'!L81</f>
        <v>Must</v>
      </c>
      <c r="N81" s="3" t="str">
        <f>'FSL Source'!M81</f>
        <v>Pha 1</v>
      </c>
      <c r="O81" s="3" t="str">
        <f>'FSL Source'!N81</f>
        <v>Đề xuất trong phạm vi</v>
      </c>
      <c r="P81" s="4" t="str">
        <f>'FSL Source'!O81</f>
        <v>Bổ sung</v>
      </c>
      <c r="Q81" s="4">
        <f>'FSL Source'!P81</f>
        <v>0</v>
      </c>
      <c r="R81" s="4">
        <f>'FSL Source'!Q81</f>
        <v>0</v>
      </c>
      <c r="S81" s="3"/>
      <c r="T81" s="3"/>
      <c r="U81" s="8"/>
      <c r="V81" s="8"/>
      <c r="W81" s="9"/>
      <c r="X81" s="9" t="str">
        <f t="shared" si="1"/>
        <v/>
      </c>
      <c r="Y81" s="3" t="s">
        <v>1860</v>
      </c>
      <c r="Z81" s="10">
        <v>0</v>
      </c>
      <c r="AA81" s="4"/>
    </row>
    <row r="82" spans="1:27">
      <c r="A82" s="3" t="str">
        <f>B82&amp;"."&amp;TEXT(COUNTIF($B$5:B82,B82),"000")</f>
        <v>1.04.02.009</v>
      </c>
      <c r="B82" s="3" t="str">
        <f>IFERROR(INDEX('Work Packages'!$A$5:$A$200,MATCH(D82&amp;"|"&amp;E82,'Work Packages'!$P$5:$P$200,0)),"")</f>
        <v>1.04.02</v>
      </c>
      <c r="C82" s="3" t="str">
        <f>'FSL Source'!B82</f>
        <v>TSK-ACTION-009</v>
      </c>
      <c r="D82" s="3" t="str">
        <f>'FSL Source'!C82</f>
        <v>Không gian làm việc &amp; Task</v>
      </c>
      <c r="E82" s="3" t="str">
        <f>'FSL Source'!D82</f>
        <v>Xử lý task</v>
      </c>
      <c r="F82" s="4" t="str">
        <f>'FSL Source'!E82</f>
        <v>Thao tác chuẩn</v>
      </c>
      <c r="G82" s="4" t="str">
        <f>'FSL Source'!F82</f>
        <v>Xem lịch sử và audit</v>
      </c>
      <c r="H82" s="4" t="str">
        <f>'FSL Source'!G82</f>
        <v>Theo dõi timeline xử lý, action và thay đổi dữ liệu.</v>
      </c>
      <c r="I82" s="3" t="str">
        <f>'FSL Source'!H82</f>
        <v>Người xử lý/Người lập</v>
      </c>
      <c r="J82" s="3" t="str">
        <f>'FSL Source'!I82</f>
        <v>Workflow</v>
      </c>
      <c r="K82" s="3">
        <f>'FSL Source'!J82</f>
        <v>0</v>
      </c>
      <c r="L82" s="3" t="str">
        <f>'FSL Source'!K82</f>
        <v>CAP-08</v>
      </c>
      <c r="M82" s="3" t="str">
        <f>'FSL Source'!L82</f>
        <v>Must</v>
      </c>
      <c r="N82" s="3" t="str">
        <f>'FSL Source'!M82</f>
        <v>Pha 1</v>
      </c>
      <c r="O82" s="3" t="str">
        <f>'FSL Source'!N82</f>
        <v>Đề xuất trong phạm vi</v>
      </c>
      <c r="P82" s="4" t="str">
        <f>'FSL Source'!O82</f>
        <v>Bổ sung</v>
      </c>
      <c r="Q82" s="4">
        <f>'FSL Source'!P82</f>
        <v>0</v>
      </c>
      <c r="R82" s="4">
        <f>'FSL Source'!Q82</f>
        <v>0</v>
      </c>
      <c r="S82" s="3"/>
      <c r="T82" s="3"/>
      <c r="U82" s="8"/>
      <c r="V82" s="8"/>
      <c r="W82" s="9"/>
      <c r="X82" s="9" t="str">
        <f t="shared" si="1"/>
        <v/>
      </c>
      <c r="Y82" s="3" t="s">
        <v>1860</v>
      </c>
      <c r="Z82" s="10">
        <v>0</v>
      </c>
      <c r="AA82" s="4"/>
    </row>
    <row r="83" spans="1:27" ht="25.5">
      <c r="A83" s="3" t="str">
        <f>B83&amp;"."&amp;TEXT(COUNTIF($B$5:B83,B83),"000")</f>
        <v>1.04.02.010</v>
      </c>
      <c r="B83" s="3" t="str">
        <f>IFERROR(INDEX('Work Packages'!$A$5:$A$200,MATCH(D83&amp;"|"&amp;E83,'Work Packages'!$P$5:$P$200,0)),"")</f>
        <v>1.04.02</v>
      </c>
      <c r="C83" s="3" t="str">
        <f>'FSL Source'!B83</f>
        <v>TSK-ACTION-010</v>
      </c>
      <c r="D83" s="3" t="str">
        <f>'FSL Source'!C83</f>
        <v>Không gian làm việc &amp; Task</v>
      </c>
      <c r="E83" s="3" t="str">
        <f>'FSL Source'!D83</f>
        <v>Xử lý task</v>
      </c>
      <c r="F83" s="4" t="str">
        <f>'FSL Source'!E83</f>
        <v>Thao tác chuẩn</v>
      </c>
      <c r="G83" s="4" t="str">
        <f>'FSL Source'!F83</f>
        <v>Ủy quyền/chuyển giao task</v>
      </c>
      <c r="H83" s="4" t="str">
        <f>'FSL Source'!G83</f>
        <v>Delegate hoặc reassign theo quyền, thời hạn và audit.</v>
      </c>
      <c r="I83" s="3" t="str">
        <f>'FSL Source'!H83</f>
        <v>Người xử lý/Người lập</v>
      </c>
      <c r="J83" s="3" t="str">
        <f>'FSL Source'!I83</f>
        <v>Workflow</v>
      </c>
      <c r="K83" s="3">
        <f>'FSL Source'!J83</f>
        <v>0</v>
      </c>
      <c r="L83" s="3" t="str">
        <f>'FSL Source'!K83</f>
        <v>CAP-08; CAP-13</v>
      </c>
      <c r="M83" s="3" t="str">
        <f>'FSL Source'!L83</f>
        <v>Must</v>
      </c>
      <c r="N83" s="3" t="str">
        <f>'FSL Source'!M83</f>
        <v>Pha 1</v>
      </c>
      <c r="O83" s="3" t="str">
        <f>'FSL Source'!N83</f>
        <v>Đề xuất trong phạm vi</v>
      </c>
      <c r="P83" s="4" t="str">
        <f>'FSL Source'!O83</f>
        <v>Bổ sung</v>
      </c>
      <c r="Q83" s="4">
        <f>'FSL Source'!P83</f>
        <v>0</v>
      </c>
      <c r="R83" s="4">
        <f>'FSL Source'!Q83</f>
        <v>0</v>
      </c>
      <c r="S83" s="3"/>
      <c r="T83" s="3"/>
      <c r="U83" s="8"/>
      <c r="V83" s="8"/>
      <c r="W83" s="9"/>
      <c r="X83" s="9" t="str">
        <f t="shared" si="1"/>
        <v/>
      </c>
      <c r="Y83" s="3" t="s">
        <v>1860</v>
      </c>
      <c r="Z83" s="10">
        <v>0</v>
      </c>
      <c r="AA83" s="4"/>
    </row>
    <row r="84" spans="1:27" ht="25.5">
      <c r="A84" s="3" t="str">
        <f>B84&amp;"."&amp;TEXT(COUNTIF($B$5:B84,B84),"000")</f>
        <v>1.04.02.011</v>
      </c>
      <c r="B84" s="3" t="str">
        <f>IFERROR(INDEX('Work Packages'!$A$5:$A$200,MATCH(D84&amp;"|"&amp;E84,'Work Packages'!$P$5:$P$200,0)),"")</f>
        <v>1.04.02</v>
      </c>
      <c r="C84" s="3" t="str">
        <f>'FSL Source'!B84</f>
        <v>TSK-ACTION-011</v>
      </c>
      <c r="D84" s="3" t="str">
        <f>'FSL Source'!C84</f>
        <v>Không gian làm việc &amp; Task</v>
      </c>
      <c r="E84" s="3" t="str">
        <f>'FSL Source'!D84</f>
        <v>Xử lý task</v>
      </c>
      <c r="F84" s="4" t="str">
        <f>'FSL Source'!E84</f>
        <v>Thao tác chuẩn</v>
      </c>
      <c r="G84" s="4" t="str">
        <f>'FSL Source'!F84</f>
        <v>Gửi thay mặt</v>
      </c>
      <c r="H84" s="4" t="str">
        <f>'FSL Source'!G84</f>
        <v>Cho phép người có quyền tạo/trình hồ sơ thay mặt người khác với audit rõ ràng.</v>
      </c>
      <c r="I84" s="3" t="str">
        <f>'FSL Source'!H84</f>
        <v>Người xử lý/Người lập</v>
      </c>
      <c r="J84" s="3" t="str">
        <f>'FSL Source'!I84</f>
        <v>Workflow</v>
      </c>
      <c r="K84" s="3">
        <f>'FSL Source'!J84</f>
        <v>0</v>
      </c>
      <c r="L84" s="3" t="str">
        <f>'FSL Source'!K84</f>
        <v>CAP-08</v>
      </c>
      <c r="M84" s="3" t="str">
        <f>'FSL Source'!L84</f>
        <v>Must</v>
      </c>
      <c r="N84" s="3" t="str">
        <f>'FSL Source'!M84</f>
        <v>Pha 1</v>
      </c>
      <c r="O84" s="3" t="str">
        <f>'FSL Source'!N84</f>
        <v>Đề xuất trong phạm vi</v>
      </c>
      <c r="P84" s="4" t="str">
        <f>'FSL Source'!O84</f>
        <v>Bổ sung</v>
      </c>
      <c r="Q84" s="4">
        <f>'FSL Source'!P84</f>
        <v>0</v>
      </c>
      <c r="R84" s="4">
        <f>'FSL Source'!Q84</f>
        <v>0</v>
      </c>
      <c r="S84" s="3"/>
      <c r="T84" s="3"/>
      <c r="U84" s="8"/>
      <c r="V84" s="8"/>
      <c r="W84" s="9"/>
      <c r="X84" s="9" t="str">
        <f t="shared" si="1"/>
        <v/>
      </c>
      <c r="Y84" s="3" t="s">
        <v>1860</v>
      </c>
      <c r="Z84" s="10">
        <v>0</v>
      </c>
      <c r="AA84" s="4"/>
    </row>
    <row r="85" spans="1:27" ht="51">
      <c r="A85" s="3" t="str">
        <f>B85&amp;"."&amp;TEXT(COUNTIF($B$5:B85,B85),"000")</f>
        <v>1.04.03.001</v>
      </c>
      <c r="B85" s="3" t="str">
        <f>IFERROR(INDEX('Work Packages'!$A$5:$A$200,MATCH(D85&amp;"|"&amp;E85,'Work Packages'!$P$5:$P$200,0)),"")</f>
        <v>1.04.03</v>
      </c>
      <c r="C85" s="3" t="str">
        <f>'FSL Source'!B85</f>
        <v>TSK-PROXY-001</v>
      </c>
      <c r="D85" s="3" t="str">
        <f>'FSL Source'!C85</f>
        <v>Không gian làm việc &amp; Task</v>
      </c>
      <c r="E85" s="3" t="str">
        <f>'FSL Source'!D85</f>
        <v>Nhập liệu thay cấp Tập đoàn</v>
      </c>
      <c r="F85" s="4" t="str">
        <f>'FSL Source'!E85</f>
        <v>Quan hệ nhập liệu thay</v>
      </c>
      <c r="G85" s="4" t="str">
        <f>'FSL Source'!F85</f>
        <v>Nhập liệu thay cho CQ KHCN Tập đoàn</v>
      </c>
      <c r="H85" s="4" t="str">
        <f>'FSL Source'!G85</f>
        <v>Người thao tác: Chuyên quản CLKHCN; phạm vi: Nhận xét, công văn, báo cáo thẩm định. Bắt buộc lưu người quyết định thật, người nhập và văn bản gốc.</v>
      </c>
      <c r="I85" s="3" t="str">
        <f>'FSL Source'!H85</f>
        <v>Chuyên quản VHT</v>
      </c>
      <c r="J85" s="3" t="str">
        <f>'FSL Source'!I85</f>
        <v>Workflow</v>
      </c>
      <c r="K85" s="3" t="str">
        <f>'FSL Source'!J85</f>
        <v>Các luồng cấp Tập đoàn (.02)</v>
      </c>
      <c r="L85" s="3" t="str">
        <f>'FSL Source'!K85</f>
        <v>CAP-12</v>
      </c>
      <c r="M85" s="3" t="str">
        <f>'FSL Source'!L85</f>
        <v>Must</v>
      </c>
      <c r="N85" s="3" t="str">
        <f>'FSL Source'!M85</f>
        <v>Pha 1</v>
      </c>
      <c r="O85" s="3" t="str">
        <f>'FSL Source'!N85</f>
        <v>Đề xuất trong phạm vi</v>
      </c>
      <c r="P85" s="4" t="str">
        <f>'FSL Source'!O85</f>
        <v>Bổ sung theo CAP-12/BRD 0.9</v>
      </c>
      <c r="Q85" s="4">
        <f>'FSL Source'!P85</f>
        <v>0</v>
      </c>
      <c r="R85" s="4">
        <f>'FSL Source'!Q85</f>
        <v>0</v>
      </c>
      <c r="S85" s="3"/>
      <c r="T85" s="3"/>
      <c r="U85" s="8"/>
      <c r="V85" s="8"/>
      <c r="W85" s="9"/>
      <c r="X85" s="9" t="str">
        <f t="shared" si="1"/>
        <v/>
      </c>
      <c r="Y85" s="3" t="s">
        <v>1860</v>
      </c>
      <c r="Z85" s="10">
        <v>0</v>
      </c>
      <c r="AA85" s="4"/>
    </row>
    <row r="86" spans="1:27" ht="51">
      <c r="A86" s="3" t="str">
        <f>B86&amp;"."&amp;TEXT(COUNTIF($B$5:B86,B86),"000")</f>
        <v>1.04.03.002</v>
      </c>
      <c r="B86" s="3" t="str">
        <f>IFERROR(INDEX('Work Packages'!$A$5:$A$200,MATCH(D86&amp;"|"&amp;E86,'Work Packages'!$P$5:$P$200,0)),"")</f>
        <v>1.04.03</v>
      </c>
      <c r="C86" s="3" t="str">
        <f>'FSL Source'!B86</f>
        <v>TSK-PROXY-002</v>
      </c>
      <c r="D86" s="3" t="str">
        <f>'FSL Source'!C86</f>
        <v>Không gian làm việc &amp; Task</v>
      </c>
      <c r="E86" s="3" t="str">
        <f>'FSL Source'!D86</f>
        <v>Nhập liệu thay cấp Tập đoàn</v>
      </c>
      <c r="F86" s="4" t="str">
        <f>'FSL Source'!E86</f>
        <v>Quan hệ nhập liệu thay</v>
      </c>
      <c r="G86" s="4" t="str">
        <f>'FSL Source'!F86</f>
        <v>Nhập liệu thay cho Hội đồng xét duyệt Tập đoàn</v>
      </c>
      <c r="H86" s="4" t="str">
        <f>'FSL Source'!G86</f>
        <v>Người thao tác: Chuyên quản CLKHCN; phạm vi: Danh sách hội đồng, phiếu nhận xét, phiếu đánh giá, biên bản các phiên. Bắt buộc lưu người quyết định thật, người nhập và văn bản gốc.</v>
      </c>
      <c r="I86" s="3" t="str">
        <f>'FSL Source'!H86</f>
        <v>Chuyên quản VHT</v>
      </c>
      <c r="J86" s="3" t="str">
        <f>'FSL Source'!I86</f>
        <v>Workflow</v>
      </c>
      <c r="K86" s="3" t="str">
        <f>'FSL Source'!J86</f>
        <v>Các luồng cấp Tập đoàn (.02)</v>
      </c>
      <c r="L86" s="3" t="str">
        <f>'FSL Source'!K86</f>
        <v>CAP-12</v>
      </c>
      <c r="M86" s="3" t="str">
        <f>'FSL Source'!L86</f>
        <v>Must</v>
      </c>
      <c r="N86" s="3" t="str">
        <f>'FSL Source'!M86</f>
        <v>Pha 1</v>
      </c>
      <c r="O86" s="3" t="str">
        <f>'FSL Source'!N86</f>
        <v>Đề xuất trong phạm vi</v>
      </c>
      <c r="P86" s="4" t="str">
        <f>'FSL Source'!O86</f>
        <v>Bổ sung theo CAP-12/BRD 0.9</v>
      </c>
      <c r="Q86" s="4">
        <f>'FSL Source'!P86</f>
        <v>0</v>
      </c>
      <c r="R86" s="4">
        <f>'FSL Source'!Q86</f>
        <v>0</v>
      </c>
      <c r="S86" s="3"/>
      <c r="T86" s="3"/>
      <c r="U86" s="8"/>
      <c r="V86" s="8"/>
      <c r="W86" s="9"/>
      <c r="X86" s="9" t="str">
        <f t="shared" si="1"/>
        <v/>
      </c>
      <c r="Y86" s="3" t="s">
        <v>1860</v>
      </c>
      <c r="Z86" s="10">
        <v>0</v>
      </c>
      <c r="AA86" s="4"/>
    </row>
    <row r="87" spans="1:27" ht="51">
      <c r="A87" s="3" t="str">
        <f>B87&amp;"."&amp;TEXT(COUNTIF($B$5:B87,B87),"000")</f>
        <v>1.04.03.003</v>
      </c>
      <c r="B87" s="3" t="str">
        <f>IFERROR(INDEX('Work Packages'!$A$5:$A$200,MATCH(D87&amp;"|"&amp;E87,'Work Packages'!$P$5:$P$200,0)),"")</f>
        <v>1.04.03</v>
      </c>
      <c r="C87" s="3" t="str">
        <f>'FSL Source'!B87</f>
        <v>TSK-PROXY-003</v>
      </c>
      <c r="D87" s="3" t="str">
        <f>'FSL Source'!C87</f>
        <v>Không gian làm việc &amp; Task</v>
      </c>
      <c r="E87" s="3" t="str">
        <f>'FSL Source'!D87</f>
        <v>Nhập liệu thay cấp Tập đoàn</v>
      </c>
      <c r="F87" s="4" t="str">
        <f>'FSL Source'!E87</f>
        <v>Quan hệ nhập liệu thay</v>
      </c>
      <c r="G87" s="4" t="str">
        <f>'FSL Source'!F87</f>
        <v>Nhập liệu thay cho Hội đồng Tập đoàn</v>
      </c>
      <c r="H87" s="4" t="str">
        <f>'FSL Source'!G87</f>
        <v>Người thao tác: Chuyên quản CLKHCN/TCKT/MS/NS; phạm vi: Nhận xét và kết quả phê duyệt. Bắt buộc lưu người quyết định thật, người nhập và văn bản gốc.</v>
      </c>
      <c r="I87" s="3" t="str">
        <f>'FSL Source'!H87</f>
        <v>Chuyên quản VHT</v>
      </c>
      <c r="J87" s="3" t="str">
        <f>'FSL Source'!I87</f>
        <v>Workflow</v>
      </c>
      <c r="K87" s="3" t="str">
        <f>'FSL Source'!J87</f>
        <v>Các luồng cấp Tập đoàn (.02)</v>
      </c>
      <c r="L87" s="3" t="str">
        <f>'FSL Source'!K87</f>
        <v>CAP-12</v>
      </c>
      <c r="M87" s="3" t="str">
        <f>'FSL Source'!L87</f>
        <v>Must</v>
      </c>
      <c r="N87" s="3" t="str">
        <f>'FSL Source'!M87</f>
        <v>Pha 1</v>
      </c>
      <c r="O87" s="3" t="str">
        <f>'FSL Source'!N87</f>
        <v>Đề xuất trong phạm vi</v>
      </c>
      <c r="P87" s="4" t="str">
        <f>'FSL Source'!O87</f>
        <v>Bổ sung theo CAP-12/BRD 0.9</v>
      </c>
      <c r="Q87" s="4">
        <f>'FSL Source'!P87</f>
        <v>0</v>
      </c>
      <c r="R87" s="4">
        <f>'FSL Source'!Q87</f>
        <v>0</v>
      </c>
      <c r="S87" s="3"/>
      <c r="T87" s="3"/>
      <c r="U87" s="8"/>
      <c r="V87" s="8"/>
      <c r="W87" s="9"/>
      <c r="X87" s="9" t="str">
        <f t="shared" si="1"/>
        <v/>
      </c>
      <c r="Y87" s="3" t="s">
        <v>1860</v>
      </c>
      <c r="Z87" s="10">
        <v>0</v>
      </c>
      <c r="AA87" s="4"/>
    </row>
    <row r="88" spans="1:27" ht="51">
      <c r="A88" s="3" t="str">
        <f>B88&amp;"."&amp;TEXT(COUNTIF($B$5:B88,B88),"000")</f>
        <v>1.04.03.004</v>
      </c>
      <c r="B88" s="3" t="str">
        <f>IFERROR(INDEX('Work Packages'!$A$5:$A$200,MATCH(D88&amp;"|"&amp;E88,'Work Packages'!$P$5:$P$200,0)),"")</f>
        <v>1.04.03</v>
      </c>
      <c r="C88" s="3" t="str">
        <f>'FSL Source'!B88</f>
        <v>TSK-PROXY-004</v>
      </c>
      <c r="D88" s="3" t="str">
        <f>'FSL Source'!C88</f>
        <v>Không gian làm việc &amp; Task</v>
      </c>
      <c r="E88" s="3" t="str">
        <f>'FSL Source'!D88</f>
        <v>Nhập liệu thay cấp Tập đoàn</v>
      </c>
      <c r="F88" s="4" t="str">
        <f>'FSL Source'!E88</f>
        <v>Quan hệ nhập liệu thay</v>
      </c>
      <c r="G88" s="4" t="str">
        <f>'FSL Source'!F88</f>
        <v>Nhập liệu thay cho HĐ KHCN Tập đoàn</v>
      </c>
      <c r="H88" s="4" t="str">
        <f>'FSL Source'!G88</f>
        <v>Người thao tác: Chuyên quản CLKHCN/TCKT/MS/NS; phạm vi: Nhận xét, công văn, báo cáo thẩm định. Bắt buộc lưu người quyết định thật, người nhập và văn bản gốc.</v>
      </c>
      <c r="I88" s="3" t="str">
        <f>'FSL Source'!H88</f>
        <v>Chuyên quản VHT</v>
      </c>
      <c r="J88" s="3" t="str">
        <f>'FSL Source'!I88</f>
        <v>Workflow</v>
      </c>
      <c r="K88" s="3" t="str">
        <f>'FSL Source'!J88</f>
        <v>Các luồng cấp Tập đoàn (.02)</v>
      </c>
      <c r="L88" s="3" t="str">
        <f>'FSL Source'!K88</f>
        <v>CAP-12</v>
      </c>
      <c r="M88" s="3" t="str">
        <f>'FSL Source'!L88</f>
        <v>Must</v>
      </c>
      <c r="N88" s="3" t="str">
        <f>'FSL Source'!M88</f>
        <v>Pha 1</v>
      </c>
      <c r="O88" s="3" t="str">
        <f>'FSL Source'!N88</f>
        <v>Đề xuất trong phạm vi</v>
      </c>
      <c r="P88" s="4" t="str">
        <f>'FSL Source'!O88</f>
        <v>Bổ sung theo CAP-12/BRD 0.9</v>
      </c>
      <c r="Q88" s="4">
        <f>'FSL Source'!P88</f>
        <v>0</v>
      </c>
      <c r="R88" s="4">
        <f>'FSL Source'!Q88</f>
        <v>0</v>
      </c>
      <c r="S88" s="3"/>
      <c r="T88" s="3"/>
      <c r="U88" s="8"/>
      <c r="V88" s="8"/>
      <c r="W88" s="9"/>
      <c r="X88" s="9" t="str">
        <f t="shared" si="1"/>
        <v/>
      </c>
      <c r="Y88" s="3" t="s">
        <v>1860</v>
      </c>
      <c r="Z88" s="10">
        <v>0</v>
      </c>
      <c r="AA88" s="4"/>
    </row>
    <row r="89" spans="1:27" ht="51">
      <c r="A89" s="3" t="str">
        <f>B89&amp;"."&amp;TEXT(COUNTIF($B$5:B89,B89),"000")</f>
        <v>1.04.03.005</v>
      </c>
      <c r="B89" s="3" t="str">
        <f>IFERROR(INDEX('Work Packages'!$A$5:$A$200,MATCH(D89&amp;"|"&amp;E89,'Work Packages'!$P$5:$P$200,0)),"")</f>
        <v>1.04.03</v>
      </c>
      <c r="C89" s="3" t="str">
        <f>'FSL Source'!B89</f>
        <v>TSK-PROXY-005</v>
      </c>
      <c r="D89" s="3" t="str">
        <f>'FSL Source'!C89</f>
        <v>Không gian làm việc &amp; Task</v>
      </c>
      <c r="E89" s="3" t="str">
        <f>'FSL Source'!D89</f>
        <v>Nhập liệu thay cấp Tập đoàn</v>
      </c>
      <c r="F89" s="4" t="str">
        <f>'FSL Source'!E89</f>
        <v>Quan hệ nhập liệu thay</v>
      </c>
      <c r="G89" s="4" t="str">
        <f>'FSL Source'!F89</f>
        <v>Nhập liệu thay cho Cơ quan nghiệp vụ Tập đoàn</v>
      </c>
      <c r="H89" s="4" t="str">
        <f>'FSL Source'!G89</f>
        <v>Người thao tác: Chuyên quản CLKHCN/TCKT/MS/NS; phạm vi: Nhận xét và kết quả phê duyệt. Bắt buộc lưu người quyết định thật, người nhập và văn bản gốc.</v>
      </c>
      <c r="I89" s="3" t="str">
        <f>'FSL Source'!H89</f>
        <v>Chuyên quản VHT</v>
      </c>
      <c r="J89" s="3" t="str">
        <f>'FSL Source'!I89</f>
        <v>Workflow</v>
      </c>
      <c r="K89" s="3" t="str">
        <f>'FSL Source'!J89</f>
        <v>Các luồng cấp Tập đoàn (.02)</v>
      </c>
      <c r="L89" s="3" t="str">
        <f>'FSL Source'!K89</f>
        <v>CAP-12</v>
      </c>
      <c r="M89" s="3" t="str">
        <f>'FSL Source'!L89</f>
        <v>Must</v>
      </c>
      <c r="N89" s="3" t="str">
        <f>'FSL Source'!M89</f>
        <v>Pha 1</v>
      </c>
      <c r="O89" s="3" t="str">
        <f>'FSL Source'!N89</f>
        <v>Đề xuất trong phạm vi</v>
      </c>
      <c r="P89" s="4" t="str">
        <f>'FSL Source'!O89</f>
        <v>Bổ sung theo CAP-12/BRD 0.9</v>
      </c>
      <c r="Q89" s="4">
        <f>'FSL Source'!P89</f>
        <v>0</v>
      </c>
      <c r="R89" s="4">
        <f>'FSL Source'!Q89</f>
        <v>0</v>
      </c>
      <c r="S89" s="3"/>
      <c r="T89" s="3"/>
      <c r="U89" s="8"/>
      <c r="V89" s="8"/>
      <c r="W89" s="9"/>
      <c r="X89" s="9" t="str">
        <f t="shared" si="1"/>
        <v/>
      </c>
      <c r="Y89" s="3" t="s">
        <v>1860</v>
      </c>
      <c r="Z89" s="10">
        <v>0</v>
      </c>
      <c r="AA89" s="4"/>
    </row>
    <row r="90" spans="1:27" ht="38.25">
      <c r="A90" s="3" t="str">
        <f>B90&amp;"."&amp;TEXT(COUNTIF($B$5:B90,B90),"000")</f>
        <v>1.04.03.006</v>
      </c>
      <c r="B90" s="3" t="str">
        <f>IFERROR(INDEX('Work Packages'!$A$5:$A$200,MATCH(D90&amp;"|"&amp;E90,'Work Packages'!$P$5:$P$200,0)),"")</f>
        <v>1.04.03</v>
      </c>
      <c r="C90" s="3" t="str">
        <f>'FSL Source'!B90</f>
        <v>TSK-PROXY-006</v>
      </c>
      <c r="D90" s="3" t="str">
        <f>'FSL Source'!C90</f>
        <v>Không gian làm việc &amp; Task</v>
      </c>
      <c r="E90" s="3" t="str">
        <f>'FSL Source'!D90</f>
        <v>Nhập liệu thay cấp Tập đoàn</v>
      </c>
      <c r="F90" s="4" t="str">
        <f>'FSL Source'!E90</f>
        <v>Quan hệ nhập liệu thay</v>
      </c>
      <c r="G90" s="4" t="str">
        <f>'FSL Source'!F90</f>
        <v>Nhập liệu thay cho BTGĐ Tập đoàn</v>
      </c>
      <c r="H90" s="4" t="str">
        <f>'FSL Source'!G90</f>
        <v>Người thao tác: Chuyên quản CLKHCN; phạm vi: Kết quả phê duyệt các quyết định. Bắt buộc lưu người quyết định thật, người nhập và văn bản gốc.</v>
      </c>
      <c r="I90" s="3" t="str">
        <f>'FSL Source'!H90</f>
        <v>Chuyên quản VHT</v>
      </c>
      <c r="J90" s="3" t="str">
        <f>'FSL Source'!I90</f>
        <v>Workflow</v>
      </c>
      <c r="K90" s="3" t="str">
        <f>'FSL Source'!J90</f>
        <v>Các luồng cấp Tập đoàn (.02)</v>
      </c>
      <c r="L90" s="3" t="str">
        <f>'FSL Source'!K90</f>
        <v>CAP-12</v>
      </c>
      <c r="M90" s="3" t="str">
        <f>'FSL Source'!L90</f>
        <v>Must</v>
      </c>
      <c r="N90" s="3" t="str">
        <f>'FSL Source'!M90</f>
        <v>Pha 1</v>
      </c>
      <c r="O90" s="3" t="str">
        <f>'FSL Source'!N90</f>
        <v>Đề xuất trong phạm vi</v>
      </c>
      <c r="P90" s="4" t="str">
        <f>'FSL Source'!O90</f>
        <v>Bổ sung theo CAP-12/BRD 0.9</v>
      </c>
      <c r="Q90" s="4">
        <f>'FSL Source'!P90</f>
        <v>0</v>
      </c>
      <c r="R90" s="4">
        <f>'FSL Source'!Q90</f>
        <v>0</v>
      </c>
      <c r="S90" s="3"/>
      <c r="T90" s="3"/>
      <c r="U90" s="8"/>
      <c r="V90" s="8"/>
      <c r="W90" s="9"/>
      <c r="X90" s="9" t="str">
        <f t="shared" si="1"/>
        <v/>
      </c>
      <c r="Y90" s="3" t="s">
        <v>1860</v>
      </c>
      <c r="Z90" s="10">
        <v>0</v>
      </c>
      <c r="AA90" s="4"/>
    </row>
    <row r="91" spans="1:27" ht="25.5">
      <c r="A91" s="3" t="str">
        <f>B91&amp;"."&amp;TEXT(COUNTIF($B$5:B91,B91),"000")</f>
        <v>1.04.04.001</v>
      </c>
      <c r="B91" s="3" t="str">
        <f>IFERROR(INDEX('Work Packages'!$A$5:$A$200,MATCH(D91&amp;"|"&amp;E91,'Work Packages'!$P$5:$P$200,0)),"")</f>
        <v>1.04.04</v>
      </c>
      <c r="C91" s="3" t="str">
        <f>'FSL Source'!B91</f>
        <v>TSK-EXC-001</v>
      </c>
      <c r="D91" s="3" t="str">
        <f>'FSL Source'!C91</f>
        <v>Không gian làm việc &amp; Task</v>
      </c>
      <c r="E91" s="3" t="str">
        <f>'FSL Source'!D91</f>
        <v>Xử lý ngoại lệ có kiểm soát</v>
      </c>
      <c r="F91" s="4" t="str">
        <f>'FSL Source'!E91</f>
        <v>Exception action</v>
      </c>
      <c r="G91" s="4" t="str">
        <f>'FSL Source'!F91</f>
        <v>Yêu cầu bỏ qua Hội đồng</v>
      </c>
      <c r="H91" s="4" t="str">
        <f>'FSL Source'!G91</f>
        <v>Tạo exception request, yêu cầu lý do/bằng chứng và cấp duyệt độc lập.</v>
      </c>
      <c r="I91" s="3" t="str">
        <f>'FSL Source'!H91</f>
        <v>Người yêu cầu/Người duyệt ngoại lệ</v>
      </c>
      <c r="J91" s="3" t="str">
        <f>'FSL Source'!I91</f>
        <v>Workflow</v>
      </c>
      <c r="K91" s="3">
        <f>'FSL Source'!J91</f>
        <v>0</v>
      </c>
      <c r="L91" s="3" t="str">
        <f>'FSL Source'!K91</f>
        <v>CAP-14</v>
      </c>
      <c r="M91" s="3" t="str">
        <f>'FSL Source'!L91</f>
        <v>Could</v>
      </c>
      <c r="N91" s="3" t="str">
        <f>'FSL Source'!M91</f>
        <v>Pha 3</v>
      </c>
      <c r="O91" s="3" t="str">
        <f>'FSL Source'!N91</f>
        <v>Cần xác nhận</v>
      </c>
      <c r="P91" s="4" t="str">
        <f>'FSL Source'!O91</f>
        <v>Bổ sung theo controlled-exception-handling</v>
      </c>
      <c r="Q91" s="4">
        <f>'FSL Source'!P91</f>
        <v>0</v>
      </c>
      <c r="R91" s="4">
        <f>'FSL Source'!Q91</f>
        <v>0</v>
      </c>
      <c r="S91" s="3"/>
      <c r="T91" s="3"/>
      <c r="U91" s="8"/>
      <c r="V91" s="8"/>
      <c r="W91" s="9"/>
      <c r="X91" s="9" t="str">
        <f t="shared" si="1"/>
        <v/>
      </c>
      <c r="Y91" s="3" t="s">
        <v>1860</v>
      </c>
      <c r="Z91" s="10">
        <v>0</v>
      </c>
      <c r="AA91" s="4"/>
    </row>
    <row r="92" spans="1:27" ht="25.5">
      <c r="A92" s="3" t="str">
        <f>B92&amp;"."&amp;TEXT(COUNTIF($B$5:B92,B92),"000")</f>
        <v>1.04.04.002</v>
      </c>
      <c r="B92" s="3" t="str">
        <f>IFERROR(INDEX('Work Packages'!$A$5:$A$200,MATCH(D92&amp;"|"&amp;E92,'Work Packages'!$P$5:$P$200,0)),"")</f>
        <v>1.04.04</v>
      </c>
      <c r="C92" s="3" t="str">
        <f>'FSL Source'!B92</f>
        <v>TSK-EXC-002</v>
      </c>
      <c r="D92" s="3" t="str">
        <f>'FSL Source'!C92</f>
        <v>Không gian làm việc &amp; Task</v>
      </c>
      <c r="E92" s="3" t="str">
        <f>'FSL Source'!D92</f>
        <v>Xử lý ngoại lệ có kiểm soát</v>
      </c>
      <c r="F92" s="4" t="str">
        <f>'FSL Source'!E92</f>
        <v>Exception action</v>
      </c>
      <c r="G92" s="4" t="str">
        <f>'FSL Source'!F92</f>
        <v>Yêu cầu trình cấp cao hơn</v>
      </c>
      <c r="H92" s="4" t="str">
        <f>'FSL Source'!G92</f>
        <v>Xin thay đổi tuyến phê duyệt chuẩn theo exception policy.</v>
      </c>
      <c r="I92" s="3" t="str">
        <f>'FSL Source'!H92</f>
        <v>Người yêu cầu/Người duyệt ngoại lệ</v>
      </c>
      <c r="J92" s="3" t="str">
        <f>'FSL Source'!I92</f>
        <v>Workflow</v>
      </c>
      <c r="K92" s="3">
        <f>'FSL Source'!J92</f>
        <v>0</v>
      </c>
      <c r="L92" s="3" t="str">
        <f>'FSL Source'!K92</f>
        <v>CAP-14</v>
      </c>
      <c r="M92" s="3" t="str">
        <f>'FSL Source'!L92</f>
        <v>Could</v>
      </c>
      <c r="N92" s="3" t="str">
        <f>'FSL Source'!M92</f>
        <v>Pha 3</v>
      </c>
      <c r="O92" s="3" t="str">
        <f>'FSL Source'!N92</f>
        <v>Cần xác nhận</v>
      </c>
      <c r="P92" s="4" t="str">
        <f>'FSL Source'!O92</f>
        <v>Bổ sung theo controlled-exception-handling</v>
      </c>
      <c r="Q92" s="4">
        <f>'FSL Source'!P92</f>
        <v>0</v>
      </c>
      <c r="R92" s="4">
        <f>'FSL Source'!Q92</f>
        <v>0</v>
      </c>
      <c r="S92" s="3"/>
      <c r="T92" s="3"/>
      <c r="U92" s="8"/>
      <c r="V92" s="8"/>
      <c r="W92" s="9"/>
      <c r="X92" s="9" t="str">
        <f t="shared" si="1"/>
        <v/>
      </c>
      <c r="Y92" s="3" t="s">
        <v>1860</v>
      </c>
      <c r="Z92" s="10">
        <v>0</v>
      </c>
      <c r="AA92" s="4"/>
    </row>
    <row r="93" spans="1:27" ht="25.5">
      <c r="A93" s="3" t="str">
        <f>B93&amp;"."&amp;TEXT(COUNTIF($B$5:B93,B93),"000")</f>
        <v>1.04.04.003</v>
      </c>
      <c r="B93" s="3" t="str">
        <f>IFERROR(INDEX('Work Packages'!$A$5:$A$200,MATCH(D93&amp;"|"&amp;E93,'Work Packages'!$P$5:$P$200,0)),"")</f>
        <v>1.04.04</v>
      </c>
      <c r="C93" s="3" t="str">
        <f>'FSL Source'!B93</f>
        <v>TSK-EXC-003</v>
      </c>
      <c r="D93" s="3" t="str">
        <f>'FSL Source'!C93</f>
        <v>Không gian làm việc &amp; Task</v>
      </c>
      <c r="E93" s="3" t="str">
        <f>'FSL Source'!D93</f>
        <v>Xử lý ngoại lệ có kiểm soát</v>
      </c>
      <c r="F93" s="4" t="str">
        <f>'FSL Source'!E93</f>
        <v>Exception action</v>
      </c>
      <c r="G93" s="4" t="str">
        <f>'FSL Source'!F93</f>
        <v>Yêu cầu bỏ qua bước</v>
      </c>
      <c r="H93" s="4" t="str">
        <f>'FSL Source'!G93</f>
        <v>Xin bỏ qua bước được phép và ghi rõ bước bị bỏ qua.</v>
      </c>
      <c r="I93" s="3" t="str">
        <f>'FSL Source'!H93</f>
        <v>Người yêu cầu/Người duyệt ngoại lệ</v>
      </c>
      <c r="J93" s="3" t="str">
        <f>'FSL Source'!I93</f>
        <v>Workflow</v>
      </c>
      <c r="K93" s="3">
        <f>'FSL Source'!J93</f>
        <v>0</v>
      </c>
      <c r="L93" s="3" t="str">
        <f>'FSL Source'!K93</f>
        <v>CAP-14</v>
      </c>
      <c r="M93" s="3" t="str">
        <f>'FSL Source'!L93</f>
        <v>Could</v>
      </c>
      <c r="N93" s="3" t="str">
        <f>'FSL Source'!M93</f>
        <v>Pha 3</v>
      </c>
      <c r="O93" s="3" t="str">
        <f>'FSL Source'!N93</f>
        <v>Cần xác nhận</v>
      </c>
      <c r="P93" s="4" t="str">
        <f>'FSL Source'!O93</f>
        <v>Bổ sung theo controlled-exception-handling</v>
      </c>
      <c r="Q93" s="4">
        <f>'FSL Source'!P93</f>
        <v>0</v>
      </c>
      <c r="R93" s="4">
        <f>'FSL Source'!Q93</f>
        <v>0</v>
      </c>
      <c r="S93" s="3"/>
      <c r="T93" s="3"/>
      <c r="U93" s="8"/>
      <c r="V93" s="8"/>
      <c r="W93" s="9"/>
      <c r="X93" s="9" t="str">
        <f t="shared" si="1"/>
        <v/>
      </c>
      <c r="Y93" s="3" t="s">
        <v>1860</v>
      </c>
      <c r="Z93" s="10">
        <v>0</v>
      </c>
      <c r="AA93" s="4"/>
    </row>
    <row r="94" spans="1:27" ht="25.5">
      <c r="A94" s="3" t="str">
        <f>B94&amp;"."&amp;TEXT(COUNTIF($B$5:B94,B94),"000")</f>
        <v>1.04.04.004</v>
      </c>
      <c r="B94" s="3" t="str">
        <f>IFERROR(INDEX('Work Packages'!$A$5:$A$200,MATCH(D94&amp;"|"&amp;E94,'Work Packages'!$P$5:$P$200,0)),"")</f>
        <v>1.04.04</v>
      </c>
      <c r="C94" s="3" t="str">
        <f>'FSL Source'!B94</f>
        <v>TSK-EXC-004</v>
      </c>
      <c r="D94" s="3" t="str">
        <f>'FSL Source'!C94</f>
        <v>Không gian làm việc &amp; Task</v>
      </c>
      <c r="E94" s="3" t="str">
        <f>'FSL Source'!D94</f>
        <v>Xử lý ngoại lệ có kiểm soát</v>
      </c>
      <c r="F94" s="4" t="str">
        <f>'FSL Source'!E94</f>
        <v>Exception action</v>
      </c>
      <c r="G94" s="4" t="str">
        <f>'FSL Source'!F94</f>
        <v>Yêu cầu thêm người thẩm định</v>
      </c>
      <c r="H94" s="4" t="str">
        <f>'FSL Source'!G94</f>
        <v>Bổ sung reviewer ngoài tuyến chuẩn theo chính sách.</v>
      </c>
      <c r="I94" s="3" t="str">
        <f>'FSL Source'!H94</f>
        <v>Người yêu cầu/Người duyệt ngoại lệ</v>
      </c>
      <c r="J94" s="3" t="str">
        <f>'FSL Source'!I94</f>
        <v>Workflow</v>
      </c>
      <c r="K94" s="3">
        <f>'FSL Source'!J94</f>
        <v>0</v>
      </c>
      <c r="L94" s="3" t="str">
        <f>'FSL Source'!K94</f>
        <v>CAP-14</v>
      </c>
      <c r="M94" s="3" t="str">
        <f>'FSL Source'!L94</f>
        <v>Could</v>
      </c>
      <c r="N94" s="3" t="str">
        <f>'FSL Source'!M94</f>
        <v>Pha 3</v>
      </c>
      <c r="O94" s="3" t="str">
        <f>'FSL Source'!N94</f>
        <v>Cần xác nhận</v>
      </c>
      <c r="P94" s="4" t="str">
        <f>'FSL Source'!O94</f>
        <v>Bổ sung theo controlled-exception-handling</v>
      </c>
      <c r="Q94" s="4">
        <f>'FSL Source'!P94</f>
        <v>0</v>
      </c>
      <c r="R94" s="4">
        <f>'FSL Source'!Q94</f>
        <v>0</v>
      </c>
      <c r="S94" s="3"/>
      <c r="T94" s="3"/>
      <c r="U94" s="8"/>
      <c r="V94" s="8"/>
      <c r="W94" s="9"/>
      <c r="X94" s="9" t="str">
        <f t="shared" si="1"/>
        <v/>
      </c>
      <c r="Y94" s="3" t="s">
        <v>1860</v>
      </c>
      <c r="Z94" s="10">
        <v>0</v>
      </c>
      <c r="AA94" s="4"/>
    </row>
    <row r="95" spans="1:27" ht="25.5">
      <c r="A95" s="3" t="str">
        <f>B95&amp;"."&amp;TEXT(COUNTIF($B$5:B95,B95),"000")</f>
        <v>1.04.04.005</v>
      </c>
      <c r="B95" s="3" t="str">
        <f>IFERROR(INDEX('Work Packages'!$A$5:$A$200,MATCH(D95&amp;"|"&amp;E95,'Work Packages'!$P$5:$P$200,0)),"")</f>
        <v>1.04.04</v>
      </c>
      <c r="C95" s="3" t="str">
        <f>'FSL Source'!B95</f>
        <v>TSK-EXC-005</v>
      </c>
      <c r="D95" s="3" t="str">
        <f>'FSL Source'!C95</f>
        <v>Không gian làm việc &amp; Task</v>
      </c>
      <c r="E95" s="3" t="str">
        <f>'FSL Source'!D95</f>
        <v>Xử lý ngoại lệ có kiểm soát</v>
      </c>
      <c r="F95" s="4" t="str">
        <f>'FSL Source'!E95</f>
        <v>Exception action</v>
      </c>
      <c r="G95" s="4" t="str">
        <f>'FSL Source'!F95</f>
        <v>Yêu cầu thay người xử lý</v>
      </c>
      <c r="H95" s="4" t="str">
        <f>'FSL Source'!G95</f>
        <v>Thay approver khi vắng mặt, sai phân công hoặc đổi thẩm quyền.</v>
      </c>
      <c r="I95" s="3" t="str">
        <f>'FSL Source'!H95</f>
        <v>Người yêu cầu/Người duyệt ngoại lệ</v>
      </c>
      <c r="J95" s="3" t="str">
        <f>'FSL Source'!I95</f>
        <v>Workflow</v>
      </c>
      <c r="K95" s="3">
        <f>'FSL Source'!J95</f>
        <v>0</v>
      </c>
      <c r="L95" s="3" t="str">
        <f>'FSL Source'!K95</f>
        <v>CAP-14</v>
      </c>
      <c r="M95" s="3" t="str">
        <f>'FSL Source'!L95</f>
        <v>Could</v>
      </c>
      <c r="N95" s="3" t="str">
        <f>'FSL Source'!M95</f>
        <v>Pha 3</v>
      </c>
      <c r="O95" s="3" t="str">
        <f>'FSL Source'!N95</f>
        <v>Cần xác nhận</v>
      </c>
      <c r="P95" s="4" t="str">
        <f>'FSL Source'!O95</f>
        <v>Bổ sung theo controlled-exception-handling</v>
      </c>
      <c r="Q95" s="4">
        <f>'FSL Source'!P95</f>
        <v>0</v>
      </c>
      <c r="R95" s="4">
        <f>'FSL Source'!Q95</f>
        <v>0</v>
      </c>
      <c r="S95" s="3"/>
      <c r="T95" s="3"/>
      <c r="U95" s="8"/>
      <c r="V95" s="8"/>
      <c r="W95" s="9"/>
      <c r="X95" s="9" t="str">
        <f t="shared" si="1"/>
        <v/>
      </c>
      <c r="Y95" s="3" t="s">
        <v>1860</v>
      </c>
      <c r="Z95" s="10">
        <v>0</v>
      </c>
      <c r="AA95" s="4"/>
    </row>
    <row r="96" spans="1:27" ht="25.5">
      <c r="A96" s="3" t="str">
        <f>B96&amp;"."&amp;TEXT(COUNTIF($B$5:B96,B96),"000")</f>
        <v>1.04.04.006</v>
      </c>
      <c r="B96" s="3" t="str">
        <f>IFERROR(INDEX('Work Packages'!$A$5:$A$200,MATCH(D96&amp;"|"&amp;E96,'Work Packages'!$P$5:$P$200,0)),"")</f>
        <v>1.04.04</v>
      </c>
      <c r="C96" s="3" t="str">
        <f>'FSL Source'!B96</f>
        <v>TSK-EXC-006</v>
      </c>
      <c r="D96" s="3" t="str">
        <f>'FSL Source'!C96</f>
        <v>Không gian làm việc &amp; Task</v>
      </c>
      <c r="E96" s="3" t="str">
        <f>'FSL Source'!D96</f>
        <v>Xử lý ngoại lệ có kiểm soát</v>
      </c>
      <c r="F96" s="4" t="str">
        <f>'FSL Source'!E96</f>
        <v>Exception action</v>
      </c>
      <c r="G96" s="4" t="str">
        <f>'FSL Source'!F96</f>
        <v>Yêu cầu mở lại bước</v>
      </c>
      <c r="H96" s="4" t="str">
        <f>'FSL Source'!G96</f>
        <v>Mở lại bước đã hoàn tất với kiểm soát chặt và bằng chứng.</v>
      </c>
      <c r="I96" s="3" t="str">
        <f>'FSL Source'!H96</f>
        <v>Người yêu cầu/Người duyệt ngoại lệ</v>
      </c>
      <c r="J96" s="3" t="str">
        <f>'FSL Source'!I96</f>
        <v>Workflow</v>
      </c>
      <c r="K96" s="3">
        <f>'FSL Source'!J96</f>
        <v>0</v>
      </c>
      <c r="L96" s="3" t="str">
        <f>'FSL Source'!K96</f>
        <v>CAP-14</v>
      </c>
      <c r="M96" s="3" t="str">
        <f>'FSL Source'!L96</f>
        <v>Could</v>
      </c>
      <c r="N96" s="3" t="str">
        <f>'FSL Source'!M96</f>
        <v>Pha 3</v>
      </c>
      <c r="O96" s="3" t="str">
        <f>'FSL Source'!N96</f>
        <v>Cần xác nhận</v>
      </c>
      <c r="P96" s="4" t="str">
        <f>'FSL Source'!O96</f>
        <v>Bổ sung theo controlled-exception-handling</v>
      </c>
      <c r="Q96" s="4">
        <f>'FSL Source'!P96</f>
        <v>0</v>
      </c>
      <c r="R96" s="4">
        <f>'FSL Source'!Q96</f>
        <v>0</v>
      </c>
      <c r="S96" s="3"/>
      <c r="T96" s="3"/>
      <c r="U96" s="8"/>
      <c r="V96" s="8"/>
      <c r="W96" s="9"/>
      <c r="X96" s="9" t="str">
        <f t="shared" si="1"/>
        <v/>
      </c>
      <c r="Y96" s="3" t="s">
        <v>1860</v>
      </c>
      <c r="Z96" s="10">
        <v>0</v>
      </c>
      <c r="AA96" s="4"/>
    </row>
    <row r="97" spans="1:27" ht="25.5">
      <c r="A97" s="3" t="str">
        <f>B97&amp;"."&amp;TEXT(COUNTIF($B$5:B97,B97),"000")</f>
        <v>1.04.04.007</v>
      </c>
      <c r="B97" s="3" t="str">
        <f>IFERROR(INDEX('Work Packages'!$A$5:$A$200,MATCH(D97&amp;"|"&amp;E97,'Work Packages'!$P$5:$P$200,0)),"")</f>
        <v>1.04.04</v>
      </c>
      <c r="C97" s="3" t="str">
        <f>'FSL Source'!B97</f>
        <v>TSK-EXC-007</v>
      </c>
      <c r="D97" s="3" t="str">
        <f>'FSL Source'!C97</f>
        <v>Không gian làm việc &amp; Task</v>
      </c>
      <c r="E97" s="3" t="str">
        <f>'FSL Source'!D97</f>
        <v>Xử lý ngoại lệ có kiểm soát</v>
      </c>
      <c r="F97" s="4" t="str">
        <f>'FSL Source'!E97</f>
        <v>Exception action</v>
      </c>
      <c r="G97" s="4" t="str">
        <f>'FSL Source'!F97</f>
        <v>Yêu cầu hoàn tất thủ công</v>
      </c>
      <c r="H97" s="4" t="str">
        <f>'FSL Source'!G97</f>
        <v>Xử lý trường hợp lỗi tích hợp/Camunda, yêu cầu quyền vận hành.</v>
      </c>
      <c r="I97" s="3" t="str">
        <f>'FSL Source'!H97</f>
        <v>Người yêu cầu/Người duyệt ngoại lệ</v>
      </c>
      <c r="J97" s="3" t="str">
        <f>'FSL Source'!I97</f>
        <v>Workflow</v>
      </c>
      <c r="K97" s="3">
        <f>'FSL Source'!J97</f>
        <v>0</v>
      </c>
      <c r="L97" s="3" t="str">
        <f>'FSL Source'!K97</f>
        <v>CAP-14</v>
      </c>
      <c r="M97" s="3" t="str">
        <f>'FSL Source'!L97</f>
        <v>Could</v>
      </c>
      <c r="N97" s="3" t="str">
        <f>'FSL Source'!M97</f>
        <v>Pha 3</v>
      </c>
      <c r="O97" s="3" t="str">
        <f>'FSL Source'!N97</f>
        <v>Cần xác nhận</v>
      </c>
      <c r="P97" s="4" t="str">
        <f>'FSL Source'!O97</f>
        <v>Bổ sung theo controlled-exception-handling</v>
      </c>
      <c r="Q97" s="4">
        <f>'FSL Source'!P97</f>
        <v>0</v>
      </c>
      <c r="R97" s="4">
        <f>'FSL Source'!Q97</f>
        <v>0</v>
      </c>
      <c r="S97" s="3"/>
      <c r="T97" s="3"/>
      <c r="U97" s="8"/>
      <c r="V97" s="8"/>
      <c r="W97" s="9"/>
      <c r="X97" s="9" t="str">
        <f t="shared" si="1"/>
        <v/>
      </c>
      <c r="Y97" s="3" t="s">
        <v>1860</v>
      </c>
      <c r="Z97" s="10">
        <v>0</v>
      </c>
      <c r="AA97" s="4"/>
    </row>
    <row r="98" spans="1:27" ht="25.5">
      <c r="A98" s="3" t="str">
        <f>B98&amp;"."&amp;TEXT(COUNTIF($B$5:B98,B98),"000")</f>
        <v>1.04.04.008</v>
      </c>
      <c r="B98" s="3" t="str">
        <f>IFERROR(INDEX('Work Packages'!$A$5:$A$200,MATCH(D98&amp;"|"&amp;E98,'Work Packages'!$P$5:$P$200,0)),"")</f>
        <v>1.04.04</v>
      </c>
      <c r="C98" s="3" t="str">
        <f>'FSL Source'!B98</f>
        <v>TSK-EXC-008</v>
      </c>
      <c r="D98" s="3" t="str">
        <f>'FSL Source'!C98</f>
        <v>Không gian làm việc &amp; Task</v>
      </c>
      <c r="E98" s="3" t="str">
        <f>'FSL Source'!D98</f>
        <v>Xử lý ngoại lệ có kiểm soát</v>
      </c>
      <c r="F98" s="4" t="str">
        <f>'FSL Source'!E98</f>
        <v>Exception action</v>
      </c>
      <c r="G98" s="4" t="str">
        <f>'FSL Source'!F98</f>
        <v>Yêu cầu phê duyệt khẩn</v>
      </c>
      <c r="H98" s="4" t="str">
        <f>'FSL Source'!G98</f>
        <v>Áp dụng tuyến khẩn, SLA riêng và audit đầy đủ.</v>
      </c>
      <c r="I98" s="3" t="str">
        <f>'FSL Source'!H98</f>
        <v>Người yêu cầu/Người duyệt ngoại lệ</v>
      </c>
      <c r="J98" s="3" t="str">
        <f>'FSL Source'!I98</f>
        <v>Workflow</v>
      </c>
      <c r="K98" s="3">
        <f>'FSL Source'!J98</f>
        <v>0</v>
      </c>
      <c r="L98" s="3" t="str">
        <f>'FSL Source'!K98</f>
        <v>CAP-14</v>
      </c>
      <c r="M98" s="3" t="str">
        <f>'FSL Source'!L98</f>
        <v>Could</v>
      </c>
      <c r="N98" s="3" t="str">
        <f>'FSL Source'!M98</f>
        <v>Pha 3</v>
      </c>
      <c r="O98" s="3" t="str">
        <f>'FSL Source'!N98</f>
        <v>Cần xác nhận</v>
      </c>
      <c r="P98" s="4" t="str">
        <f>'FSL Source'!O98</f>
        <v>Bổ sung theo controlled-exception-handling</v>
      </c>
      <c r="Q98" s="4">
        <f>'FSL Source'!P98</f>
        <v>0</v>
      </c>
      <c r="R98" s="4">
        <f>'FSL Source'!Q98</f>
        <v>0</v>
      </c>
      <c r="S98" s="3"/>
      <c r="T98" s="3"/>
      <c r="U98" s="8"/>
      <c r="V98" s="8"/>
      <c r="W98" s="9"/>
      <c r="X98" s="9" t="str">
        <f t="shared" si="1"/>
        <v/>
      </c>
      <c r="Y98" s="3" t="s">
        <v>1860</v>
      </c>
      <c r="Z98" s="10">
        <v>0</v>
      </c>
      <c r="AA98" s="4"/>
    </row>
    <row r="99" spans="1:27" ht="25.5">
      <c r="A99" s="3" t="str">
        <f>B99&amp;"."&amp;TEXT(COUNTIF($B$5:B99,B99),"000")</f>
        <v>1.05.01.001</v>
      </c>
      <c r="B99" s="3" t="str">
        <f>IFERROR(INDEX('Work Packages'!$A$5:$A$200,MATCH(D99&amp;"|"&amp;E99,'Work Packages'!$P$5:$P$200,0)),"")</f>
        <v>1.05.01</v>
      </c>
      <c r="C99" s="3" t="str">
        <f>'FSL Source'!B99</f>
        <v>DOC-DOS-001</v>
      </c>
      <c r="D99" s="3" t="str">
        <f>'FSL Source'!C99</f>
        <v>Hồ sơ, Tài liệu &amp; Biểu mẫu</v>
      </c>
      <c r="E99" s="3" t="str">
        <f>'FSL Source'!D99</f>
        <v>Quản trị hồ sơ</v>
      </c>
      <c r="F99" s="4" t="str">
        <f>'FSL Source'!E99</f>
        <v>Hồ sơ dùng chung</v>
      </c>
      <c r="G99" s="4" t="str">
        <f>'FSL Source'!F99</f>
        <v>Quản lý hồ sơ theo loại và phiên bản</v>
      </c>
      <c r="H99" s="4" t="str">
        <f>'FSL Source'!G99</f>
        <v>Dùng mô hình dossier chung cho RD01-RD10; lưu trạng thái, phiên bản, chủ thể và business key.</v>
      </c>
      <c r="I99" s="3" t="str">
        <f>'FSL Source'!H99</f>
        <v>Cán bộ KHCN</v>
      </c>
      <c r="J99" s="3" t="str">
        <f>'FSL Source'!I99</f>
        <v>Nền tảng</v>
      </c>
      <c r="K99" s="3" t="str">
        <f>'FSL Source'!J99</f>
        <v>RD01-RD10</v>
      </c>
      <c r="L99" s="3" t="str">
        <f>'FSL Source'!K99</f>
        <v>CAP-04</v>
      </c>
      <c r="M99" s="3" t="str">
        <f>'FSL Source'!L99</f>
        <v>Must</v>
      </c>
      <c r="N99" s="3" t="str">
        <f>'FSL Source'!M99</f>
        <v>Pha 1</v>
      </c>
      <c r="O99" s="3" t="str">
        <f>'FSL Source'!N99</f>
        <v>Đề xuất trong phạm vi</v>
      </c>
      <c r="P99" s="4" t="str">
        <f>'FSL Source'!O99</f>
        <v>Bổ sung</v>
      </c>
      <c r="Q99" s="4">
        <f>'FSL Source'!P99</f>
        <v>0</v>
      </c>
      <c r="R99" s="4">
        <f>'FSL Source'!Q99</f>
        <v>0</v>
      </c>
      <c r="S99" s="3"/>
      <c r="T99" s="3"/>
      <c r="U99" s="8"/>
      <c r="V99" s="8"/>
      <c r="W99" s="9"/>
      <c r="X99" s="9" t="str">
        <f t="shared" si="1"/>
        <v/>
      </c>
      <c r="Y99" s="3" t="s">
        <v>1860</v>
      </c>
      <c r="Z99" s="10">
        <v>0</v>
      </c>
      <c r="AA99" s="4"/>
    </row>
    <row r="100" spans="1:27" ht="25.5">
      <c r="A100" s="3" t="str">
        <f>B100&amp;"."&amp;TEXT(COUNTIF($B$5:B100,B100),"000")</f>
        <v>1.05.01.002</v>
      </c>
      <c r="B100" s="3" t="str">
        <f>IFERROR(INDEX('Work Packages'!$A$5:$A$200,MATCH(D100&amp;"|"&amp;E100,'Work Packages'!$P$5:$P$200,0)),"")</f>
        <v>1.05.01</v>
      </c>
      <c r="C100" s="3" t="str">
        <f>'FSL Source'!B100</f>
        <v>DOC-DOS-002</v>
      </c>
      <c r="D100" s="3" t="str">
        <f>'FSL Source'!C100</f>
        <v>Hồ sơ, Tài liệu &amp; Biểu mẫu</v>
      </c>
      <c r="E100" s="3" t="str">
        <f>'FSL Source'!D100</f>
        <v>Quản trị hồ sơ</v>
      </c>
      <c r="F100" s="4" t="str">
        <f>'FSL Source'!E100</f>
        <v>Hồ sơ dùng chung</v>
      </c>
      <c r="G100" s="4" t="str">
        <f>'FSL Source'!F100</f>
        <v>Checklist thành phần hồ sơ</v>
      </c>
      <c r="H100" s="4" t="str">
        <f>'FSL Source'!G100</f>
        <v>Cấu hình và kiểm tra thành phần bắt buộc theo loại hồ sơ, bước và điều kiện nghiệp vụ.</v>
      </c>
      <c r="I100" s="3" t="str">
        <f>'FSL Source'!H100</f>
        <v>Người lập/Cán bộ KHCN</v>
      </c>
      <c r="J100" s="3" t="str">
        <f>'FSL Source'!I100</f>
        <v>Nghiệp vụ</v>
      </c>
      <c r="K100" s="3" t="str">
        <f>'FSL Source'!J100</f>
        <v>RD01-RD10</v>
      </c>
      <c r="L100" s="3" t="str">
        <f>'FSL Source'!K100</f>
        <v>CAP-04</v>
      </c>
      <c r="M100" s="3" t="str">
        <f>'FSL Source'!L100</f>
        <v>Must</v>
      </c>
      <c r="N100" s="3" t="str">
        <f>'FSL Source'!M100</f>
        <v>Pha 1</v>
      </c>
      <c r="O100" s="3" t="str">
        <f>'FSL Source'!N100</f>
        <v>Đề xuất trong phạm vi</v>
      </c>
      <c r="P100" s="4" t="str">
        <f>'FSL Source'!O100</f>
        <v>Bổ sung</v>
      </c>
      <c r="Q100" s="4">
        <f>'FSL Source'!P100</f>
        <v>0</v>
      </c>
      <c r="R100" s="4">
        <f>'FSL Source'!Q100</f>
        <v>0</v>
      </c>
      <c r="S100" s="3"/>
      <c r="T100" s="3"/>
      <c r="U100" s="8"/>
      <c r="V100" s="8"/>
      <c r="W100" s="9"/>
      <c r="X100" s="9" t="str">
        <f t="shared" si="1"/>
        <v/>
      </c>
      <c r="Y100" s="3" t="s">
        <v>1860</v>
      </c>
      <c r="Z100" s="10">
        <v>0</v>
      </c>
      <c r="AA100" s="4"/>
    </row>
    <row r="101" spans="1:27" ht="25.5">
      <c r="A101" s="3" t="str">
        <f>B101&amp;"."&amp;TEXT(COUNTIF($B$5:B101,B101),"000")</f>
        <v>1.05.01.003</v>
      </c>
      <c r="B101" s="3" t="str">
        <f>IFERROR(INDEX('Work Packages'!$A$5:$A$200,MATCH(D101&amp;"|"&amp;E101,'Work Packages'!$P$5:$P$200,0)),"")</f>
        <v>1.05.01</v>
      </c>
      <c r="C101" s="3" t="str">
        <f>'FSL Source'!B101</f>
        <v>DOC-DOS-003</v>
      </c>
      <c r="D101" s="3" t="str">
        <f>'FSL Source'!C101</f>
        <v>Hồ sơ, Tài liệu &amp; Biểu mẫu</v>
      </c>
      <c r="E101" s="3" t="str">
        <f>'FSL Source'!D101</f>
        <v>Quản trị hồ sơ</v>
      </c>
      <c r="F101" s="4" t="str">
        <f>'FSL Source'!E101</f>
        <v>Hồ sơ dùng chung</v>
      </c>
      <c r="G101" s="4" t="str">
        <f>'FSL Source'!F101</f>
        <v>So sánh phiên bản hồ sơ</v>
      </c>
      <c r="H101" s="4" t="str">
        <f>'FSL Source'!G101</f>
        <v>Hiển thị khác biệt dữ liệu và tài liệu giữa các lần trình/bổ sung.</v>
      </c>
      <c r="I101" s="3" t="str">
        <f>'FSL Source'!H101</f>
        <v>Người xử lý/Audit</v>
      </c>
      <c r="J101" s="3" t="str">
        <f>'FSL Source'!I101</f>
        <v>Audit</v>
      </c>
      <c r="K101" s="3" t="str">
        <f>'FSL Source'!J101</f>
        <v>RD01-RD10</v>
      </c>
      <c r="L101" s="3" t="str">
        <f>'FSL Source'!K101</f>
        <v>CAP-04</v>
      </c>
      <c r="M101" s="3" t="str">
        <f>'FSL Source'!L101</f>
        <v>Should</v>
      </c>
      <c r="N101" s="3" t="str">
        <f>'FSL Source'!M101</f>
        <v>Pha 2</v>
      </c>
      <c r="O101" s="3" t="str">
        <f>'FSL Source'!N101</f>
        <v>Đề xuất trong phạm vi</v>
      </c>
      <c r="P101" s="4" t="str">
        <f>'FSL Source'!O101</f>
        <v>Bổ sung</v>
      </c>
      <c r="Q101" s="4">
        <f>'FSL Source'!P101</f>
        <v>0</v>
      </c>
      <c r="R101" s="4">
        <f>'FSL Source'!Q101</f>
        <v>0</v>
      </c>
      <c r="S101" s="3"/>
      <c r="T101" s="3"/>
      <c r="U101" s="8"/>
      <c r="V101" s="8"/>
      <c r="W101" s="9"/>
      <c r="X101" s="9" t="str">
        <f t="shared" si="1"/>
        <v/>
      </c>
      <c r="Y101" s="3" t="s">
        <v>1860</v>
      </c>
      <c r="Z101" s="10">
        <v>0</v>
      </c>
      <c r="AA101" s="4"/>
    </row>
    <row r="102" spans="1:27" ht="25.5">
      <c r="A102" s="3" t="str">
        <f>B102&amp;"."&amp;TEXT(COUNTIF($B$5:B102,B102),"000")</f>
        <v>1.05.01.004</v>
      </c>
      <c r="B102" s="3" t="str">
        <f>IFERROR(INDEX('Work Packages'!$A$5:$A$200,MATCH(D102&amp;"|"&amp;E102,'Work Packages'!$P$5:$P$200,0)),"")</f>
        <v>1.05.01</v>
      </c>
      <c r="C102" s="3" t="str">
        <f>'FSL Source'!B102</f>
        <v>DOC-DOS-004</v>
      </c>
      <c r="D102" s="3" t="str">
        <f>'FSL Source'!C102</f>
        <v>Hồ sơ, Tài liệu &amp; Biểu mẫu</v>
      </c>
      <c r="E102" s="3" t="str">
        <f>'FSL Source'!D102</f>
        <v>Quản trị hồ sơ</v>
      </c>
      <c r="F102" s="4" t="str">
        <f>'FSL Source'!E102</f>
        <v>Hồ sơ dùng chung</v>
      </c>
      <c r="G102" s="4" t="str">
        <f>'FSL Source'!F102</f>
        <v>Khóa/mở khóa phiên bản trình duyệt</v>
      </c>
      <c r="H102" s="4" t="str">
        <f>'FSL Source'!G102</f>
        <v>Ngăn sửa dữ liệu đã trình; chỉ tạo phiên bản bổ sung theo đúng luồng.</v>
      </c>
      <c r="I102" s="3" t="str">
        <f>'FSL Source'!H102</f>
        <v>Người lập/Cán bộ KHCN</v>
      </c>
      <c r="J102" s="3" t="str">
        <f>'FSL Source'!I102</f>
        <v>Nền tảng</v>
      </c>
      <c r="K102" s="3" t="str">
        <f>'FSL Source'!J102</f>
        <v>RD01-RD10</v>
      </c>
      <c r="L102" s="3" t="str">
        <f>'FSL Source'!K102</f>
        <v>CAP-04</v>
      </c>
      <c r="M102" s="3" t="str">
        <f>'FSL Source'!L102</f>
        <v>Must</v>
      </c>
      <c r="N102" s="3" t="str">
        <f>'FSL Source'!M102</f>
        <v>Pha 1</v>
      </c>
      <c r="O102" s="3" t="str">
        <f>'FSL Source'!N102</f>
        <v>Đề xuất trong phạm vi</v>
      </c>
      <c r="P102" s="4" t="str">
        <f>'FSL Source'!O102</f>
        <v>Bổ sung</v>
      </c>
      <c r="Q102" s="4">
        <f>'FSL Source'!P102</f>
        <v>0</v>
      </c>
      <c r="R102" s="4">
        <f>'FSL Source'!Q102</f>
        <v>0</v>
      </c>
      <c r="S102" s="3"/>
      <c r="T102" s="3"/>
      <c r="U102" s="8"/>
      <c r="V102" s="8"/>
      <c r="W102" s="9"/>
      <c r="X102" s="9" t="str">
        <f t="shared" si="1"/>
        <v/>
      </c>
      <c r="Y102" s="3" t="s">
        <v>1860</v>
      </c>
      <c r="Z102" s="10">
        <v>0</v>
      </c>
      <c r="AA102" s="4"/>
    </row>
    <row r="103" spans="1:27" ht="25.5">
      <c r="A103" s="3" t="str">
        <f>B103&amp;"."&amp;TEXT(COUNTIF($B$5:B103,B103),"000")</f>
        <v>1.05.02.001</v>
      </c>
      <c r="B103" s="3" t="str">
        <f>IFERROR(INDEX('Work Packages'!$A$5:$A$200,MATCH(D103&amp;"|"&amp;E103,'Work Packages'!$P$5:$P$200,0)),"")</f>
        <v>1.05.02</v>
      </c>
      <c r="C103" s="3" t="str">
        <f>'FSL Source'!B103</f>
        <v>DOC-FORM-001</v>
      </c>
      <c r="D103" s="3" t="str">
        <f>'FSL Source'!C103</f>
        <v>Hồ sơ, Tài liệu &amp; Biểu mẫu</v>
      </c>
      <c r="E103" s="3" t="str">
        <f>'FSL Source'!D103</f>
        <v>Biểu mẫu động</v>
      </c>
      <c r="F103" s="4" t="str">
        <f>'FSL Source'!E103</f>
        <v>Biểu mẫu điện tử (eForm)</v>
      </c>
      <c r="G103" s="4" t="str">
        <f>'FSL Source'!F103</f>
        <v>Xem danh sách Biểu mẫu điện tử (eForm)</v>
      </c>
      <c r="H103" s="4" t="str">
        <f>'FSL Source'!G103</f>
        <v>Tra cứu danh sách, phân trang, sắp xếp và lọc Biểu mẫu điện tử (eForm) theo các tiêu chí nghiệp vụ.</v>
      </c>
      <c r="I103" s="3" t="str">
        <f>'FSL Source'!H103</f>
        <v>Quản trị cấu hình</v>
      </c>
      <c r="J103" s="3" t="str">
        <f>'FSL Source'!I103</f>
        <v>Nghiệp vụ</v>
      </c>
      <c r="K103" s="3">
        <f>'FSL Source'!J103</f>
        <v>0</v>
      </c>
      <c r="L103" s="3" t="str">
        <f>'FSL Source'!K103</f>
        <v>CAP-05</v>
      </c>
      <c r="M103" s="3" t="str">
        <f>'FSL Source'!L103</f>
        <v>Must</v>
      </c>
      <c r="N103" s="3" t="str">
        <f>'FSL Source'!M103</f>
        <v>Pha 1</v>
      </c>
      <c r="O103" s="3" t="str">
        <f>'FSL Source'!N103</f>
        <v>Đề xuất trong phạm vi</v>
      </c>
      <c r="P103" s="4" t="str">
        <f>'FSL Source'!O103</f>
        <v>Hiệu chỉnh từ VHT_WBS</v>
      </c>
      <c r="Q103" s="4" t="str">
        <f>'FSL Source'!P103</f>
        <v>Danh sách hiển thị đúng phạm vi dữ liệu và hỗ trợ lọc/xuất theo quyền.</v>
      </c>
      <c r="R103" s="4">
        <f>'FSL Source'!Q103</f>
        <v>0</v>
      </c>
      <c r="S103" s="3"/>
      <c r="T103" s="3"/>
      <c r="U103" s="8"/>
      <c r="V103" s="8"/>
      <c r="W103" s="9"/>
      <c r="X103" s="9" t="str">
        <f t="shared" si="1"/>
        <v/>
      </c>
      <c r="Y103" s="3" t="s">
        <v>1860</v>
      </c>
      <c r="Z103" s="10">
        <v>0</v>
      </c>
      <c r="AA103" s="4"/>
    </row>
    <row r="104" spans="1:27" ht="25.5">
      <c r="A104" s="3" t="str">
        <f>B104&amp;"."&amp;TEXT(COUNTIF($B$5:B104,B104),"000")</f>
        <v>1.05.02.002</v>
      </c>
      <c r="B104" s="3" t="str">
        <f>IFERROR(INDEX('Work Packages'!$A$5:$A$200,MATCH(D104&amp;"|"&amp;E104,'Work Packages'!$P$5:$P$200,0)),"")</f>
        <v>1.05.02</v>
      </c>
      <c r="C104" s="3" t="str">
        <f>'FSL Source'!B104</f>
        <v>DOC-FORM-002</v>
      </c>
      <c r="D104" s="3" t="str">
        <f>'FSL Source'!C104</f>
        <v>Hồ sơ, Tài liệu &amp; Biểu mẫu</v>
      </c>
      <c r="E104" s="3" t="str">
        <f>'FSL Source'!D104</f>
        <v>Biểu mẫu động</v>
      </c>
      <c r="F104" s="4" t="str">
        <f>'FSL Source'!E104</f>
        <v>Biểu mẫu điện tử (eForm)</v>
      </c>
      <c r="G104" s="4" t="str">
        <f>'FSL Source'!F104</f>
        <v>Tạo mới Biểu mẫu điện tử (eForm)</v>
      </c>
      <c r="H104" s="4" t="str">
        <f>'FSL Source'!G104</f>
        <v>Khởi tạo Biểu mẫu điện tử (eForm), kiểm tra dữ liệu bắt buộc và lưu nháp trước khi hoàn tất.</v>
      </c>
      <c r="I104" s="3" t="str">
        <f>'FSL Source'!H104</f>
        <v>Quản trị cấu hình</v>
      </c>
      <c r="J104" s="3" t="str">
        <f>'FSL Source'!I104</f>
        <v>Nghiệp vụ</v>
      </c>
      <c r="K104" s="3">
        <f>'FSL Source'!J104</f>
        <v>0</v>
      </c>
      <c r="L104" s="3" t="str">
        <f>'FSL Source'!K104</f>
        <v>CAP-05</v>
      </c>
      <c r="M104" s="3" t="str">
        <f>'FSL Source'!L104</f>
        <v>Must</v>
      </c>
      <c r="N104" s="3" t="str">
        <f>'FSL Source'!M104</f>
        <v>Pha 1</v>
      </c>
      <c r="O104" s="3" t="str">
        <f>'FSL Source'!N104</f>
        <v>Đề xuất trong phạm vi</v>
      </c>
      <c r="P104" s="4" t="str">
        <f>'FSL Source'!O104</f>
        <v>Hiệu chỉnh từ VHT_WBS</v>
      </c>
      <c r="Q104" s="4" t="str">
        <f>'FSL Source'!P104</f>
        <v>Dữ liệu hợp lệ được lưu; lỗi validation hiển thị tại trường tương ứng.</v>
      </c>
      <c r="R104" s="4">
        <f>'FSL Source'!Q104</f>
        <v>0</v>
      </c>
      <c r="S104" s="3"/>
      <c r="T104" s="3"/>
      <c r="U104" s="8"/>
      <c r="V104" s="8"/>
      <c r="W104" s="9"/>
      <c r="X104" s="9" t="str">
        <f t="shared" si="1"/>
        <v/>
      </c>
      <c r="Y104" s="3" t="s">
        <v>1860</v>
      </c>
      <c r="Z104" s="10">
        <v>0</v>
      </c>
      <c r="AA104" s="4"/>
    </row>
    <row r="105" spans="1:27" ht="25.5">
      <c r="A105" s="3" t="str">
        <f>B105&amp;"."&amp;TEXT(COUNTIF($B$5:B105,B105),"000")</f>
        <v>1.05.02.003</v>
      </c>
      <c r="B105" s="3" t="str">
        <f>IFERROR(INDEX('Work Packages'!$A$5:$A$200,MATCH(D105&amp;"|"&amp;E105,'Work Packages'!$P$5:$P$200,0)),"")</f>
        <v>1.05.02</v>
      </c>
      <c r="C105" s="3" t="str">
        <f>'FSL Source'!B105</f>
        <v>DOC-FORM-003</v>
      </c>
      <c r="D105" s="3" t="str">
        <f>'FSL Source'!C105</f>
        <v>Hồ sơ, Tài liệu &amp; Biểu mẫu</v>
      </c>
      <c r="E105" s="3" t="str">
        <f>'FSL Source'!D105</f>
        <v>Biểu mẫu động</v>
      </c>
      <c r="F105" s="4" t="str">
        <f>'FSL Source'!E105</f>
        <v>Biểu mẫu điện tử (eForm)</v>
      </c>
      <c r="G105" s="4" t="str">
        <f>'FSL Source'!F105</f>
        <v>Sao chép Biểu mẫu điện tử (eForm)</v>
      </c>
      <c r="H105" s="4" t="str">
        <f>'FSL Source'!G105</f>
        <v>Tạo bản mới từ một Biểu mẫu điện tử (eForm) hiện hữu và loại bỏ các thông tin không được kế thừa.</v>
      </c>
      <c r="I105" s="3" t="str">
        <f>'FSL Source'!H105</f>
        <v>Quản trị cấu hình</v>
      </c>
      <c r="J105" s="3" t="str">
        <f>'FSL Source'!I105</f>
        <v>Nghiệp vụ</v>
      </c>
      <c r="K105" s="3">
        <f>'FSL Source'!J105</f>
        <v>0</v>
      </c>
      <c r="L105" s="3" t="str">
        <f>'FSL Source'!K105</f>
        <v>CAP-05</v>
      </c>
      <c r="M105" s="3" t="str">
        <f>'FSL Source'!L105</f>
        <v>Should</v>
      </c>
      <c r="N105" s="3" t="str">
        <f>'FSL Source'!M105</f>
        <v>Pha 1</v>
      </c>
      <c r="O105" s="3" t="str">
        <f>'FSL Source'!N105</f>
        <v>Đề xuất trong phạm vi</v>
      </c>
      <c r="P105" s="4" t="str">
        <f>'FSL Source'!O105</f>
        <v>Hiệu chỉnh từ VHT_WBS</v>
      </c>
      <c r="Q105" s="4" t="str">
        <f>'FSL Source'!P105</f>
        <v>Bản sao có mã/phiên bản mới và không làm thay đổi bản nguồn.</v>
      </c>
      <c r="R105" s="4">
        <f>'FSL Source'!Q105</f>
        <v>0</v>
      </c>
      <c r="S105" s="3"/>
      <c r="T105" s="3"/>
      <c r="U105" s="8"/>
      <c r="V105" s="8"/>
      <c r="W105" s="9"/>
      <c r="X105" s="9" t="str">
        <f t="shared" si="1"/>
        <v/>
      </c>
      <c r="Y105" s="3" t="s">
        <v>1860</v>
      </c>
      <c r="Z105" s="10">
        <v>0</v>
      </c>
      <c r="AA105" s="4"/>
    </row>
    <row r="106" spans="1:27" ht="38.25">
      <c r="A106" s="3" t="str">
        <f>B106&amp;"."&amp;TEXT(COUNTIF($B$5:B106,B106),"000")</f>
        <v>1.05.02.004</v>
      </c>
      <c r="B106" s="3" t="str">
        <f>IFERROR(INDEX('Work Packages'!$A$5:$A$200,MATCH(D106&amp;"|"&amp;E106,'Work Packages'!$P$5:$P$200,0)),"")</f>
        <v>1.05.02</v>
      </c>
      <c r="C106" s="3" t="str">
        <f>'FSL Source'!B106</f>
        <v>DOC-FORM-004</v>
      </c>
      <c r="D106" s="3" t="str">
        <f>'FSL Source'!C106</f>
        <v>Hồ sơ, Tài liệu &amp; Biểu mẫu</v>
      </c>
      <c r="E106" s="3" t="str">
        <f>'FSL Source'!D106</f>
        <v>Biểu mẫu động</v>
      </c>
      <c r="F106" s="4" t="str">
        <f>'FSL Source'!E106</f>
        <v>Biểu mẫu điện tử (eForm)</v>
      </c>
      <c r="G106" s="4" t="str">
        <f>'FSL Source'!F106</f>
        <v>Xem chi tiết Biểu mẫu điện tử (eForm)</v>
      </c>
      <c r="H106" s="4" t="str">
        <f>'FSL Source'!G106</f>
        <v>Hiển thị thông tin tổng quan, dữ liệu chi tiết, tài liệu liên quan và trạng thái của Biểu mẫu điện tử (eForm).</v>
      </c>
      <c r="I106" s="3" t="str">
        <f>'FSL Source'!H106</f>
        <v>Quản trị cấu hình</v>
      </c>
      <c r="J106" s="3" t="str">
        <f>'FSL Source'!I106</f>
        <v>Nghiệp vụ</v>
      </c>
      <c r="K106" s="3">
        <f>'FSL Source'!J106</f>
        <v>0</v>
      </c>
      <c r="L106" s="3" t="str">
        <f>'FSL Source'!K106</f>
        <v>CAP-05</v>
      </c>
      <c r="M106" s="3" t="str">
        <f>'FSL Source'!L106</f>
        <v>Must</v>
      </c>
      <c r="N106" s="3" t="str">
        <f>'FSL Source'!M106</f>
        <v>Pha 1</v>
      </c>
      <c r="O106" s="3" t="str">
        <f>'FSL Source'!N106</f>
        <v>Đề xuất trong phạm vi</v>
      </c>
      <c r="P106" s="4" t="str">
        <f>'FSL Source'!O106</f>
        <v>Hiệu chỉnh từ VHT_WBS</v>
      </c>
      <c r="Q106" s="4" t="str">
        <f>'FSL Source'!P106</f>
        <v>Thông tin hiển thị đúng phiên bản và quyền truy cập.</v>
      </c>
      <c r="R106" s="4">
        <f>'FSL Source'!Q106</f>
        <v>0</v>
      </c>
      <c r="S106" s="3"/>
      <c r="T106" s="3"/>
      <c r="U106" s="8"/>
      <c r="V106" s="8"/>
      <c r="W106" s="9"/>
      <c r="X106" s="9" t="str">
        <f t="shared" si="1"/>
        <v/>
      </c>
      <c r="Y106" s="3" t="s">
        <v>1860</v>
      </c>
      <c r="Z106" s="10">
        <v>0</v>
      </c>
      <c r="AA106" s="4"/>
    </row>
    <row r="107" spans="1:27" ht="38.25">
      <c r="A107" s="3" t="str">
        <f>B107&amp;"."&amp;TEXT(COUNTIF($B$5:B107,B107),"000")</f>
        <v>1.05.02.005</v>
      </c>
      <c r="B107" s="3" t="str">
        <f>IFERROR(INDEX('Work Packages'!$A$5:$A$200,MATCH(D107&amp;"|"&amp;E107,'Work Packages'!$P$5:$P$200,0)),"")</f>
        <v>1.05.02</v>
      </c>
      <c r="C107" s="3" t="str">
        <f>'FSL Source'!B107</f>
        <v>DOC-FORM-005</v>
      </c>
      <c r="D107" s="3" t="str">
        <f>'FSL Source'!C107</f>
        <v>Hồ sơ, Tài liệu &amp; Biểu mẫu</v>
      </c>
      <c r="E107" s="3" t="str">
        <f>'FSL Source'!D107</f>
        <v>Biểu mẫu động</v>
      </c>
      <c r="F107" s="4" t="str">
        <f>'FSL Source'!E107</f>
        <v>Biểu mẫu điện tử (eForm)</v>
      </c>
      <c r="G107" s="4" t="str">
        <f>'FSL Source'!F107</f>
        <v>Chỉnh sửa Biểu mẫu điện tử (eForm)</v>
      </c>
      <c r="H107" s="4" t="str">
        <f>'FSL Source'!G107</f>
        <v>Cập nhật Biểu mẫu điện tử (eForm) khi trạng thái và quyền người dùng cho phép; kiểm soát xung đột cập nhật.</v>
      </c>
      <c r="I107" s="3" t="str">
        <f>'FSL Source'!H107</f>
        <v>Quản trị cấu hình</v>
      </c>
      <c r="J107" s="3" t="str">
        <f>'FSL Source'!I107</f>
        <v>Nghiệp vụ</v>
      </c>
      <c r="K107" s="3">
        <f>'FSL Source'!J107</f>
        <v>0</v>
      </c>
      <c r="L107" s="3" t="str">
        <f>'FSL Source'!K107</f>
        <v>CAP-05</v>
      </c>
      <c r="M107" s="3" t="str">
        <f>'FSL Source'!L107</f>
        <v>Must</v>
      </c>
      <c r="N107" s="3" t="str">
        <f>'FSL Source'!M107</f>
        <v>Pha 1</v>
      </c>
      <c r="O107" s="3" t="str">
        <f>'FSL Source'!N107</f>
        <v>Đề xuất trong phạm vi</v>
      </c>
      <c r="P107" s="4" t="str">
        <f>'FSL Source'!O107</f>
        <v>Hiệu chỉnh từ VHT_WBS</v>
      </c>
      <c r="Q107" s="4" t="str">
        <f>'FSL Source'!P107</f>
        <v>Chỉ trường được phép sửa có hiệu lực và thay đổi được ghi lịch sử.</v>
      </c>
      <c r="R107" s="4">
        <f>'FSL Source'!Q107</f>
        <v>0</v>
      </c>
      <c r="S107" s="3"/>
      <c r="T107" s="3"/>
      <c r="U107" s="8"/>
      <c r="V107" s="8"/>
      <c r="W107" s="9"/>
      <c r="X107" s="9" t="str">
        <f t="shared" si="1"/>
        <v/>
      </c>
      <c r="Y107" s="3" t="s">
        <v>1860</v>
      </c>
      <c r="Z107" s="10">
        <v>0</v>
      </c>
      <c r="AA107" s="4"/>
    </row>
    <row r="108" spans="1:27" ht="25.5">
      <c r="A108" s="3" t="str">
        <f>B108&amp;"."&amp;TEXT(COUNTIF($B$5:B108,B108),"000")</f>
        <v>1.05.02.006</v>
      </c>
      <c r="B108" s="3" t="str">
        <f>IFERROR(INDEX('Work Packages'!$A$5:$A$200,MATCH(D108&amp;"|"&amp;E108,'Work Packages'!$P$5:$P$200,0)),"")</f>
        <v>1.05.02</v>
      </c>
      <c r="C108" s="3" t="str">
        <f>'FSL Source'!B108</f>
        <v>DOC-FORM-006</v>
      </c>
      <c r="D108" s="3" t="str">
        <f>'FSL Source'!C108</f>
        <v>Hồ sơ, Tài liệu &amp; Biểu mẫu</v>
      </c>
      <c r="E108" s="3" t="str">
        <f>'FSL Source'!D108</f>
        <v>Biểu mẫu động</v>
      </c>
      <c r="F108" s="4" t="str">
        <f>'FSL Source'!E108</f>
        <v>Biểu mẫu điện tử (eForm)</v>
      </c>
      <c r="G108" s="4" t="str">
        <f>'FSL Source'!F108</f>
        <v>Xóa/Ngừng sử dụng Biểu mẫu điện tử (eForm)</v>
      </c>
      <c r="H108" s="4" t="str">
        <f>'FSL Source'!G108</f>
        <v>Xóa logic hoặc ngừng sử dụng Biểu mẫu điện tử (eForm) sau khi kiểm tra ràng buộc tham chiếu.</v>
      </c>
      <c r="I108" s="3" t="str">
        <f>'FSL Source'!H108</f>
        <v>Quản trị/Cán bộ nghiệp vụ</v>
      </c>
      <c r="J108" s="3" t="str">
        <f>'FSL Source'!I108</f>
        <v>Nghiệp vụ</v>
      </c>
      <c r="K108" s="3">
        <f>'FSL Source'!J108</f>
        <v>0</v>
      </c>
      <c r="L108" s="3" t="str">
        <f>'FSL Source'!K108</f>
        <v>CAP-05</v>
      </c>
      <c r="M108" s="3" t="str">
        <f>'FSL Source'!L108</f>
        <v>Should</v>
      </c>
      <c r="N108" s="3" t="str">
        <f>'FSL Source'!M108</f>
        <v>Pha 1</v>
      </c>
      <c r="O108" s="3" t="str">
        <f>'FSL Source'!N108</f>
        <v>Đề xuất trong phạm vi</v>
      </c>
      <c r="P108" s="4" t="str">
        <f>'FSL Source'!O108</f>
        <v>Hiệu chỉnh từ VHT_WBS</v>
      </c>
      <c r="Q108" s="4" t="str">
        <f>'FSL Source'!P108</f>
        <v>Không xóa vật lý dữ liệu đã phát sinh giao dịch; cảnh báo rõ quan hệ phụ thuộc.</v>
      </c>
      <c r="R108" s="4">
        <f>'FSL Source'!Q108</f>
        <v>0</v>
      </c>
      <c r="S108" s="3"/>
      <c r="T108" s="3"/>
      <c r="U108" s="8"/>
      <c r="V108" s="8"/>
      <c r="W108" s="9"/>
      <c r="X108" s="9" t="str">
        <f t="shared" si="1"/>
        <v/>
      </c>
      <c r="Y108" s="3" t="s">
        <v>1860</v>
      </c>
      <c r="Z108" s="10">
        <v>0</v>
      </c>
      <c r="AA108" s="4"/>
    </row>
    <row r="109" spans="1:27" ht="25.5">
      <c r="A109" s="3" t="str">
        <f>B109&amp;"."&amp;TEXT(COUNTIF($B$5:B109,B109),"000")</f>
        <v>1.05.02.007</v>
      </c>
      <c r="B109" s="3" t="str">
        <f>IFERROR(INDEX('Work Packages'!$A$5:$A$200,MATCH(D109&amp;"|"&amp;E109,'Work Packages'!$P$5:$P$200,0)),"")</f>
        <v>1.05.02</v>
      </c>
      <c r="C109" s="3" t="str">
        <f>'FSL Source'!B109</f>
        <v>DOC-FORM-007</v>
      </c>
      <c r="D109" s="3" t="str">
        <f>'FSL Source'!C109</f>
        <v>Hồ sơ, Tài liệu &amp; Biểu mẫu</v>
      </c>
      <c r="E109" s="3" t="str">
        <f>'FSL Source'!D109</f>
        <v>Biểu mẫu động</v>
      </c>
      <c r="F109" s="4" t="str">
        <f>'FSL Source'!E109</f>
        <v>Biểu mẫu điện tử (eForm)</v>
      </c>
      <c r="G109" s="4" t="str">
        <f>'FSL Source'!F109</f>
        <v>Xem lịch sử Biểu mẫu điện tử (eForm)</v>
      </c>
      <c r="H109" s="4" t="str">
        <f>'FSL Source'!G109</f>
        <v>Theo dõi phiên bản, thay đổi dữ liệu, người thực hiện và lịch sử xử lý của Biểu mẫu điện tử (eForm).</v>
      </c>
      <c r="I109" s="3" t="str">
        <f>'FSL Source'!H109</f>
        <v>Cán bộ nghiệp vụ/Quản trị</v>
      </c>
      <c r="J109" s="3" t="str">
        <f>'FSL Source'!I109</f>
        <v>Audit</v>
      </c>
      <c r="K109" s="3">
        <f>'FSL Source'!J109</f>
        <v>0</v>
      </c>
      <c r="L109" s="3" t="str">
        <f>'FSL Source'!K109</f>
        <v>CAP-05</v>
      </c>
      <c r="M109" s="3" t="str">
        <f>'FSL Source'!L109</f>
        <v>Must</v>
      </c>
      <c r="N109" s="3" t="str">
        <f>'FSL Source'!M109</f>
        <v>Pha 1</v>
      </c>
      <c r="O109" s="3" t="str">
        <f>'FSL Source'!N109</f>
        <v>Đề xuất trong phạm vi</v>
      </c>
      <c r="P109" s="4" t="str">
        <f>'FSL Source'!O109</f>
        <v>Hiệu chỉnh từ VHT_WBS</v>
      </c>
      <c r="Q109" s="4" t="str">
        <f>'FSL Source'!P109</f>
        <v>Lịch sử không thể sửa và truy vết được trước/sau của thay đổi quan trọng.</v>
      </c>
      <c r="R109" s="4">
        <f>'FSL Source'!Q109</f>
        <v>0</v>
      </c>
      <c r="S109" s="3"/>
      <c r="T109" s="3"/>
      <c r="U109" s="8"/>
      <c r="V109" s="8"/>
      <c r="W109" s="9"/>
      <c r="X109" s="9" t="str">
        <f t="shared" si="1"/>
        <v/>
      </c>
      <c r="Y109" s="3" t="s">
        <v>1860</v>
      </c>
      <c r="Z109" s="10">
        <v>0</v>
      </c>
      <c r="AA109" s="4"/>
    </row>
    <row r="110" spans="1:27" ht="25.5">
      <c r="A110" s="3" t="str">
        <f>B110&amp;"."&amp;TEXT(COUNTIF($B$5:B110,B110),"000")</f>
        <v>1.05.02.008</v>
      </c>
      <c r="B110" s="3" t="str">
        <f>IFERROR(INDEX('Work Packages'!$A$5:$A$200,MATCH(D110&amp;"|"&amp;E110,'Work Packages'!$P$5:$P$200,0)),"")</f>
        <v>1.05.02</v>
      </c>
      <c r="C110" s="3" t="str">
        <f>'FSL Source'!B110</f>
        <v>DOC-FORM-008</v>
      </c>
      <c r="D110" s="3" t="str">
        <f>'FSL Source'!C110</f>
        <v>Hồ sơ, Tài liệu &amp; Biểu mẫu</v>
      </c>
      <c r="E110" s="3" t="str">
        <f>'FSL Source'!D110</f>
        <v>Biểu mẫu động</v>
      </c>
      <c r="F110" s="4" t="str">
        <f>'FSL Source'!E110</f>
        <v>Thiết kế biểu mẫu</v>
      </c>
      <c r="G110" s="4" t="str">
        <f>'FSL Source'!F110</f>
        <v>Thiết kế section, field và layout</v>
      </c>
      <c r="H110" s="4" t="str">
        <f>'FSL Source'!G110</f>
        <v>Thiết kế form kéo-thả hoặc cấu hình schema với nhóm trường, cột và tab.</v>
      </c>
      <c r="I110" s="3" t="str">
        <f>'FSL Source'!H110</f>
        <v>Quản trị cấu hình/BA</v>
      </c>
      <c r="J110" s="3" t="str">
        <f>'FSL Source'!I110</f>
        <v>Cấu hình</v>
      </c>
      <c r="K110" s="3">
        <f>'FSL Source'!J110</f>
        <v>0</v>
      </c>
      <c r="L110" s="3" t="str">
        <f>'FSL Source'!K110</f>
        <v>CAP-05</v>
      </c>
      <c r="M110" s="3" t="str">
        <f>'FSL Source'!L110</f>
        <v>Must</v>
      </c>
      <c r="N110" s="3" t="str">
        <f>'FSL Source'!M110</f>
        <v>Pha 1</v>
      </c>
      <c r="O110" s="3" t="str">
        <f>'FSL Source'!N110</f>
        <v>Đề xuất trong phạm vi</v>
      </c>
      <c r="P110" s="4" t="str">
        <f>'FSL Source'!O110</f>
        <v>Bổ sung</v>
      </c>
      <c r="Q110" s="4">
        <f>'FSL Source'!P110</f>
        <v>0</v>
      </c>
      <c r="R110" s="4">
        <f>'FSL Source'!Q110</f>
        <v>0</v>
      </c>
      <c r="S110" s="3"/>
      <c r="T110" s="3"/>
      <c r="U110" s="8"/>
      <c r="V110" s="8"/>
      <c r="W110" s="9"/>
      <c r="X110" s="9" t="str">
        <f t="shared" si="1"/>
        <v/>
      </c>
      <c r="Y110" s="3" t="s">
        <v>1860</v>
      </c>
      <c r="Z110" s="10">
        <v>0</v>
      </c>
      <c r="AA110" s="4"/>
    </row>
    <row r="111" spans="1:27" ht="25.5">
      <c r="A111" s="3" t="str">
        <f>B111&amp;"."&amp;TEXT(COUNTIF($B$5:B111,B111),"000")</f>
        <v>1.05.02.009</v>
      </c>
      <c r="B111" s="3" t="str">
        <f>IFERROR(INDEX('Work Packages'!$A$5:$A$200,MATCH(D111&amp;"|"&amp;E111,'Work Packages'!$P$5:$P$200,0)),"")</f>
        <v>1.05.02</v>
      </c>
      <c r="C111" s="3" t="str">
        <f>'FSL Source'!B111</f>
        <v>DOC-FORM-009</v>
      </c>
      <c r="D111" s="3" t="str">
        <f>'FSL Source'!C111</f>
        <v>Hồ sơ, Tài liệu &amp; Biểu mẫu</v>
      </c>
      <c r="E111" s="3" t="str">
        <f>'FSL Source'!D111</f>
        <v>Biểu mẫu động</v>
      </c>
      <c r="F111" s="4" t="str">
        <f>'FSL Source'!E111</f>
        <v>Thiết kế biểu mẫu</v>
      </c>
      <c r="G111" s="4" t="str">
        <f>'FSL Source'!F111</f>
        <v>Cấu hình kiểu dữ liệu và validation</v>
      </c>
      <c r="H111" s="4" t="str">
        <f>'FSL Source'!G111</f>
        <v>Khai báo text, number, date, list, table, attachment và rule validation.</v>
      </c>
      <c r="I111" s="3" t="str">
        <f>'FSL Source'!H111</f>
        <v>Quản trị cấu hình/BA</v>
      </c>
      <c r="J111" s="3" t="str">
        <f>'FSL Source'!I111</f>
        <v>Cấu hình</v>
      </c>
      <c r="K111" s="3">
        <f>'FSL Source'!J111</f>
        <v>0</v>
      </c>
      <c r="L111" s="3" t="str">
        <f>'FSL Source'!K111</f>
        <v>CAP-05</v>
      </c>
      <c r="M111" s="3" t="str">
        <f>'FSL Source'!L111</f>
        <v>Must</v>
      </c>
      <c r="N111" s="3" t="str">
        <f>'FSL Source'!M111</f>
        <v>Pha 1</v>
      </c>
      <c r="O111" s="3" t="str">
        <f>'FSL Source'!N111</f>
        <v>Đề xuất trong phạm vi</v>
      </c>
      <c r="P111" s="4" t="str">
        <f>'FSL Source'!O111</f>
        <v>Bổ sung</v>
      </c>
      <c r="Q111" s="4">
        <f>'FSL Source'!P111</f>
        <v>0</v>
      </c>
      <c r="R111" s="4">
        <f>'FSL Source'!Q111</f>
        <v>0</v>
      </c>
      <c r="S111" s="3"/>
      <c r="T111" s="3"/>
      <c r="U111" s="8"/>
      <c r="V111" s="8"/>
      <c r="W111" s="9"/>
      <c r="X111" s="9" t="str">
        <f t="shared" si="1"/>
        <v/>
      </c>
      <c r="Y111" s="3" t="s">
        <v>1860</v>
      </c>
      <c r="Z111" s="10">
        <v>0</v>
      </c>
      <c r="AA111" s="4"/>
    </row>
    <row r="112" spans="1:27" ht="25.5">
      <c r="A112" s="3" t="str">
        <f>B112&amp;"."&amp;TEXT(COUNTIF($B$5:B112,B112),"000")</f>
        <v>1.05.02.010</v>
      </c>
      <c r="B112" s="3" t="str">
        <f>IFERROR(INDEX('Work Packages'!$A$5:$A$200,MATCH(D112&amp;"|"&amp;E112,'Work Packages'!$P$5:$P$200,0)),"")</f>
        <v>1.05.02</v>
      </c>
      <c r="C112" s="3" t="str">
        <f>'FSL Source'!B112</f>
        <v>DOC-FORM-010</v>
      </c>
      <c r="D112" s="3" t="str">
        <f>'FSL Source'!C112</f>
        <v>Hồ sơ, Tài liệu &amp; Biểu mẫu</v>
      </c>
      <c r="E112" s="3" t="str">
        <f>'FSL Source'!D112</f>
        <v>Biểu mẫu động</v>
      </c>
      <c r="F112" s="4" t="str">
        <f>'FSL Source'!E112</f>
        <v>Thiết kế biểu mẫu</v>
      </c>
      <c r="G112" s="4" t="str">
        <f>'FSL Source'!F112</f>
        <v>Điều kiện hiển thị/readonly/bắt buộc</v>
      </c>
      <c r="H112" s="4" t="str">
        <f>'FSL Source'!G112</f>
        <v>Điều khiển trường theo vai trò, bước, trạng thái và business rule.</v>
      </c>
      <c r="I112" s="3" t="str">
        <f>'FSL Source'!H112</f>
        <v>Quản trị cấu hình/BA</v>
      </c>
      <c r="J112" s="3" t="str">
        <f>'FSL Source'!I112</f>
        <v>Cấu hình</v>
      </c>
      <c r="K112" s="3">
        <f>'FSL Source'!J112</f>
        <v>0</v>
      </c>
      <c r="L112" s="3" t="str">
        <f>'FSL Source'!K112</f>
        <v>CAP-05</v>
      </c>
      <c r="M112" s="3" t="str">
        <f>'FSL Source'!L112</f>
        <v>Must</v>
      </c>
      <c r="N112" s="3" t="str">
        <f>'FSL Source'!M112</f>
        <v>Pha 1</v>
      </c>
      <c r="O112" s="3" t="str">
        <f>'FSL Source'!N112</f>
        <v>Đề xuất trong phạm vi</v>
      </c>
      <c r="P112" s="4" t="str">
        <f>'FSL Source'!O112</f>
        <v>Bổ sung</v>
      </c>
      <c r="Q112" s="4">
        <f>'FSL Source'!P112</f>
        <v>0</v>
      </c>
      <c r="R112" s="4">
        <f>'FSL Source'!Q112</f>
        <v>0</v>
      </c>
      <c r="S112" s="3"/>
      <c r="T112" s="3"/>
      <c r="U112" s="8"/>
      <c r="V112" s="8"/>
      <c r="W112" s="9"/>
      <c r="X112" s="9" t="str">
        <f t="shared" si="1"/>
        <v/>
      </c>
      <c r="Y112" s="3" t="s">
        <v>1860</v>
      </c>
      <c r="Z112" s="10">
        <v>0</v>
      </c>
      <c r="AA112" s="4"/>
    </row>
    <row r="113" spans="1:27">
      <c r="A113" s="3" t="str">
        <f>B113&amp;"."&amp;TEXT(COUNTIF($B$5:B113,B113),"000")</f>
        <v>1.05.02.011</v>
      </c>
      <c r="B113" s="3" t="str">
        <f>IFERROR(INDEX('Work Packages'!$A$5:$A$200,MATCH(D113&amp;"|"&amp;E113,'Work Packages'!$P$5:$P$200,0)),"")</f>
        <v>1.05.02</v>
      </c>
      <c r="C113" s="3" t="str">
        <f>'FSL Source'!B113</f>
        <v>DOC-FORM-011</v>
      </c>
      <c r="D113" s="3" t="str">
        <f>'FSL Source'!C113</f>
        <v>Hồ sơ, Tài liệu &amp; Biểu mẫu</v>
      </c>
      <c r="E113" s="3" t="str">
        <f>'FSL Source'!D113</f>
        <v>Biểu mẫu động</v>
      </c>
      <c r="F113" s="4" t="str">
        <f>'FSL Source'!E113</f>
        <v>Thiết kế biểu mẫu</v>
      </c>
      <c r="G113" s="4" t="str">
        <f>'FSL Source'!F113</f>
        <v>Gắn eForm vào quy trình và bước</v>
      </c>
      <c r="H113" s="4" t="str">
        <f>'FSL Source'!G113</f>
        <v>Version-lock form schema theo workflow version.</v>
      </c>
      <c r="I113" s="3" t="str">
        <f>'FSL Source'!H113</f>
        <v>Quản trị cấu hình/BA</v>
      </c>
      <c r="J113" s="3" t="str">
        <f>'FSL Source'!I113</f>
        <v>Cấu hình</v>
      </c>
      <c r="K113" s="3">
        <f>'FSL Source'!J113</f>
        <v>0</v>
      </c>
      <c r="L113" s="3" t="str">
        <f>'FSL Source'!K113</f>
        <v>CAP-05</v>
      </c>
      <c r="M113" s="3" t="str">
        <f>'FSL Source'!L113</f>
        <v>Must</v>
      </c>
      <c r="N113" s="3" t="str">
        <f>'FSL Source'!M113</f>
        <v>Pha 1</v>
      </c>
      <c r="O113" s="3" t="str">
        <f>'FSL Source'!N113</f>
        <v>Đề xuất trong phạm vi</v>
      </c>
      <c r="P113" s="4" t="str">
        <f>'FSL Source'!O113</f>
        <v>Bổ sung</v>
      </c>
      <c r="Q113" s="4">
        <f>'FSL Source'!P113</f>
        <v>0</v>
      </c>
      <c r="R113" s="4">
        <f>'FSL Source'!Q113</f>
        <v>0</v>
      </c>
      <c r="S113" s="3"/>
      <c r="T113" s="3"/>
      <c r="U113" s="8"/>
      <c r="V113" s="8"/>
      <c r="W113" s="9"/>
      <c r="X113" s="9" t="str">
        <f t="shared" si="1"/>
        <v/>
      </c>
      <c r="Y113" s="3" t="s">
        <v>1860</v>
      </c>
      <c r="Z113" s="10">
        <v>0</v>
      </c>
      <c r="AA113" s="4"/>
    </row>
    <row r="114" spans="1:27" ht="25.5">
      <c r="A114" s="3" t="str">
        <f>B114&amp;"."&amp;TEXT(COUNTIF($B$5:B114,B114),"000")</f>
        <v>1.05.02.012</v>
      </c>
      <c r="B114" s="3" t="str">
        <f>IFERROR(INDEX('Work Packages'!$A$5:$A$200,MATCH(D114&amp;"|"&amp;E114,'Work Packages'!$P$5:$P$200,0)),"")</f>
        <v>1.05.02</v>
      </c>
      <c r="C114" s="3" t="str">
        <f>'FSL Source'!B114</f>
        <v>DOC-FORM-012</v>
      </c>
      <c r="D114" s="3" t="str">
        <f>'FSL Source'!C114</f>
        <v>Hồ sơ, Tài liệu &amp; Biểu mẫu</v>
      </c>
      <c r="E114" s="3" t="str">
        <f>'FSL Source'!D114</f>
        <v>Biểu mẫu động</v>
      </c>
      <c r="F114" s="4" t="str">
        <f>'FSL Source'!E114</f>
        <v>Thiết kế biểu mẫu</v>
      </c>
      <c r="G114" s="4" t="str">
        <f>'FSL Source'!F114</f>
        <v>Xem trước và kiểm thử eForm</v>
      </c>
      <c r="H114" s="4" t="str">
        <f>'FSL Source'!G114</f>
        <v>Mô phỏng form với dữ liệu và ngữ cảnh quyền khác nhau.</v>
      </c>
      <c r="I114" s="3" t="str">
        <f>'FSL Source'!H114</f>
        <v>Quản trị cấu hình/BA</v>
      </c>
      <c r="J114" s="3" t="str">
        <f>'FSL Source'!I114</f>
        <v>Cấu hình</v>
      </c>
      <c r="K114" s="3">
        <f>'FSL Source'!J114</f>
        <v>0</v>
      </c>
      <c r="L114" s="3" t="str">
        <f>'FSL Source'!K114</f>
        <v>CAP-05</v>
      </c>
      <c r="M114" s="3" t="str">
        <f>'FSL Source'!L114</f>
        <v>Must</v>
      </c>
      <c r="N114" s="3" t="str">
        <f>'FSL Source'!M114</f>
        <v>Pha 1</v>
      </c>
      <c r="O114" s="3" t="str">
        <f>'FSL Source'!N114</f>
        <v>Đề xuất trong phạm vi</v>
      </c>
      <c r="P114" s="4" t="str">
        <f>'FSL Source'!O114</f>
        <v>Bổ sung</v>
      </c>
      <c r="Q114" s="4">
        <f>'FSL Source'!P114</f>
        <v>0</v>
      </c>
      <c r="R114" s="4">
        <f>'FSL Source'!Q114</f>
        <v>0</v>
      </c>
      <c r="S114" s="3"/>
      <c r="T114" s="3"/>
      <c r="U114" s="8"/>
      <c r="V114" s="8"/>
      <c r="W114" s="9"/>
      <c r="X114" s="9" t="str">
        <f t="shared" si="1"/>
        <v/>
      </c>
      <c r="Y114" s="3" t="s">
        <v>1860</v>
      </c>
      <c r="Z114" s="10">
        <v>0</v>
      </c>
      <c r="AA114" s="4"/>
    </row>
    <row r="115" spans="1:27" ht="25.5">
      <c r="A115" s="3" t="str">
        <f>B115&amp;"."&amp;TEXT(COUNTIF($B$5:B115,B115),"000")</f>
        <v>1.05.02.013</v>
      </c>
      <c r="B115" s="3" t="str">
        <f>IFERROR(INDEX('Work Packages'!$A$5:$A$200,MATCH(D115&amp;"|"&amp;E115,'Work Packages'!$P$5:$P$200,0)),"")</f>
        <v>1.05.02</v>
      </c>
      <c r="C115" s="3" t="str">
        <f>'FSL Source'!B115</f>
        <v>DOC-FORM-013</v>
      </c>
      <c r="D115" s="3" t="str">
        <f>'FSL Source'!C115</f>
        <v>Hồ sơ, Tài liệu &amp; Biểu mẫu</v>
      </c>
      <c r="E115" s="3" t="str">
        <f>'FSL Source'!D115</f>
        <v>Biểu mẫu động</v>
      </c>
      <c r="F115" s="4" t="str">
        <f>'FSL Source'!E115</f>
        <v>Thiết kế biểu mẫu</v>
      </c>
      <c r="G115" s="4" t="str">
        <f>'FSL Source'!F115</f>
        <v>Import/Export schema eForm</v>
      </c>
      <c r="H115" s="4" t="str">
        <f>'FSL Source'!G115</f>
        <v>Trao đổi schema có kiểm tra phiên bản và tính hợp lệ.</v>
      </c>
      <c r="I115" s="3" t="str">
        <f>'FSL Source'!H115</f>
        <v>Quản trị cấu hình/BA</v>
      </c>
      <c r="J115" s="3" t="str">
        <f>'FSL Source'!I115</f>
        <v>Cấu hình</v>
      </c>
      <c r="K115" s="3">
        <f>'FSL Source'!J115</f>
        <v>0</v>
      </c>
      <c r="L115" s="3" t="str">
        <f>'FSL Source'!K115</f>
        <v>CAP-05</v>
      </c>
      <c r="M115" s="3" t="str">
        <f>'FSL Source'!L115</f>
        <v>Must</v>
      </c>
      <c r="N115" s="3" t="str">
        <f>'FSL Source'!M115</f>
        <v>Pha 1</v>
      </c>
      <c r="O115" s="3" t="str">
        <f>'FSL Source'!N115</f>
        <v>Đề xuất trong phạm vi</v>
      </c>
      <c r="P115" s="4" t="str">
        <f>'FSL Source'!O115</f>
        <v>Bổ sung</v>
      </c>
      <c r="Q115" s="4">
        <f>'FSL Source'!P115</f>
        <v>0</v>
      </c>
      <c r="R115" s="4">
        <f>'FSL Source'!Q115</f>
        <v>0</v>
      </c>
      <c r="S115" s="3"/>
      <c r="T115" s="3"/>
      <c r="U115" s="8"/>
      <c r="V115" s="8"/>
      <c r="W115" s="9"/>
      <c r="X115" s="9" t="str">
        <f t="shared" si="1"/>
        <v/>
      </c>
      <c r="Y115" s="3" t="s">
        <v>1860</v>
      </c>
      <c r="Z115" s="10">
        <v>0</v>
      </c>
      <c r="AA115" s="4"/>
    </row>
    <row r="116" spans="1:27" ht="25.5">
      <c r="A116" s="3" t="str">
        <f>B116&amp;"."&amp;TEXT(COUNTIF($B$5:B116,B116),"000")</f>
        <v>1.05.03.001</v>
      </c>
      <c r="B116" s="3" t="str">
        <f>IFERROR(INDEX('Work Packages'!$A$5:$A$200,MATCH(D116&amp;"|"&amp;E116,'Work Packages'!$P$5:$P$200,0)),"")</f>
        <v>1.05.03</v>
      </c>
      <c r="C116" s="3" t="str">
        <f>'FSL Source'!B116</f>
        <v>DOC-TPL-001</v>
      </c>
      <c r="D116" s="3" t="str">
        <f>'FSL Source'!C116</f>
        <v>Hồ sơ, Tài liệu &amp; Biểu mẫu</v>
      </c>
      <c r="E116" s="3" t="str">
        <f>'FSL Source'!D116</f>
        <v>Mẫu văn bản</v>
      </c>
      <c r="F116" s="4" t="str">
        <f>'FSL Source'!E116</f>
        <v>Mẫu tài liệu Word/PDF</v>
      </c>
      <c r="G116" s="4" t="str">
        <f>'FSL Source'!F116</f>
        <v>Xem danh sách Mẫu tài liệu Word/PDF</v>
      </c>
      <c r="H116" s="4" t="str">
        <f>'FSL Source'!G116</f>
        <v>Tra cứu danh sách, phân trang, sắp xếp và lọc Mẫu tài liệu Word/PDF theo các tiêu chí nghiệp vụ.</v>
      </c>
      <c r="I116" s="3" t="str">
        <f>'FSL Source'!H116</f>
        <v>Quản trị cấu hình</v>
      </c>
      <c r="J116" s="3" t="str">
        <f>'FSL Source'!I116</f>
        <v>Nghiệp vụ</v>
      </c>
      <c r="K116" s="3">
        <f>'FSL Source'!J116</f>
        <v>0</v>
      </c>
      <c r="L116" s="3" t="str">
        <f>'FSL Source'!K116</f>
        <v>CAP-06</v>
      </c>
      <c r="M116" s="3" t="str">
        <f>'FSL Source'!L116</f>
        <v>Should</v>
      </c>
      <c r="N116" s="3" t="str">
        <f>'FSL Source'!M116</f>
        <v>Pha 2</v>
      </c>
      <c r="O116" s="3" t="str">
        <f>'FSL Source'!N116</f>
        <v>Đề xuất trong phạm vi</v>
      </c>
      <c r="P116" s="4" t="str">
        <f>'FSL Source'!O116</f>
        <v>Bổ sung theo EPIC08</v>
      </c>
      <c r="Q116" s="4" t="str">
        <f>'FSL Source'!P116</f>
        <v>Danh sách hiển thị đúng phạm vi dữ liệu và hỗ trợ lọc/xuất theo quyền.</v>
      </c>
      <c r="R116" s="4">
        <f>'FSL Source'!Q116</f>
        <v>0</v>
      </c>
      <c r="S116" s="3"/>
      <c r="T116" s="3"/>
      <c r="U116" s="8"/>
      <c r="V116" s="8"/>
      <c r="W116" s="9"/>
      <c r="X116" s="9" t="str">
        <f t="shared" si="1"/>
        <v/>
      </c>
      <c r="Y116" s="3" t="s">
        <v>1860</v>
      </c>
      <c r="Z116" s="10">
        <v>0</v>
      </c>
      <c r="AA116" s="4"/>
    </row>
    <row r="117" spans="1:27" ht="25.5">
      <c r="A117" s="3" t="str">
        <f>B117&amp;"."&amp;TEXT(COUNTIF($B$5:B117,B117),"000")</f>
        <v>1.05.03.002</v>
      </c>
      <c r="B117" s="3" t="str">
        <f>IFERROR(INDEX('Work Packages'!$A$5:$A$200,MATCH(D117&amp;"|"&amp;E117,'Work Packages'!$P$5:$P$200,0)),"")</f>
        <v>1.05.03</v>
      </c>
      <c r="C117" s="3" t="str">
        <f>'FSL Source'!B117</f>
        <v>DOC-TPL-002</v>
      </c>
      <c r="D117" s="3" t="str">
        <f>'FSL Source'!C117</f>
        <v>Hồ sơ, Tài liệu &amp; Biểu mẫu</v>
      </c>
      <c r="E117" s="3" t="str">
        <f>'FSL Source'!D117</f>
        <v>Mẫu văn bản</v>
      </c>
      <c r="F117" s="4" t="str">
        <f>'FSL Source'!E117</f>
        <v>Mẫu tài liệu Word/PDF</v>
      </c>
      <c r="G117" s="4" t="str">
        <f>'FSL Source'!F117</f>
        <v>Tạo mới Mẫu tài liệu Word/PDF</v>
      </c>
      <c r="H117" s="4" t="str">
        <f>'FSL Source'!G117</f>
        <v>Khởi tạo Mẫu tài liệu Word/PDF, kiểm tra dữ liệu bắt buộc và lưu nháp trước khi hoàn tất.</v>
      </c>
      <c r="I117" s="3" t="str">
        <f>'FSL Source'!H117</f>
        <v>Quản trị cấu hình</v>
      </c>
      <c r="J117" s="3" t="str">
        <f>'FSL Source'!I117</f>
        <v>Nghiệp vụ</v>
      </c>
      <c r="K117" s="3">
        <f>'FSL Source'!J117</f>
        <v>0</v>
      </c>
      <c r="L117" s="3" t="str">
        <f>'FSL Source'!K117</f>
        <v>CAP-06</v>
      </c>
      <c r="M117" s="3" t="str">
        <f>'FSL Source'!L117</f>
        <v>Should</v>
      </c>
      <c r="N117" s="3" t="str">
        <f>'FSL Source'!M117</f>
        <v>Pha 2</v>
      </c>
      <c r="O117" s="3" t="str">
        <f>'FSL Source'!N117</f>
        <v>Đề xuất trong phạm vi</v>
      </c>
      <c r="P117" s="4" t="str">
        <f>'FSL Source'!O117</f>
        <v>Bổ sung theo EPIC08</v>
      </c>
      <c r="Q117" s="4" t="str">
        <f>'FSL Source'!P117</f>
        <v>Dữ liệu hợp lệ được lưu; lỗi validation hiển thị tại trường tương ứng.</v>
      </c>
      <c r="R117" s="4">
        <f>'FSL Source'!Q117</f>
        <v>0</v>
      </c>
      <c r="S117" s="3"/>
      <c r="T117" s="3"/>
      <c r="U117" s="8"/>
      <c r="V117" s="8"/>
      <c r="W117" s="9"/>
      <c r="X117" s="9" t="str">
        <f t="shared" si="1"/>
        <v/>
      </c>
      <c r="Y117" s="3" t="s">
        <v>1860</v>
      </c>
      <c r="Z117" s="10">
        <v>0</v>
      </c>
      <c r="AA117" s="4"/>
    </row>
    <row r="118" spans="1:27" ht="25.5">
      <c r="A118" s="3" t="str">
        <f>B118&amp;"."&amp;TEXT(COUNTIF($B$5:B118,B118),"000")</f>
        <v>1.05.03.003</v>
      </c>
      <c r="B118" s="3" t="str">
        <f>IFERROR(INDEX('Work Packages'!$A$5:$A$200,MATCH(D118&amp;"|"&amp;E118,'Work Packages'!$P$5:$P$200,0)),"")</f>
        <v>1.05.03</v>
      </c>
      <c r="C118" s="3" t="str">
        <f>'FSL Source'!B118</f>
        <v>DOC-TPL-003</v>
      </c>
      <c r="D118" s="3" t="str">
        <f>'FSL Source'!C118</f>
        <v>Hồ sơ, Tài liệu &amp; Biểu mẫu</v>
      </c>
      <c r="E118" s="3" t="str">
        <f>'FSL Source'!D118</f>
        <v>Mẫu văn bản</v>
      </c>
      <c r="F118" s="4" t="str">
        <f>'FSL Source'!E118</f>
        <v>Mẫu tài liệu Word/PDF</v>
      </c>
      <c r="G118" s="4" t="str">
        <f>'FSL Source'!F118</f>
        <v>Sao chép Mẫu tài liệu Word/PDF</v>
      </c>
      <c r="H118" s="4" t="str">
        <f>'FSL Source'!G118</f>
        <v>Tạo bản mới từ một Mẫu tài liệu Word/PDF hiện hữu và loại bỏ các thông tin không được kế thừa.</v>
      </c>
      <c r="I118" s="3" t="str">
        <f>'FSL Source'!H118</f>
        <v>Quản trị cấu hình</v>
      </c>
      <c r="J118" s="3" t="str">
        <f>'FSL Source'!I118</f>
        <v>Nghiệp vụ</v>
      </c>
      <c r="K118" s="3">
        <f>'FSL Source'!J118</f>
        <v>0</v>
      </c>
      <c r="L118" s="3" t="str">
        <f>'FSL Source'!K118</f>
        <v>CAP-06</v>
      </c>
      <c r="M118" s="3" t="str">
        <f>'FSL Source'!L118</f>
        <v>Should</v>
      </c>
      <c r="N118" s="3" t="str">
        <f>'FSL Source'!M118</f>
        <v>Pha 2</v>
      </c>
      <c r="O118" s="3" t="str">
        <f>'FSL Source'!N118</f>
        <v>Đề xuất trong phạm vi</v>
      </c>
      <c r="P118" s="4" t="str">
        <f>'FSL Source'!O118</f>
        <v>Bổ sung theo EPIC08</v>
      </c>
      <c r="Q118" s="4" t="str">
        <f>'FSL Source'!P118</f>
        <v>Bản sao có mã/phiên bản mới và không làm thay đổi bản nguồn.</v>
      </c>
      <c r="R118" s="4">
        <f>'FSL Source'!Q118</f>
        <v>0</v>
      </c>
      <c r="S118" s="3"/>
      <c r="T118" s="3"/>
      <c r="U118" s="8"/>
      <c r="V118" s="8"/>
      <c r="W118" s="9"/>
      <c r="X118" s="9" t="str">
        <f t="shared" si="1"/>
        <v/>
      </c>
      <c r="Y118" s="3" t="s">
        <v>1860</v>
      </c>
      <c r="Z118" s="10">
        <v>0</v>
      </c>
      <c r="AA118" s="4"/>
    </row>
    <row r="119" spans="1:27" ht="25.5">
      <c r="A119" s="3" t="str">
        <f>B119&amp;"."&amp;TEXT(COUNTIF($B$5:B119,B119),"000")</f>
        <v>1.05.03.004</v>
      </c>
      <c r="B119" s="3" t="str">
        <f>IFERROR(INDEX('Work Packages'!$A$5:$A$200,MATCH(D119&amp;"|"&amp;E119,'Work Packages'!$P$5:$P$200,0)),"")</f>
        <v>1.05.03</v>
      </c>
      <c r="C119" s="3" t="str">
        <f>'FSL Source'!B119</f>
        <v>DOC-TPL-004</v>
      </c>
      <c r="D119" s="3" t="str">
        <f>'FSL Source'!C119</f>
        <v>Hồ sơ, Tài liệu &amp; Biểu mẫu</v>
      </c>
      <c r="E119" s="3" t="str">
        <f>'FSL Source'!D119</f>
        <v>Mẫu văn bản</v>
      </c>
      <c r="F119" s="4" t="str">
        <f>'FSL Source'!E119</f>
        <v>Mẫu tài liệu Word/PDF</v>
      </c>
      <c r="G119" s="4" t="str">
        <f>'FSL Source'!F119</f>
        <v>Xem chi tiết Mẫu tài liệu Word/PDF</v>
      </c>
      <c r="H119" s="4" t="str">
        <f>'FSL Source'!G119</f>
        <v>Hiển thị thông tin tổng quan, dữ liệu chi tiết, tài liệu liên quan và trạng thái của Mẫu tài liệu Word/PDF.</v>
      </c>
      <c r="I119" s="3" t="str">
        <f>'FSL Source'!H119</f>
        <v>Quản trị cấu hình</v>
      </c>
      <c r="J119" s="3" t="str">
        <f>'FSL Source'!I119</f>
        <v>Nghiệp vụ</v>
      </c>
      <c r="K119" s="3">
        <f>'FSL Source'!J119</f>
        <v>0</v>
      </c>
      <c r="L119" s="3" t="str">
        <f>'FSL Source'!K119</f>
        <v>CAP-06</v>
      </c>
      <c r="M119" s="3" t="str">
        <f>'FSL Source'!L119</f>
        <v>Should</v>
      </c>
      <c r="N119" s="3" t="str">
        <f>'FSL Source'!M119</f>
        <v>Pha 2</v>
      </c>
      <c r="O119" s="3" t="str">
        <f>'FSL Source'!N119</f>
        <v>Đề xuất trong phạm vi</v>
      </c>
      <c r="P119" s="4" t="str">
        <f>'FSL Source'!O119</f>
        <v>Bổ sung theo EPIC08</v>
      </c>
      <c r="Q119" s="4" t="str">
        <f>'FSL Source'!P119</f>
        <v>Thông tin hiển thị đúng phiên bản và quyền truy cập.</v>
      </c>
      <c r="R119" s="4">
        <f>'FSL Source'!Q119</f>
        <v>0</v>
      </c>
      <c r="S119" s="3"/>
      <c r="T119" s="3"/>
      <c r="U119" s="8"/>
      <c r="V119" s="8"/>
      <c r="W119" s="9"/>
      <c r="X119" s="9" t="str">
        <f t="shared" si="1"/>
        <v/>
      </c>
      <c r="Y119" s="3" t="s">
        <v>1860</v>
      </c>
      <c r="Z119" s="10">
        <v>0</v>
      </c>
      <c r="AA119" s="4"/>
    </row>
    <row r="120" spans="1:27" ht="38.25">
      <c r="A120" s="3" t="str">
        <f>B120&amp;"."&amp;TEXT(COUNTIF($B$5:B120,B120),"000")</f>
        <v>1.05.03.005</v>
      </c>
      <c r="B120" s="3" t="str">
        <f>IFERROR(INDEX('Work Packages'!$A$5:$A$200,MATCH(D120&amp;"|"&amp;E120,'Work Packages'!$P$5:$P$200,0)),"")</f>
        <v>1.05.03</v>
      </c>
      <c r="C120" s="3" t="str">
        <f>'FSL Source'!B120</f>
        <v>DOC-TPL-005</v>
      </c>
      <c r="D120" s="3" t="str">
        <f>'FSL Source'!C120</f>
        <v>Hồ sơ, Tài liệu &amp; Biểu mẫu</v>
      </c>
      <c r="E120" s="3" t="str">
        <f>'FSL Source'!D120</f>
        <v>Mẫu văn bản</v>
      </c>
      <c r="F120" s="4" t="str">
        <f>'FSL Source'!E120</f>
        <v>Mẫu tài liệu Word/PDF</v>
      </c>
      <c r="G120" s="4" t="str">
        <f>'FSL Source'!F120</f>
        <v>Chỉnh sửa Mẫu tài liệu Word/PDF</v>
      </c>
      <c r="H120" s="4" t="str">
        <f>'FSL Source'!G120</f>
        <v>Cập nhật Mẫu tài liệu Word/PDF khi trạng thái và quyền người dùng cho phép; kiểm soát xung đột cập nhật.</v>
      </c>
      <c r="I120" s="3" t="str">
        <f>'FSL Source'!H120</f>
        <v>Quản trị cấu hình</v>
      </c>
      <c r="J120" s="3" t="str">
        <f>'FSL Source'!I120</f>
        <v>Nghiệp vụ</v>
      </c>
      <c r="K120" s="3">
        <f>'FSL Source'!J120</f>
        <v>0</v>
      </c>
      <c r="L120" s="3" t="str">
        <f>'FSL Source'!K120</f>
        <v>CAP-06</v>
      </c>
      <c r="M120" s="3" t="str">
        <f>'FSL Source'!L120</f>
        <v>Should</v>
      </c>
      <c r="N120" s="3" t="str">
        <f>'FSL Source'!M120</f>
        <v>Pha 2</v>
      </c>
      <c r="O120" s="3" t="str">
        <f>'FSL Source'!N120</f>
        <v>Đề xuất trong phạm vi</v>
      </c>
      <c r="P120" s="4" t="str">
        <f>'FSL Source'!O120</f>
        <v>Bổ sung theo EPIC08</v>
      </c>
      <c r="Q120" s="4" t="str">
        <f>'FSL Source'!P120</f>
        <v>Chỉ trường được phép sửa có hiệu lực và thay đổi được ghi lịch sử.</v>
      </c>
      <c r="R120" s="4">
        <f>'FSL Source'!Q120</f>
        <v>0</v>
      </c>
      <c r="S120" s="3"/>
      <c r="T120" s="3"/>
      <c r="U120" s="8"/>
      <c r="V120" s="8"/>
      <c r="W120" s="9"/>
      <c r="X120" s="9" t="str">
        <f t="shared" si="1"/>
        <v/>
      </c>
      <c r="Y120" s="3" t="s">
        <v>1860</v>
      </c>
      <c r="Z120" s="10">
        <v>0</v>
      </c>
      <c r="AA120" s="4"/>
    </row>
    <row r="121" spans="1:27" ht="25.5">
      <c r="A121" s="3" t="str">
        <f>B121&amp;"."&amp;TEXT(COUNTIF($B$5:B121,B121),"000")</f>
        <v>1.05.03.006</v>
      </c>
      <c r="B121" s="3" t="str">
        <f>IFERROR(INDEX('Work Packages'!$A$5:$A$200,MATCH(D121&amp;"|"&amp;E121,'Work Packages'!$P$5:$P$200,0)),"")</f>
        <v>1.05.03</v>
      </c>
      <c r="C121" s="3" t="str">
        <f>'FSL Source'!B121</f>
        <v>DOC-TPL-006</v>
      </c>
      <c r="D121" s="3" t="str">
        <f>'FSL Source'!C121</f>
        <v>Hồ sơ, Tài liệu &amp; Biểu mẫu</v>
      </c>
      <c r="E121" s="3" t="str">
        <f>'FSL Source'!D121</f>
        <v>Mẫu văn bản</v>
      </c>
      <c r="F121" s="4" t="str">
        <f>'FSL Source'!E121</f>
        <v>Mẫu tài liệu Word/PDF</v>
      </c>
      <c r="G121" s="4" t="str">
        <f>'FSL Source'!F121</f>
        <v>Xóa/Ngừng sử dụng Mẫu tài liệu Word/PDF</v>
      </c>
      <c r="H121" s="4" t="str">
        <f>'FSL Source'!G121</f>
        <v>Xóa logic hoặc ngừng sử dụng Mẫu tài liệu Word/PDF sau khi kiểm tra ràng buộc tham chiếu.</v>
      </c>
      <c r="I121" s="3" t="str">
        <f>'FSL Source'!H121</f>
        <v>Quản trị/Cán bộ nghiệp vụ</v>
      </c>
      <c r="J121" s="3" t="str">
        <f>'FSL Source'!I121</f>
        <v>Nghiệp vụ</v>
      </c>
      <c r="K121" s="3">
        <f>'FSL Source'!J121</f>
        <v>0</v>
      </c>
      <c r="L121" s="3" t="str">
        <f>'FSL Source'!K121</f>
        <v>CAP-06</v>
      </c>
      <c r="M121" s="3" t="str">
        <f>'FSL Source'!L121</f>
        <v>Should</v>
      </c>
      <c r="N121" s="3" t="str">
        <f>'FSL Source'!M121</f>
        <v>Pha 2</v>
      </c>
      <c r="O121" s="3" t="str">
        <f>'FSL Source'!N121</f>
        <v>Đề xuất trong phạm vi</v>
      </c>
      <c r="P121" s="4" t="str">
        <f>'FSL Source'!O121</f>
        <v>Bổ sung theo EPIC08</v>
      </c>
      <c r="Q121" s="4" t="str">
        <f>'FSL Source'!P121</f>
        <v>Không xóa vật lý dữ liệu đã phát sinh giao dịch; cảnh báo rõ quan hệ phụ thuộc.</v>
      </c>
      <c r="R121" s="4">
        <f>'FSL Source'!Q121</f>
        <v>0</v>
      </c>
      <c r="S121" s="3"/>
      <c r="T121" s="3"/>
      <c r="U121" s="8"/>
      <c r="V121" s="8"/>
      <c r="W121" s="9"/>
      <c r="X121" s="9" t="str">
        <f t="shared" si="1"/>
        <v/>
      </c>
      <c r="Y121" s="3" t="s">
        <v>1860</v>
      </c>
      <c r="Z121" s="10">
        <v>0</v>
      </c>
      <c r="AA121" s="4"/>
    </row>
    <row r="122" spans="1:27" ht="25.5">
      <c r="A122" s="3" t="str">
        <f>B122&amp;"."&amp;TEXT(COUNTIF($B$5:B122,B122),"000")</f>
        <v>1.05.03.007</v>
      </c>
      <c r="B122" s="3" t="str">
        <f>IFERROR(INDEX('Work Packages'!$A$5:$A$200,MATCH(D122&amp;"|"&amp;E122,'Work Packages'!$P$5:$P$200,0)),"")</f>
        <v>1.05.03</v>
      </c>
      <c r="C122" s="3" t="str">
        <f>'FSL Source'!B122</f>
        <v>DOC-TPL-007</v>
      </c>
      <c r="D122" s="3" t="str">
        <f>'FSL Source'!C122</f>
        <v>Hồ sơ, Tài liệu &amp; Biểu mẫu</v>
      </c>
      <c r="E122" s="3" t="str">
        <f>'FSL Source'!D122</f>
        <v>Mẫu văn bản</v>
      </c>
      <c r="F122" s="4" t="str">
        <f>'FSL Source'!E122</f>
        <v>Mẫu tài liệu Word/PDF</v>
      </c>
      <c r="G122" s="4" t="str">
        <f>'FSL Source'!F122</f>
        <v>Xem lịch sử Mẫu tài liệu Word/PDF</v>
      </c>
      <c r="H122" s="4" t="str">
        <f>'FSL Source'!G122</f>
        <v>Theo dõi phiên bản, thay đổi dữ liệu, người thực hiện và lịch sử xử lý của Mẫu tài liệu Word/PDF.</v>
      </c>
      <c r="I122" s="3" t="str">
        <f>'FSL Source'!H122</f>
        <v>Cán bộ nghiệp vụ/Quản trị</v>
      </c>
      <c r="J122" s="3" t="str">
        <f>'FSL Source'!I122</f>
        <v>Audit</v>
      </c>
      <c r="K122" s="3">
        <f>'FSL Source'!J122</f>
        <v>0</v>
      </c>
      <c r="L122" s="3" t="str">
        <f>'FSL Source'!K122</f>
        <v>CAP-06</v>
      </c>
      <c r="M122" s="3" t="str">
        <f>'FSL Source'!L122</f>
        <v>Must</v>
      </c>
      <c r="N122" s="3" t="str">
        <f>'FSL Source'!M122</f>
        <v>Pha 2</v>
      </c>
      <c r="O122" s="3" t="str">
        <f>'FSL Source'!N122</f>
        <v>Đề xuất trong phạm vi</v>
      </c>
      <c r="P122" s="4" t="str">
        <f>'FSL Source'!O122</f>
        <v>Bổ sung theo EPIC08</v>
      </c>
      <c r="Q122" s="4" t="str">
        <f>'FSL Source'!P122</f>
        <v>Lịch sử không thể sửa và truy vết được trước/sau của thay đổi quan trọng.</v>
      </c>
      <c r="R122" s="4">
        <f>'FSL Source'!Q122</f>
        <v>0</v>
      </c>
      <c r="S122" s="3"/>
      <c r="T122" s="3"/>
      <c r="U122" s="8"/>
      <c r="V122" s="8"/>
      <c r="W122" s="9"/>
      <c r="X122" s="9" t="str">
        <f t="shared" si="1"/>
        <v/>
      </c>
      <c r="Y122" s="3" t="s">
        <v>1860</v>
      </c>
      <c r="Z122" s="10">
        <v>0</v>
      </c>
      <c r="AA122" s="4"/>
    </row>
    <row r="123" spans="1:27" ht="25.5">
      <c r="A123" s="3" t="str">
        <f>B123&amp;"."&amp;TEXT(COUNTIF($B$5:B123,B123),"000")</f>
        <v>1.05.03.008</v>
      </c>
      <c r="B123" s="3" t="str">
        <f>IFERROR(INDEX('Work Packages'!$A$5:$A$200,MATCH(D123&amp;"|"&amp;E123,'Work Packages'!$P$5:$P$200,0)),"")</f>
        <v>1.05.03</v>
      </c>
      <c r="C123" s="3" t="str">
        <f>'FSL Source'!B123</f>
        <v>DOC-TPL-008</v>
      </c>
      <c r="D123" s="3" t="str">
        <f>'FSL Source'!C123</f>
        <v>Hồ sơ, Tài liệu &amp; Biểu mẫu</v>
      </c>
      <c r="E123" s="3" t="str">
        <f>'FSL Source'!D123</f>
        <v>Mẫu văn bản</v>
      </c>
      <c r="F123" s="4" t="str">
        <f>'FSL Source'!E123</f>
        <v>Merge field</v>
      </c>
      <c r="G123" s="4" t="str">
        <f>'FSL Source'!F123</f>
        <v>Quản lý biến trộn dữ liệu</v>
      </c>
      <c r="H123" s="4" t="str">
        <f>'FSL Source'!G123</f>
        <v>Khai báo và kiểm tra biến như mã nhiệm vụ, chủ nhiệm, kinh phí, kết quả duyệt.</v>
      </c>
      <c r="I123" s="3" t="str">
        <f>'FSL Source'!H123</f>
        <v>Quản trị cấu hình</v>
      </c>
      <c r="J123" s="3" t="str">
        <f>'FSL Source'!I123</f>
        <v>Cấu hình</v>
      </c>
      <c r="K123" s="3">
        <f>'FSL Source'!J123</f>
        <v>0</v>
      </c>
      <c r="L123" s="3" t="str">
        <f>'FSL Source'!K123</f>
        <v>CAP-06</v>
      </c>
      <c r="M123" s="3" t="str">
        <f>'FSL Source'!L123</f>
        <v>Should</v>
      </c>
      <c r="N123" s="3" t="str">
        <f>'FSL Source'!M123</f>
        <v>Pha 2</v>
      </c>
      <c r="O123" s="3" t="str">
        <f>'FSL Source'!N123</f>
        <v>Đề xuất trong phạm vi</v>
      </c>
      <c r="P123" s="4" t="str">
        <f>'FSL Source'!O123</f>
        <v>Bổ sung</v>
      </c>
      <c r="Q123" s="4">
        <f>'FSL Source'!P123</f>
        <v>0</v>
      </c>
      <c r="R123" s="4">
        <f>'FSL Source'!Q123</f>
        <v>0</v>
      </c>
      <c r="S123" s="3"/>
      <c r="T123" s="3"/>
      <c r="U123" s="8"/>
      <c r="V123" s="8"/>
      <c r="W123" s="9"/>
      <c r="X123" s="9" t="str">
        <f t="shared" si="1"/>
        <v/>
      </c>
      <c r="Y123" s="3" t="s">
        <v>1860</v>
      </c>
      <c r="Z123" s="10">
        <v>0</v>
      </c>
      <c r="AA123" s="4"/>
    </row>
    <row r="124" spans="1:27" ht="25.5">
      <c r="A124" s="3" t="str">
        <f>B124&amp;"."&amp;TEXT(COUNTIF($B$5:B124,B124),"000")</f>
        <v>1.05.03.009</v>
      </c>
      <c r="B124" s="3" t="str">
        <f>IFERROR(INDEX('Work Packages'!$A$5:$A$200,MATCH(D124&amp;"|"&amp;E124,'Work Packages'!$P$5:$P$200,0)),"")</f>
        <v>1.05.03</v>
      </c>
      <c r="C124" s="3" t="str">
        <f>'FSL Source'!B124</f>
        <v>DOC-TPL-009</v>
      </c>
      <c r="D124" s="3" t="str">
        <f>'FSL Source'!C124</f>
        <v>Hồ sơ, Tài liệu &amp; Biểu mẫu</v>
      </c>
      <c r="E124" s="3" t="str">
        <f>'FSL Source'!D124</f>
        <v>Mẫu văn bản</v>
      </c>
      <c r="F124" s="4" t="str">
        <f>'FSL Source'!E124</f>
        <v>Sinh tài liệu</v>
      </c>
      <c r="G124" s="4" t="str">
        <f>'FSL Source'!F124</f>
        <v>Sinh Word/PDF từ mẫu</v>
      </c>
      <c r="H124" s="4" t="str">
        <f>'FSL Source'!G124</f>
        <v>Trộn dữ liệu đúng phiên bản, lưu file sinh ra và liên kết với hồ sơ.</v>
      </c>
      <c r="I124" s="3" t="str">
        <f>'FSL Source'!H124</f>
        <v>Người dùng nghiệp vụ</v>
      </c>
      <c r="J124" s="3" t="str">
        <f>'FSL Source'!I124</f>
        <v>Nền tảng</v>
      </c>
      <c r="K124" s="3" t="str">
        <f>'FSL Source'!J124</f>
        <v>RD01-RD10</v>
      </c>
      <c r="L124" s="3" t="str">
        <f>'FSL Source'!K124</f>
        <v>CAP-06</v>
      </c>
      <c r="M124" s="3" t="str">
        <f>'FSL Source'!L124</f>
        <v>Should</v>
      </c>
      <c r="N124" s="3" t="str">
        <f>'FSL Source'!M124</f>
        <v>Pha 2</v>
      </c>
      <c r="O124" s="3" t="str">
        <f>'FSL Source'!N124</f>
        <v>Đề xuất trong phạm vi</v>
      </c>
      <c r="P124" s="4" t="str">
        <f>'FSL Source'!O124</f>
        <v>Bổ sung</v>
      </c>
      <c r="Q124" s="4">
        <f>'FSL Source'!P124</f>
        <v>0</v>
      </c>
      <c r="R124" s="4">
        <f>'FSL Source'!Q124</f>
        <v>0</v>
      </c>
      <c r="S124" s="3"/>
      <c r="T124" s="3"/>
      <c r="U124" s="8"/>
      <c r="V124" s="8"/>
      <c r="W124" s="9"/>
      <c r="X124" s="9" t="str">
        <f t="shared" si="1"/>
        <v/>
      </c>
      <c r="Y124" s="3" t="s">
        <v>1860</v>
      </c>
      <c r="Z124" s="10">
        <v>0</v>
      </c>
      <c r="AA124" s="4"/>
    </row>
    <row r="125" spans="1:27" ht="25.5">
      <c r="A125" s="3" t="str">
        <f>B125&amp;"."&amp;TEXT(COUNTIF($B$5:B125,B125),"000")</f>
        <v>1.05.04.001</v>
      </c>
      <c r="B125" s="3" t="str">
        <f>IFERROR(INDEX('Work Packages'!$A$5:$A$200,MATCH(D125&amp;"|"&amp;E125,'Work Packages'!$P$5:$P$200,0)),"")</f>
        <v>1.05.04</v>
      </c>
      <c r="C125" s="3" t="str">
        <f>'FSL Source'!B125</f>
        <v>DOC-FILE-001</v>
      </c>
      <c r="D125" s="3" t="str">
        <f>'FSL Source'!C125</f>
        <v>Hồ sơ, Tài liệu &amp; Biểu mẫu</v>
      </c>
      <c r="E125" s="3" t="str">
        <f>'FSL Source'!D125</f>
        <v>Quản lý tệp</v>
      </c>
      <c r="F125" s="4" t="str">
        <f>'FSL Source'!E125</f>
        <v>Tài liệu đính kèm</v>
      </c>
      <c r="G125" s="4" t="str">
        <f>'FSL Source'!F125</f>
        <v>Tải lên, tải xuống và xem trước tài liệu</v>
      </c>
      <c r="H125" s="4" t="str">
        <f>'FSL Source'!G125</f>
        <v>Lưu file ở object storage/DMS, metadata trong Core System; kiểm soát loại, dung lượng và virus.</v>
      </c>
      <c r="I125" s="3" t="str">
        <f>'FSL Source'!H125</f>
        <v>Người dùng nghiệp vụ</v>
      </c>
      <c r="J125" s="3" t="str">
        <f>'FSL Source'!I125</f>
        <v>Nền tảng</v>
      </c>
      <c r="K125" s="3">
        <f>'FSL Source'!J125</f>
        <v>0</v>
      </c>
      <c r="L125" s="3" t="str">
        <f>'FSL Source'!K125</f>
        <v>CAP-06</v>
      </c>
      <c r="M125" s="3" t="str">
        <f>'FSL Source'!L125</f>
        <v>Must</v>
      </c>
      <c r="N125" s="3" t="str">
        <f>'FSL Source'!M125</f>
        <v>Pha 1</v>
      </c>
      <c r="O125" s="3" t="str">
        <f>'FSL Source'!N125</f>
        <v>Đề xuất trong phạm vi</v>
      </c>
      <c r="P125" s="4" t="str">
        <f>'FSL Source'!O125</f>
        <v>Bổ sung</v>
      </c>
      <c r="Q125" s="4">
        <f>'FSL Source'!P125</f>
        <v>0</v>
      </c>
      <c r="R125" s="4">
        <f>'FSL Source'!Q125</f>
        <v>0</v>
      </c>
      <c r="S125" s="3"/>
      <c r="T125" s="3"/>
      <c r="U125" s="8"/>
      <c r="V125" s="8"/>
      <c r="W125" s="9"/>
      <c r="X125" s="9" t="str">
        <f t="shared" si="1"/>
        <v/>
      </c>
      <c r="Y125" s="3" t="s">
        <v>1860</v>
      </c>
      <c r="Z125" s="10">
        <v>0</v>
      </c>
      <c r="AA125" s="4"/>
    </row>
    <row r="126" spans="1:27" ht="25.5">
      <c r="A126" s="3" t="str">
        <f>B126&amp;"."&amp;TEXT(COUNTIF($B$5:B126,B126),"000")</f>
        <v>1.05.04.002</v>
      </c>
      <c r="B126" s="3" t="str">
        <f>IFERROR(INDEX('Work Packages'!$A$5:$A$200,MATCH(D126&amp;"|"&amp;E126,'Work Packages'!$P$5:$P$200,0)),"")</f>
        <v>1.05.04</v>
      </c>
      <c r="C126" s="3" t="str">
        <f>'FSL Source'!B126</f>
        <v>DOC-FILE-002</v>
      </c>
      <c r="D126" s="3" t="str">
        <f>'FSL Source'!C126</f>
        <v>Hồ sơ, Tài liệu &amp; Biểu mẫu</v>
      </c>
      <c r="E126" s="3" t="str">
        <f>'FSL Source'!D126</f>
        <v>Quản lý tệp</v>
      </c>
      <c r="F126" s="4" t="str">
        <f>'FSL Source'!E126</f>
        <v>Tài liệu đính kèm</v>
      </c>
      <c r="G126" s="4" t="str">
        <f>'FSL Source'!F126</f>
        <v>Phiên bản hóa tài liệu</v>
      </c>
      <c r="H126" s="4" t="str">
        <f>'FSL Source'!G126</f>
        <v>Lưu nhiều phiên bản, người tải lên, checksum và trạng thái tài liệu.</v>
      </c>
      <c r="I126" s="3" t="str">
        <f>'FSL Source'!H126</f>
        <v>Người dùng nghiệp vụ</v>
      </c>
      <c r="J126" s="3" t="str">
        <f>'FSL Source'!I126</f>
        <v>Nền tảng</v>
      </c>
      <c r="K126" s="3">
        <f>'FSL Source'!J126</f>
        <v>0</v>
      </c>
      <c r="L126" s="3" t="str">
        <f>'FSL Source'!K126</f>
        <v>CAP-06</v>
      </c>
      <c r="M126" s="3" t="str">
        <f>'FSL Source'!L126</f>
        <v>Must</v>
      </c>
      <c r="N126" s="3" t="str">
        <f>'FSL Source'!M126</f>
        <v>Pha 1</v>
      </c>
      <c r="O126" s="3" t="str">
        <f>'FSL Source'!N126</f>
        <v>Đề xuất trong phạm vi</v>
      </c>
      <c r="P126" s="4" t="str">
        <f>'FSL Source'!O126</f>
        <v>Bổ sung</v>
      </c>
      <c r="Q126" s="4">
        <f>'FSL Source'!P126</f>
        <v>0</v>
      </c>
      <c r="R126" s="4">
        <f>'FSL Source'!Q126</f>
        <v>0</v>
      </c>
      <c r="S126" s="3"/>
      <c r="T126" s="3"/>
      <c r="U126" s="8"/>
      <c r="V126" s="8"/>
      <c r="W126" s="9"/>
      <c r="X126" s="9" t="str">
        <f t="shared" si="1"/>
        <v/>
      </c>
      <c r="Y126" s="3" t="s">
        <v>1860</v>
      </c>
      <c r="Z126" s="10">
        <v>0</v>
      </c>
      <c r="AA126" s="4"/>
    </row>
    <row r="127" spans="1:27" ht="25.5">
      <c r="A127" s="3" t="str">
        <f>B127&amp;"."&amp;TEXT(COUNTIF($B$5:B127,B127),"000")</f>
        <v>1.05.04.003</v>
      </c>
      <c r="B127" s="3" t="str">
        <f>IFERROR(INDEX('Work Packages'!$A$5:$A$200,MATCH(D127&amp;"|"&amp;E127,'Work Packages'!$P$5:$P$200,0)),"")</f>
        <v>1.05.04</v>
      </c>
      <c r="C127" s="3" t="str">
        <f>'FSL Source'!B127</f>
        <v>DOC-FILE-003</v>
      </c>
      <c r="D127" s="3" t="str">
        <f>'FSL Source'!C127</f>
        <v>Hồ sơ, Tài liệu &amp; Biểu mẫu</v>
      </c>
      <c r="E127" s="3" t="str">
        <f>'FSL Source'!D127</f>
        <v>Quản lý tệp</v>
      </c>
      <c r="F127" s="4" t="str">
        <f>'FSL Source'!E127</f>
        <v>Bảo mật tài liệu</v>
      </c>
      <c r="G127" s="4" t="str">
        <f>'FSL Source'!F127</f>
        <v>Phân quyền tài liệu và hồ sơ mật</v>
      </c>
      <c r="H127" s="4" t="str">
        <f>'FSL Source'!G127</f>
        <v>Kiểm soát quyền xem/tải/in theo vai trò, nhiệm vụ, mức mật và watermark.</v>
      </c>
      <c r="I127" s="3" t="str">
        <f>'FSL Source'!H127</f>
        <v>Quản trị/Người dùng nghiệp vụ</v>
      </c>
      <c r="J127" s="3" t="str">
        <f>'FSL Source'!I127</f>
        <v>Bảo mật</v>
      </c>
      <c r="K127" s="3">
        <f>'FSL Source'!J127</f>
        <v>0</v>
      </c>
      <c r="L127" s="3" t="str">
        <f>'FSL Source'!K127</f>
        <v>CAP-06</v>
      </c>
      <c r="M127" s="3" t="str">
        <f>'FSL Source'!L127</f>
        <v>Must</v>
      </c>
      <c r="N127" s="3" t="str">
        <f>'FSL Source'!M127</f>
        <v>Pha 1</v>
      </c>
      <c r="O127" s="3" t="str">
        <f>'FSL Source'!N127</f>
        <v>Đề xuất trong phạm vi</v>
      </c>
      <c r="P127" s="4" t="str">
        <f>'FSL Source'!O127</f>
        <v>Bổ sung</v>
      </c>
      <c r="Q127" s="4">
        <f>'FSL Source'!P127</f>
        <v>0</v>
      </c>
      <c r="R127" s="4">
        <f>'FSL Source'!Q127</f>
        <v>0</v>
      </c>
      <c r="S127" s="3"/>
      <c r="T127" s="3"/>
      <c r="U127" s="8"/>
      <c r="V127" s="8"/>
      <c r="W127" s="9"/>
      <c r="X127" s="9" t="str">
        <f t="shared" si="1"/>
        <v/>
      </c>
      <c r="Y127" s="3" t="s">
        <v>1860</v>
      </c>
      <c r="Z127" s="10">
        <v>0</v>
      </c>
      <c r="AA127" s="4"/>
    </row>
    <row r="128" spans="1:27" ht="25.5">
      <c r="A128" s="3" t="str">
        <f>B128&amp;"."&amp;TEXT(COUNTIF($B$5:B128,B128),"000")</f>
        <v>1.05.04.004</v>
      </c>
      <c r="B128" s="3" t="str">
        <f>IFERROR(INDEX('Work Packages'!$A$5:$A$200,MATCH(D128&amp;"|"&amp;E128,'Work Packages'!$P$5:$P$200,0)),"")</f>
        <v>1.05.04</v>
      </c>
      <c r="C128" s="3" t="str">
        <f>'FSL Source'!B128</f>
        <v>DOC-FILE-004</v>
      </c>
      <c r="D128" s="3" t="str">
        <f>'FSL Source'!C128</f>
        <v>Hồ sơ, Tài liệu &amp; Biểu mẫu</v>
      </c>
      <c r="E128" s="3" t="str">
        <f>'FSL Source'!D128</f>
        <v>Quản lý tệp</v>
      </c>
      <c r="F128" s="4" t="str">
        <f>'FSL Source'!E128</f>
        <v>Ký số</v>
      </c>
      <c r="G128" s="4" t="str">
        <f>'FSL Source'!F128</f>
        <v>Ký số và kiểm tra chữ ký</v>
      </c>
      <c r="H128" s="4" t="str">
        <f>'FSL Source'!G128</f>
        <v>Tích hợp dịch vụ ký số, lưu chứng thư, thời gian ký và trạng thái kiểm tra.</v>
      </c>
      <c r="I128" s="3" t="str">
        <f>'FSL Source'!H128</f>
        <v>Lãnh đạo/Cán bộ KHCN</v>
      </c>
      <c r="J128" s="3" t="str">
        <f>'FSL Source'!I128</f>
        <v>Tích hợp</v>
      </c>
      <c r="K128" s="3" t="str">
        <f>'FSL Source'!J128</f>
        <v>RD01-RD10</v>
      </c>
      <c r="L128" s="3" t="str">
        <f>'FSL Source'!K128</f>
        <v>CAP-06</v>
      </c>
      <c r="M128" s="3" t="str">
        <f>'FSL Source'!L128</f>
        <v>Should</v>
      </c>
      <c r="N128" s="3" t="str">
        <f>'FSL Source'!M128</f>
        <v>Pha 2</v>
      </c>
      <c r="O128" s="3" t="str">
        <f>'FSL Source'!N128</f>
        <v>Cần xác nhận</v>
      </c>
      <c r="P128" s="4" t="str">
        <f>'FSL Source'!O128</f>
        <v>Bổ sung theo kiến trúc</v>
      </c>
      <c r="Q128" s="4">
        <f>'FSL Source'!P128</f>
        <v>0</v>
      </c>
      <c r="R128" s="4">
        <f>'FSL Source'!Q128</f>
        <v>0</v>
      </c>
      <c r="S128" s="3"/>
      <c r="T128" s="3"/>
      <c r="U128" s="8"/>
      <c r="V128" s="8"/>
      <c r="W128" s="9"/>
      <c r="X128" s="9" t="str">
        <f t="shared" si="1"/>
        <v/>
      </c>
      <c r="Y128" s="3" t="s">
        <v>1860</v>
      </c>
      <c r="Z128" s="10">
        <v>0</v>
      </c>
      <c r="AA128" s="4"/>
    </row>
    <row r="129" spans="1:27" ht="25.5">
      <c r="A129" s="3" t="str">
        <f>B129&amp;"."&amp;TEXT(COUNTIF($B$5:B129,B129),"000")</f>
        <v>1.06.01.001</v>
      </c>
      <c r="B129" s="3" t="str">
        <f>IFERROR(INDEX('Work Packages'!$A$5:$A$200,MATCH(D129&amp;"|"&amp;E129,'Work Packages'!$P$5:$P$200,0)),"")</f>
        <v>1.06.01</v>
      </c>
      <c r="C129" s="3" t="str">
        <f>'FSL Source'!B129</f>
        <v>COU-COUNCIL-001</v>
      </c>
      <c r="D129" s="3" t="str">
        <f>'FSL Source'!C129</f>
        <v>Hội đồng &amp; Thẩm định</v>
      </c>
      <c r="E129" s="3" t="str">
        <f>'FSL Source'!D129</f>
        <v>Quản lý hội đồng</v>
      </c>
      <c r="F129" s="4" t="str">
        <f>'FSL Source'!E129</f>
        <v>Hội đồng KHCN</v>
      </c>
      <c r="G129" s="4" t="str">
        <f>'FSL Source'!F129</f>
        <v>Xem danh sách Hội đồng KHCN</v>
      </c>
      <c r="H129" s="4" t="str">
        <f>'FSL Source'!G129</f>
        <v>Tra cứu danh sách, phân trang, sắp xếp và lọc Hội đồng KHCN theo các tiêu chí nghiệp vụ.</v>
      </c>
      <c r="I129" s="3" t="str">
        <f>'FSL Source'!H129</f>
        <v>Cán bộ KHCN/Thư ký</v>
      </c>
      <c r="J129" s="3" t="str">
        <f>'FSL Source'!I129</f>
        <v>Nghiệp vụ</v>
      </c>
      <c r="K129" s="3" t="str">
        <f>'FSL Source'!J129</f>
        <v>RD01,RD02,RD04,RD05</v>
      </c>
      <c r="L129" s="3" t="str">
        <f>'FSL Source'!K129</f>
        <v>CAP-10</v>
      </c>
      <c r="M129" s="3" t="str">
        <f>'FSL Source'!L129</f>
        <v>Must</v>
      </c>
      <c r="N129" s="3" t="str">
        <f>'FSL Source'!M129</f>
        <v>Pha 1</v>
      </c>
      <c r="O129" s="3" t="str">
        <f>'FSL Source'!N129</f>
        <v>Đề xuất trong phạm vi</v>
      </c>
      <c r="P129" s="4" t="str">
        <f>'FSL Source'!O129</f>
        <v>Hiệu chỉnh theo BRD 0.9</v>
      </c>
      <c r="Q129" s="4" t="str">
        <f>'FSL Source'!P129</f>
        <v>Danh sách hiển thị đúng phạm vi dữ liệu và hỗ trợ lọc/xuất theo quyền.</v>
      </c>
      <c r="R129" s="4">
        <f>'FSL Source'!Q129</f>
        <v>0</v>
      </c>
      <c r="S129" s="3"/>
      <c r="T129" s="3"/>
      <c r="U129" s="8"/>
      <c r="V129" s="8"/>
      <c r="W129" s="9"/>
      <c r="X129" s="9" t="str">
        <f t="shared" si="1"/>
        <v/>
      </c>
      <c r="Y129" s="3" t="s">
        <v>1860</v>
      </c>
      <c r="Z129" s="10">
        <v>0</v>
      </c>
      <c r="AA129" s="4"/>
    </row>
    <row r="130" spans="1:27" ht="25.5">
      <c r="A130" s="3" t="str">
        <f>B130&amp;"."&amp;TEXT(COUNTIF($B$5:B130,B130),"000")</f>
        <v>1.06.01.002</v>
      </c>
      <c r="B130" s="3" t="str">
        <f>IFERROR(INDEX('Work Packages'!$A$5:$A$200,MATCH(D130&amp;"|"&amp;E130,'Work Packages'!$P$5:$P$200,0)),"")</f>
        <v>1.06.01</v>
      </c>
      <c r="C130" s="3" t="str">
        <f>'FSL Source'!B130</f>
        <v>COU-COUNCIL-002</v>
      </c>
      <c r="D130" s="3" t="str">
        <f>'FSL Source'!C130</f>
        <v>Hội đồng &amp; Thẩm định</v>
      </c>
      <c r="E130" s="3" t="str">
        <f>'FSL Source'!D130</f>
        <v>Quản lý hội đồng</v>
      </c>
      <c r="F130" s="4" t="str">
        <f>'FSL Source'!E130</f>
        <v>Hội đồng KHCN</v>
      </c>
      <c r="G130" s="4" t="str">
        <f>'FSL Source'!F130</f>
        <v>Tạo mới Hội đồng KHCN</v>
      </c>
      <c r="H130" s="4" t="str">
        <f>'FSL Source'!G130</f>
        <v>Khởi tạo Hội đồng KHCN, kiểm tra dữ liệu bắt buộc và lưu nháp trước khi hoàn tất.</v>
      </c>
      <c r="I130" s="3" t="str">
        <f>'FSL Source'!H130</f>
        <v>Cán bộ KHCN/Thư ký</v>
      </c>
      <c r="J130" s="3" t="str">
        <f>'FSL Source'!I130</f>
        <v>Nghiệp vụ</v>
      </c>
      <c r="K130" s="3" t="str">
        <f>'FSL Source'!J130</f>
        <v>RD01,RD02,RD04,RD05</v>
      </c>
      <c r="L130" s="3" t="str">
        <f>'FSL Source'!K130</f>
        <v>CAP-10</v>
      </c>
      <c r="M130" s="3" t="str">
        <f>'FSL Source'!L130</f>
        <v>Must</v>
      </c>
      <c r="N130" s="3" t="str">
        <f>'FSL Source'!M130</f>
        <v>Pha 1</v>
      </c>
      <c r="O130" s="3" t="str">
        <f>'FSL Source'!N130</f>
        <v>Đề xuất trong phạm vi</v>
      </c>
      <c r="P130" s="4" t="str">
        <f>'FSL Source'!O130</f>
        <v>Hiệu chỉnh theo BRD 0.9</v>
      </c>
      <c r="Q130" s="4" t="str">
        <f>'FSL Source'!P130</f>
        <v>Dữ liệu hợp lệ được lưu; lỗi validation hiển thị tại trường tương ứng.</v>
      </c>
      <c r="R130" s="4">
        <f>'FSL Source'!Q130</f>
        <v>0</v>
      </c>
      <c r="S130" s="3"/>
      <c r="T130" s="3"/>
      <c r="U130" s="8"/>
      <c r="V130" s="8"/>
      <c r="W130" s="9"/>
      <c r="X130" s="9" t="str">
        <f t="shared" si="1"/>
        <v/>
      </c>
      <c r="Y130" s="3" t="s">
        <v>1860</v>
      </c>
      <c r="Z130" s="10">
        <v>0</v>
      </c>
      <c r="AA130" s="4"/>
    </row>
    <row r="131" spans="1:27" ht="25.5">
      <c r="A131" s="3" t="str">
        <f>B131&amp;"."&amp;TEXT(COUNTIF($B$5:B131,B131),"000")</f>
        <v>1.06.01.003</v>
      </c>
      <c r="B131" s="3" t="str">
        <f>IFERROR(INDEX('Work Packages'!$A$5:$A$200,MATCH(D131&amp;"|"&amp;E131,'Work Packages'!$P$5:$P$200,0)),"")</f>
        <v>1.06.01</v>
      </c>
      <c r="C131" s="3" t="str">
        <f>'FSL Source'!B131</f>
        <v>COU-COUNCIL-003</v>
      </c>
      <c r="D131" s="3" t="str">
        <f>'FSL Source'!C131</f>
        <v>Hội đồng &amp; Thẩm định</v>
      </c>
      <c r="E131" s="3" t="str">
        <f>'FSL Source'!D131</f>
        <v>Quản lý hội đồng</v>
      </c>
      <c r="F131" s="4" t="str">
        <f>'FSL Source'!E131</f>
        <v>Hội đồng KHCN</v>
      </c>
      <c r="G131" s="4" t="str">
        <f>'FSL Source'!F131</f>
        <v>Xem chi tiết Hội đồng KHCN</v>
      </c>
      <c r="H131" s="4" t="str">
        <f>'FSL Source'!G131</f>
        <v>Hiển thị thông tin tổng quan, dữ liệu chi tiết, tài liệu liên quan và trạng thái của Hội đồng KHCN.</v>
      </c>
      <c r="I131" s="3" t="str">
        <f>'FSL Source'!H131</f>
        <v>Cán bộ KHCN/Thư ký</v>
      </c>
      <c r="J131" s="3" t="str">
        <f>'FSL Source'!I131</f>
        <v>Nghiệp vụ</v>
      </c>
      <c r="K131" s="3" t="str">
        <f>'FSL Source'!J131</f>
        <v>RD01,RD02,RD04,RD05</v>
      </c>
      <c r="L131" s="3" t="str">
        <f>'FSL Source'!K131</f>
        <v>CAP-10</v>
      </c>
      <c r="M131" s="3" t="str">
        <f>'FSL Source'!L131</f>
        <v>Must</v>
      </c>
      <c r="N131" s="3" t="str">
        <f>'FSL Source'!M131</f>
        <v>Pha 1</v>
      </c>
      <c r="O131" s="3" t="str">
        <f>'FSL Source'!N131</f>
        <v>Đề xuất trong phạm vi</v>
      </c>
      <c r="P131" s="4" t="str">
        <f>'FSL Source'!O131</f>
        <v>Hiệu chỉnh theo BRD 0.9</v>
      </c>
      <c r="Q131" s="4" t="str">
        <f>'FSL Source'!P131</f>
        <v>Thông tin hiển thị đúng phiên bản và quyền truy cập.</v>
      </c>
      <c r="R131" s="4">
        <f>'FSL Source'!Q131</f>
        <v>0</v>
      </c>
      <c r="S131" s="3"/>
      <c r="T131" s="3"/>
      <c r="U131" s="8"/>
      <c r="V131" s="8"/>
      <c r="W131" s="9"/>
      <c r="X131" s="9" t="str">
        <f t="shared" si="1"/>
        <v/>
      </c>
      <c r="Y131" s="3" t="s">
        <v>1860</v>
      </c>
      <c r="Z131" s="10">
        <v>0</v>
      </c>
      <c r="AA131" s="4"/>
    </row>
    <row r="132" spans="1:27" ht="25.5">
      <c r="A132" s="3" t="str">
        <f>B132&amp;"."&amp;TEXT(COUNTIF($B$5:B132,B132),"000")</f>
        <v>1.06.01.004</v>
      </c>
      <c r="B132" s="3" t="str">
        <f>IFERROR(INDEX('Work Packages'!$A$5:$A$200,MATCH(D132&amp;"|"&amp;E132,'Work Packages'!$P$5:$P$200,0)),"")</f>
        <v>1.06.01</v>
      </c>
      <c r="C132" s="3" t="str">
        <f>'FSL Source'!B132</f>
        <v>COU-COUNCIL-004</v>
      </c>
      <c r="D132" s="3" t="str">
        <f>'FSL Source'!C132</f>
        <v>Hội đồng &amp; Thẩm định</v>
      </c>
      <c r="E132" s="3" t="str">
        <f>'FSL Source'!D132</f>
        <v>Quản lý hội đồng</v>
      </c>
      <c r="F132" s="4" t="str">
        <f>'FSL Source'!E132</f>
        <v>Hội đồng KHCN</v>
      </c>
      <c r="G132" s="4" t="str">
        <f>'FSL Source'!F132</f>
        <v>Chỉnh sửa Hội đồng KHCN</v>
      </c>
      <c r="H132" s="4" t="str">
        <f>'FSL Source'!G132</f>
        <v>Cập nhật Hội đồng KHCN khi trạng thái và quyền người dùng cho phép; kiểm soát xung đột cập nhật.</v>
      </c>
      <c r="I132" s="3" t="str">
        <f>'FSL Source'!H132</f>
        <v>Cán bộ KHCN/Thư ký</v>
      </c>
      <c r="J132" s="3" t="str">
        <f>'FSL Source'!I132</f>
        <v>Nghiệp vụ</v>
      </c>
      <c r="K132" s="3" t="str">
        <f>'FSL Source'!J132</f>
        <v>RD01,RD02,RD04,RD05</v>
      </c>
      <c r="L132" s="3" t="str">
        <f>'FSL Source'!K132</f>
        <v>CAP-10</v>
      </c>
      <c r="M132" s="3" t="str">
        <f>'FSL Source'!L132</f>
        <v>Must</v>
      </c>
      <c r="N132" s="3" t="str">
        <f>'FSL Source'!M132</f>
        <v>Pha 1</v>
      </c>
      <c r="O132" s="3" t="str">
        <f>'FSL Source'!N132</f>
        <v>Đề xuất trong phạm vi</v>
      </c>
      <c r="P132" s="4" t="str">
        <f>'FSL Source'!O132</f>
        <v>Hiệu chỉnh theo BRD 0.9</v>
      </c>
      <c r="Q132" s="4" t="str">
        <f>'FSL Source'!P132</f>
        <v>Chỉ trường được phép sửa có hiệu lực và thay đổi được ghi lịch sử.</v>
      </c>
      <c r="R132" s="4">
        <f>'FSL Source'!Q132</f>
        <v>0</v>
      </c>
      <c r="S132" s="3"/>
      <c r="T132" s="3"/>
      <c r="U132" s="8"/>
      <c r="V132" s="8"/>
      <c r="W132" s="9"/>
      <c r="X132" s="9" t="str">
        <f t="shared" si="1"/>
        <v/>
      </c>
      <c r="Y132" s="3" t="s">
        <v>1860</v>
      </c>
      <c r="Z132" s="10">
        <v>0</v>
      </c>
      <c r="AA132" s="4"/>
    </row>
    <row r="133" spans="1:27" ht="25.5">
      <c r="A133" s="3" t="str">
        <f>B133&amp;"."&amp;TEXT(COUNTIF($B$5:B133,B133),"000")</f>
        <v>1.06.01.005</v>
      </c>
      <c r="B133" s="3" t="str">
        <f>IFERROR(INDEX('Work Packages'!$A$5:$A$200,MATCH(D133&amp;"|"&amp;E133,'Work Packages'!$P$5:$P$200,0)),"")</f>
        <v>1.06.01</v>
      </c>
      <c r="C133" s="3" t="str">
        <f>'FSL Source'!B133</f>
        <v>COU-COUNCIL-005</v>
      </c>
      <c r="D133" s="3" t="str">
        <f>'FSL Source'!C133</f>
        <v>Hội đồng &amp; Thẩm định</v>
      </c>
      <c r="E133" s="3" t="str">
        <f>'FSL Source'!D133</f>
        <v>Quản lý hội đồng</v>
      </c>
      <c r="F133" s="4" t="str">
        <f>'FSL Source'!E133</f>
        <v>Hội đồng KHCN</v>
      </c>
      <c r="G133" s="4" t="str">
        <f>'FSL Source'!F133</f>
        <v>Xóa/Ngừng sử dụng Hội đồng KHCN</v>
      </c>
      <c r="H133" s="4" t="str">
        <f>'FSL Source'!G133</f>
        <v>Xóa logic hoặc ngừng sử dụng Hội đồng KHCN sau khi kiểm tra ràng buộc tham chiếu.</v>
      </c>
      <c r="I133" s="3" t="str">
        <f>'FSL Source'!H133</f>
        <v>Quản trị/Cán bộ nghiệp vụ</v>
      </c>
      <c r="J133" s="3" t="str">
        <f>'FSL Source'!I133</f>
        <v>Nghiệp vụ</v>
      </c>
      <c r="K133" s="3" t="str">
        <f>'FSL Source'!J133</f>
        <v>RD01,RD02,RD04,RD05</v>
      </c>
      <c r="L133" s="3" t="str">
        <f>'FSL Source'!K133</f>
        <v>CAP-10</v>
      </c>
      <c r="M133" s="3" t="str">
        <f>'FSL Source'!L133</f>
        <v>Should</v>
      </c>
      <c r="N133" s="3" t="str">
        <f>'FSL Source'!M133</f>
        <v>Pha 1</v>
      </c>
      <c r="O133" s="3" t="str">
        <f>'FSL Source'!N133</f>
        <v>Đề xuất trong phạm vi</v>
      </c>
      <c r="P133" s="4" t="str">
        <f>'FSL Source'!O133</f>
        <v>Hiệu chỉnh theo BRD 0.9</v>
      </c>
      <c r="Q133" s="4" t="str">
        <f>'FSL Source'!P133</f>
        <v>Không xóa vật lý dữ liệu đã phát sinh giao dịch; cảnh báo rõ quan hệ phụ thuộc.</v>
      </c>
      <c r="R133" s="4">
        <f>'FSL Source'!Q133</f>
        <v>0</v>
      </c>
      <c r="S133" s="3"/>
      <c r="T133" s="3"/>
      <c r="U133" s="8"/>
      <c r="V133" s="8"/>
      <c r="W133" s="9"/>
      <c r="X133" s="9" t="str">
        <f t="shared" ref="X133:X196" si="2">IF(OR(W133="",V133=""),"",WORKDAY(W133,V133-1))</f>
        <v/>
      </c>
      <c r="Y133" s="3" t="s">
        <v>1860</v>
      </c>
      <c r="Z133" s="10">
        <v>0</v>
      </c>
      <c r="AA133" s="4"/>
    </row>
    <row r="134" spans="1:27" ht="25.5">
      <c r="A134" s="3" t="str">
        <f>B134&amp;"."&amp;TEXT(COUNTIF($B$5:B134,B134),"000")</f>
        <v>1.06.01.006</v>
      </c>
      <c r="B134" s="3" t="str">
        <f>IFERROR(INDEX('Work Packages'!$A$5:$A$200,MATCH(D134&amp;"|"&amp;E134,'Work Packages'!$P$5:$P$200,0)),"")</f>
        <v>1.06.01</v>
      </c>
      <c r="C134" s="3" t="str">
        <f>'FSL Source'!B134</f>
        <v>COU-COUNCIL-006</v>
      </c>
      <c r="D134" s="3" t="str">
        <f>'FSL Source'!C134</f>
        <v>Hội đồng &amp; Thẩm định</v>
      </c>
      <c r="E134" s="3" t="str">
        <f>'FSL Source'!D134</f>
        <v>Quản lý hội đồng</v>
      </c>
      <c r="F134" s="4" t="str">
        <f>'FSL Source'!E134</f>
        <v>Hội đồng KHCN</v>
      </c>
      <c r="G134" s="4" t="str">
        <f>'FSL Source'!F134</f>
        <v>Xem lịch sử Hội đồng KHCN</v>
      </c>
      <c r="H134" s="4" t="str">
        <f>'FSL Source'!G134</f>
        <v>Theo dõi phiên bản, thay đổi dữ liệu, người thực hiện và lịch sử xử lý của Hội đồng KHCN.</v>
      </c>
      <c r="I134" s="3" t="str">
        <f>'FSL Source'!H134</f>
        <v>Cán bộ nghiệp vụ/Quản trị</v>
      </c>
      <c r="J134" s="3" t="str">
        <f>'FSL Source'!I134</f>
        <v>Audit</v>
      </c>
      <c r="K134" s="3" t="str">
        <f>'FSL Source'!J134</f>
        <v>RD01,RD02,RD04,RD05</v>
      </c>
      <c r="L134" s="3" t="str">
        <f>'FSL Source'!K134</f>
        <v>CAP-10</v>
      </c>
      <c r="M134" s="3" t="str">
        <f>'FSL Source'!L134</f>
        <v>Must</v>
      </c>
      <c r="N134" s="3" t="str">
        <f>'FSL Source'!M134</f>
        <v>Pha 1</v>
      </c>
      <c r="O134" s="3" t="str">
        <f>'FSL Source'!N134</f>
        <v>Đề xuất trong phạm vi</v>
      </c>
      <c r="P134" s="4" t="str">
        <f>'FSL Source'!O134</f>
        <v>Hiệu chỉnh theo BRD 0.9</v>
      </c>
      <c r="Q134" s="4" t="str">
        <f>'FSL Source'!P134</f>
        <v>Lịch sử không thể sửa và truy vết được trước/sau của thay đổi quan trọng.</v>
      </c>
      <c r="R134" s="4">
        <f>'FSL Source'!Q134</f>
        <v>0</v>
      </c>
      <c r="S134" s="3"/>
      <c r="T134" s="3"/>
      <c r="U134" s="8"/>
      <c r="V134" s="8"/>
      <c r="W134" s="9"/>
      <c r="X134" s="9" t="str">
        <f t="shared" si="2"/>
        <v/>
      </c>
      <c r="Y134" s="3" t="s">
        <v>1860</v>
      </c>
      <c r="Z134" s="10">
        <v>0</v>
      </c>
      <c r="AA134" s="4"/>
    </row>
    <row r="135" spans="1:27" ht="25.5">
      <c r="A135" s="3" t="str">
        <f>B135&amp;"."&amp;TEXT(COUNTIF($B$5:B135,B135),"000")</f>
        <v>1.06.01.007</v>
      </c>
      <c r="B135" s="3" t="str">
        <f>IFERROR(INDEX('Work Packages'!$A$5:$A$200,MATCH(D135&amp;"|"&amp;E135,'Work Packages'!$P$5:$P$200,0)),"")</f>
        <v>1.06.01</v>
      </c>
      <c r="C135" s="3" t="str">
        <f>'FSL Source'!B135</f>
        <v>COU-COUNCIL-007</v>
      </c>
      <c r="D135" s="3" t="str">
        <f>'FSL Source'!C135</f>
        <v>Hội đồng &amp; Thẩm định</v>
      </c>
      <c r="E135" s="3" t="str">
        <f>'FSL Source'!D135</f>
        <v>Quản lý hội đồng</v>
      </c>
      <c r="F135" s="4" t="str">
        <f>'FSL Source'!E135</f>
        <v>Loại hội đồng</v>
      </c>
      <c r="G135" s="4" t="str">
        <f>'FSL Source'!F135</f>
        <v>Quản lý HĐ KHCN Tổng Công ty theo lĩnh vực/giai đoạn</v>
      </c>
      <c r="H135" s="4" t="str">
        <f>'FSL Source'!G135</f>
        <v>Sinh danh sách tự động hoặc thủ công theo Quyết định thành lập; quản lý hiệu lực và lịch sử thay đổi.</v>
      </c>
      <c r="I135" s="3" t="str">
        <f>'FSL Source'!H135</f>
        <v>Cán bộ KHCN/Thư ký</v>
      </c>
      <c r="J135" s="3" t="str">
        <f>'FSL Source'!I135</f>
        <v>Nghiệp vụ</v>
      </c>
      <c r="K135" s="3" t="str">
        <f>'FSL Source'!J135</f>
        <v>RD01,RD02,RD04,RD05</v>
      </c>
      <c r="L135" s="3" t="str">
        <f>'FSL Source'!K135</f>
        <v>CAP-10</v>
      </c>
      <c r="M135" s="3" t="str">
        <f>'FSL Source'!L135</f>
        <v>Must</v>
      </c>
      <c r="N135" s="3" t="str">
        <f>'FSL Source'!M135</f>
        <v>Pha 1</v>
      </c>
      <c r="O135" s="3" t="str">
        <f>'FSL Source'!N135</f>
        <v>Đề xuất trong phạm vi</v>
      </c>
      <c r="P135" s="4" t="str">
        <f>'FSL Source'!O135</f>
        <v>Bổ sung theo CAP-10/BRD 0.9</v>
      </c>
      <c r="Q135" s="4">
        <f>'FSL Source'!P135</f>
        <v>0</v>
      </c>
      <c r="R135" s="4">
        <f>'FSL Source'!Q135</f>
        <v>0</v>
      </c>
      <c r="S135" s="3"/>
      <c r="T135" s="3"/>
      <c r="U135" s="8"/>
      <c r="V135" s="8"/>
      <c r="W135" s="9"/>
      <c r="X135" s="9" t="str">
        <f t="shared" si="2"/>
        <v/>
      </c>
      <c r="Y135" s="3" t="s">
        <v>1860</v>
      </c>
      <c r="Z135" s="10">
        <v>0</v>
      </c>
      <c r="AA135" s="4"/>
    </row>
    <row r="136" spans="1:27" ht="25.5">
      <c r="A136" s="3" t="str">
        <f>B136&amp;"."&amp;TEXT(COUNTIF($B$5:B136,B136),"000")</f>
        <v>1.06.01.008</v>
      </c>
      <c r="B136" s="3" t="str">
        <f>IFERROR(INDEX('Work Packages'!$A$5:$A$200,MATCH(D136&amp;"|"&amp;E136,'Work Packages'!$P$5:$P$200,0)),"")</f>
        <v>1.06.01</v>
      </c>
      <c r="C136" s="3" t="str">
        <f>'FSL Source'!B136</f>
        <v>COU-COUNCIL-008</v>
      </c>
      <c r="D136" s="3" t="str">
        <f>'FSL Source'!C136</f>
        <v>Hội đồng &amp; Thẩm định</v>
      </c>
      <c r="E136" s="3" t="str">
        <f>'FSL Source'!D136</f>
        <v>Quản lý hội đồng</v>
      </c>
      <c r="F136" s="4" t="str">
        <f>'FSL Source'!E136</f>
        <v>Loại hội đồng</v>
      </c>
      <c r="G136" s="4" t="str">
        <f>'FSL Source'!F136</f>
        <v>Quản lý HĐ xét duyệt cấp Cơ sở theo nhiệm vụ</v>
      </c>
      <c r="H136" s="4" t="str">
        <f>'FSL Source'!G136</f>
        <v>Sinh danh sách tự động hoặc thủ công theo Quyết định thành lập; quản lý hiệu lực và lịch sử thay đổi.</v>
      </c>
      <c r="I136" s="3" t="str">
        <f>'FSL Source'!H136</f>
        <v>Cán bộ KHCN/Thư ký</v>
      </c>
      <c r="J136" s="3" t="str">
        <f>'FSL Source'!I136</f>
        <v>Nghiệp vụ</v>
      </c>
      <c r="K136" s="3" t="str">
        <f>'FSL Source'!J136</f>
        <v>RD01,RD02,RD04,RD05</v>
      </c>
      <c r="L136" s="3" t="str">
        <f>'FSL Source'!K136</f>
        <v>CAP-10</v>
      </c>
      <c r="M136" s="3" t="str">
        <f>'FSL Source'!L136</f>
        <v>Must</v>
      </c>
      <c r="N136" s="3" t="str">
        <f>'FSL Source'!M136</f>
        <v>Pha 1</v>
      </c>
      <c r="O136" s="3" t="str">
        <f>'FSL Source'!N136</f>
        <v>Đề xuất trong phạm vi</v>
      </c>
      <c r="P136" s="4" t="str">
        <f>'FSL Source'!O136</f>
        <v>Bổ sung theo CAP-10/BRD 0.9</v>
      </c>
      <c r="Q136" s="4">
        <f>'FSL Source'!P136</f>
        <v>0</v>
      </c>
      <c r="R136" s="4">
        <f>'FSL Source'!Q136</f>
        <v>0</v>
      </c>
      <c r="S136" s="3"/>
      <c r="T136" s="3"/>
      <c r="U136" s="8"/>
      <c r="V136" s="8"/>
      <c r="W136" s="9"/>
      <c r="X136" s="9" t="str">
        <f t="shared" si="2"/>
        <v/>
      </c>
      <c r="Y136" s="3" t="s">
        <v>1860</v>
      </c>
      <c r="Z136" s="10">
        <v>0</v>
      </c>
      <c r="AA136" s="4"/>
    </row>
    <row r="137" spans="1:27" ht="25.5">
      <c r="A137" s="3" t="str">
        <f>B137&amp;"."&amp;TEXT(COUNTIF($B$5:B137,B137),"000")</f>
        <v>1.06.01.009</v>
      </c>
      <c r="B137" s="3" t="str">
        <f>IFERROR(INDEX('Work Packages'!$A$5:$A$200,MATCH(D137&amp;"|"&amp;E137,'Work Packages'!$P$5:$P$200,0)),"")</f>
        <v>1.06.01</v>
      </c>
      <c r="C137" s="3" t="str">
        <f>'FSL Source'!B137</f>
        <v>COU-COUNCIL-009</v>
      </c>
      <c r="D137" s="3" t="str">
        <f>'FSL Source'!C137</f>
        <v>Hội đồng &amp; Thẩm định</v>
      </c>
      <c r="E137" s="3" t="str">
        <f>'FSL Source'!D137</f>
        <v>Quản lý hội đồng</v>
      </c>
      <c r="F137" s="4" t="str">
        <f>'FSL Source'!E137</f>
        <v>Loại hội đồng</v>
      </c>
      <c r="G137" s="4" t="str">
        <f>'FSL Source'!F137</f>
        <v>Quản lý HĐ đánh giá cấp Cơ sở theo nhiệm vụ</v>
      </c>
      <c r="H137" s="4" t="str">
        <f>'FSL Source'!G137</f>
        <v>Sinh danh sách tự động hoặc thủ công theo Quyết định thành lập; quản lý hiệu lực và lịch sử thay đổi.</v>
      </c>
      <c r="I137" s="3" t="str">
        <f>'FSL Source'!H137</f>
        <v>Cán bộ KHCN/Thư ký</v>
      </c>
      <c r="J137" s="3" t="str">
        <f>'FSL Source'!I137</f>
        <v>Nghiệp vụ</v>
      </c>
      <c r="K137" s="3" t="str">
        <f>'FSL Source'!J137</f>
        <v>RD01,RD02,RD04,RD05</v>
      </c>
      <c r="L137" s="3" t="str">
        <f>'FSL Source'!K137</f>
        <v>CAP-10; CAP-09</v>
      </c>
      <c r="M137" s="3" t="str">
        <f>'FSL Source'!L137</f>
        <v>Must</v>
      </c>
      <c r="N137" s="3" t="str">
        <f>'FSL Source'!M137</f>
        <v>Pha 1</v>
      </c>
      <c r="O137" s="3" t="str">
        <f>'FSL Source'!N137</f>
        <v>Đề xuất trong phạm vi</v>
      </c>
      <c r="P137" s="4" t="str">
        <f>'FSL Source'!O137</f>
        <v>Bổ sung theo CAP-10/BRD 0.9</v>
      </c>
      <c r="Q137" s="4">
        <f>'FSL Source'!P137</f>
        <v>0</v>
      </c>
      <c r="R137" s="4">
        <f>'FSL Source'!Q137</f>
        <v>0</v>
      </c>
      <c r="S137" s="3"/>
      <c r="T137" s="3"/>
      <c r="U137" s="8"/>
      <c r="V137" s="8"/>
      <c r="W137" s="9"/>
      <c r="X137" s="9" t="str">
        <f t="shared" si="2"/>
        <v/>
      </c>
      <c r="Y137" s="3" t="s">
        <v>1860</v>
      </c>
      <c r="Z137" s="10">
        <v>0</v>
      </c>
      <c r="AA137" s="4"/>
    </row>
    <row r="138" spans="1:27" ht="25.5">
      <c r="A138" s="3" t="str">
        <f>B138&amp;"."&amp;TEXT(COUNTIF($B$5:B138,B138),"000")</f>
        <v>1.06.01.010</v>
      </c>
      <c r="B138" s="3" t="str">
        <f>IFERROR(INDEX('Work Packages'!$A$5:$A$200,MATCH(D138&amp;"|"&amp;E138,'Work Packages'!$P$5:$P$200,0)),"")</f>
        <v>1.06.01</v>
      </c>
      <c r="C138" s="3" t="str">
        <f>'FSL Source'!B138</f>
        <v>COU-COUNCIL-010</v>
      </c>
      <c r="D138" s="3" t="str">
        <f>'FSL Source'!C138</f>
        <v>Hội đồng &amp; Thẩm định</v>
      </c>
      <c r="E138" s="3" t="str">
        <f>'FSL Source'!D138</f>
        <v>Quản lý hội đồng</v>
      </c>
      <c r="F138" s="4" t="str">
        <f>'FSL Source'!E138</f>
        <v>Loại hội đồng</v>
      </c>
      <c r="G138" s="4" t="str">
        <f>'FSL Source'!F138</f>
        <v>Quản lý HĐ nghiệm thu theo nhiệm vụ</v>
      </c>
      <c r="H138" s="4" t="str">
        <f>'FSL Source'!G138</f>
        <v>Sinh danh sách tự động hoặc thủ công theo Quyết định thành lập; quản lý hiệu lực và lịch sử thay đổi.</v>
      </c>
      <c r="I138" s="3" t="str">
        <f>'FSL Source'!H138</f>
        <v>Cán bộ KHCN/Thư ký</v>
      </c>
      <c r="J138" s="3" t="str">
        <f>'FSL Source'!I138</f>
        <v>Nghiệp vụ</v>
      </c>
      <c r="K138" s="3" t="str">
        <f>'FSL Source'!J138</f>
        <v>RD01,RD02,RD04,RD05</v>
      </c>
      <c r="L138" s="3" t="str">
        <f>'FSL Source'!K138</f>
        <v>CAP-10</v>
      </c>
      <c r="M138" s="3" t="str">
        <f>'FSL Source'!L138</f>
        <v>Must</v>
      </c>
      <c r="N138" s="3" t="str">
        <f>'FSL Source'!M138</f>
        <v>Pha 1</v>
      </c>
      <c r="O138" s="3" t="str">
        <f>'FSL Source'!N138</f>
        <v>Đề xuất trong phạm vi</v>
      </c>
      <c r="P138" s="4" t="str">
        <f>'FSL Source'!O138</f>
        <v>Bổ sung theo CAP-10/BRD 0.9</v>
      </c>
      <c r="Q138" s="4">
        <f>'FSL Source'!P138</f>
        <v>0</v>
      </c>
      <c r="R138" s="4">
        <f>'FSL Source'!Q138</f>
        <v>0</v>
      </c>
      <c r="S138" s="3"/>
      <c r="T138" s="3"/>
      <c r="U138" s="8"/>
      <c r="V138" s="8"/>
      <c r="W138" s="9"/>
      <c r="X138" s="9" t="str">
        <f t="shared" si="2"/>
        <v/>
      </c>
      <c r="Y138" s="3" t="s">
        <v>1860</v>
      </c>
      <c r="Z138" s="10">
        <v>0</v>
      </c>
      <c r="AA138" s="4"/>
    </row>
    <row r="139" spans="1:27" ht="25.5">
      <c r="A139" s="3" t="str">
        <f>B139&amp;"."&amp;TEXT(COUNTIF($B$5:B139,B139),"000")</f>
        <v>1.06.01.011</v>
      </c>
      <c r="B139" s="3" t="str">
        <f>IFERROR(INDEX('Work Packages'!$A$5:$A$200,MATCH(D139&amp;"|"&amp;E139,'Work Packages'!$P$5:$P$200,0)),"")</f>
        <v>1.06.01</v>
      </c>
      <c r="C139" s="3" t="str">
        <f>'FSL Source'!B139</f>
        <v>COU-COUNCIL-011</v>
      </c>
      <c r="D139" s="3" t="str">
        <f>'FSL Source'!C139</f>
        <v>Hội đồng &amp; Thẩm định</v>
      </c>
      <c r="E139" s="3" t="str">
        <f>'FSL Source'!D139</f>
        <v>Quản lý hội đồng</v>
      </c>
      <c r="F139" s="4" t="str">
        <f>'FSL Source'!E139</f>
        <v>Loại hội đồng</v>
      </c>
      <c r="G139" s="4" t="str">
        <f>'FSL Source'!F139</f>
        <v>Quản lý HĐ KHCN Tập đoàn do hệ thống cập nhật</v>
      </c>
      <c r="H139" s="4" t="str">
        <f>'FSL Source'!G139</f>
        <v>Sinh danh sách tự động hoặc thủ công theo Quyết định thành lập; quản lý hiệu lực và lịch sử thay đổi.</v>
      </c>
      <c r="I139" s="3" t="str">
        <f>'FSL Source'!H139</f>
        <v>Cán bộ KHCN/Thư ký</v>
      </c>
      <c r="J139" s="3" t="str">
        <f>'FSL Source'!I139</f>
        <v>Nghiệp vụ</v>
      </c>
      <c r="K139" s="3" t="str">
        <f>'FSL Source'!J139</f>
        <v>RD01,RD02,RD04,RD05</v>
      </c>
      <c r="L139" s="3" t="str">
        <f>'FSL Source'!K139</f>
        <v>CAP-10</v>
      </c>
      <c r="M139" s="3" t="str">
        <f>'FSL Source'!L139</f>
        <v>Must</v>
      </c>
      <c r="N139" s="3" t="str">
        <f>'FSL Source'!M139</f>
        <v>Pha 1</v>
      </c>
      <c r="O139" s="3" t="str">
        <f>'FSL Source'!N139</f>
        <v>Đề xuất trong phạm vi</v>
      </c>
      <c r="P139" s="4" t="str">
        <f>'FSL Source'!O139</f>
        <v>Bổ sung theo CAP-10/BRD 0.9</v>
      </c>
      <c r="Q139" s="4">
        <f>'FSL Source'!P139</f>
        <v>0</v>
      </c>
      <c r="R139" s="4">
        <f>'FSL Source'!Q139</f>
        <v>0</v>
      </c>
      <c r="S139" s="3"/>
      <c r="T139" s="3"/>
      <c r="U139" s="8"/>
      <c r="V139" s="8"/>
      <c r="W139" s="9"/>
      <c r="X139" s="9" t="str">
        <f t="shared" si="2"/>
        <v/>
      </c>
      <c r="Y139" s="3" t="s">
        <v>1860</v>
      </c>
      <c r="Z139" s="10">
        <v>0</v>
      </c>
      <c r="AA139" s="4"/>
    </row>
    <row r="140" spans="1:27" ht="25.5">
      <c r="A140" s="3" t="str">
        <f>B140&amp;"."&amp;TEXT(COUNTIF($B$5:B140,B140),"000")</f>
        <v>1.06.01.012</v>
      </c>
      <c r="B140" s="3" t="str">
        <f>IFERROR(INDEX('Work Packages'!$A$5:$A$200,MATCH(D140&amp;"|"&amp;E140,'Work Packages'!$P$5:$P$200,0)),"")</f>
        <v>1.06.01</v>
      </c>
      <c r="C140" s="3" t="str">
        <f>'FSL Source'!B140</f>
        <v>COU-COUNCIL-012</v>
      </c>
      <c r="D140" s="3" t="str">
        <f>'FSL Source'!C140</f>
        <v>Hội đồng &amp; Thẩm định</v>
      </c>
      <c r="E140" s="3" t="str">
        <f>'FSL Source'!D140</f>
        <v>Quản lý hội đồng</v>
      </c>
      <c r="F140" s="4" t="str">
        <f>'FSL Source'!E140</f>
        <v>Thành viên</v>
      </c>
      <c r="G140" s="4" t="str">
        <f>'FSL Source'!F140</f>
        <v>Quản lý thành viên, vai trò và xung đột lợi ích</v>
      </c>
      <c r="H140" s="4" t="str">
        <f>'FSL Source'!G140</f>
        <v>Gán chủ tịch, thư ký, phản biện, ủy viên; kiểm tra điều kiện và xung đột lợi ích.</v>
      </c>
      <c r="I140" s="3" t="str">
        <f>'FSL Source'!H140</f>
        <v>Cán bộ KHCN/Thư ký</v>
      </c>
      <c r="J140" s="3" t="str">
        <f>'FSL Source'!I140</f>
        <v>Nghiệp vụ</v>
      </c>
      <c r="K140" s="3" t="str">
        <f>'FSL Source'!J140</f>
        <v>RD01,RD02,RD04,RD05</v>
      </c>
      <c r="L140" s="3" t="str">
        <f>'FSL Source'!K140</f>
        <v>CAP-10</v>
      </c>
      <c r="M140" s="3" t="str">
        <f>'FSL Source'!L140</f>
        <v>Must</v>
      </c>
      <c r="N140" s="3" t="str">
        <f>'FSL Source'!M140</f>
        <v>Pha 1</v>
      </c>
      <c r="O140" s="3" t="str">
        <f>'FSL Source'!N140</f>
        <v>Đề xuất trong phạm vi</v>
      </c>
      <c r="P140" s="4" t="str">
        <f>'FSL Source'!O140</f>
        <v>Bổ sung</v>
      </c>
      <c r="Q140" s="4">
        <f>'FSL Source'!P140</f>
        <v>0</v>
      </c>
      <c r="R140" s="4">
        <f>'FSL Source'!Q140</f>
        <v>0</v>
      </c>
      <c r="S140" s="3"/>
      <c r="T140" s="3"/>
      <c r="U140" s="8"/>
      <c r="V140" s="8"/>
      <c r="W140" s="9"/>
      <c r="X140" s="9" t="str">
        <f t="shared" si="2"/>
        <v/>
      </c>
      <c r="Y140" s="3" t="s">
        <v>1860</v>
      </c>
      <c r="Z140" s="10">
        <v>0</v>
      </c>
      <c r="AA140" s="4"/>
    </row>
    <row r="141" spans="1:27" ht="25.5">
      <c r="A141" s="3" t="str">
        <f>B141&amp;"."&amp;TEXT(COUNTIF($B$5:B141,B141),"000")</f>
        <v>1.06.01.013</v>
      </c>
      <c r="B141" s="3" t="str">
        <f>IFERROR(INDEX('Work Packages'!$A$5:$A$200,MATCH(D141&amp;"|"&amp;E141,'Work Packages'!$P$5:$P$200,0)),"")</f>
        <v>1.06.01</v>
      </c>
      <c r="C141" s="3" t="str">
        <f>'FSL Source'!B141</f>
        <v>COU-COUNCIL-013</v>
      </c>
      <c r="D141" s="3" t="str">
        <f>'FSL Source'!C141</f>
        <v>Hội đồng &amp; Thẩm định</v>
      </c>
      <c r="E141" s="3" t="str">
        <f>'FSL Source'!D141</f>
        <v>Quản lý hội đồng</v>
      </c>
      <c r="F141" s="4" t="str">
        <f>'FSL Source'!E141</f>
        <v>Lịch họp</v>
      </c>
      <c r="G141" s="4" t="str">
        <f>'FSL Source'!F141</f>
        <v>Lập lịch và mời họp hội đồng</v>
      </c>
      <c r="H141" s="4" t="str">
        <f>'FSL Source'!G141</f>
        <v>Quản lý thời gian, địa điểm/online, tài liệu, RSVP và thông báo thay đổi.</v>
      </c>
      <c r="I141" s="3" t="str">
        <f>'FSL Source'!H141</f>
        <v>Thư ký/Thành viên hội đồng</v>
      </c>
      <c r="J141" s="3" t="str">
        <f>'FSL Source'!I141</f>
        <v>Nghiệp vụ</v>
      </c>
      <c r="K141" s="3" t="str">
        <f>'FSL Source'!J141</f>
        <v>RD01,RD02,RD04,RD05</v>
      </c>
      <c r="L141" s="3" t="str">
        <f>'FSL Source'!K141</f>
        <v>CAP-10</v>
      </c>
      <c r="M141" s="3" t="str">
        <f>'FSL Source'!L141</f>
        <v>Must</v>
      </c>
      <c r="N141" s="3" t="str">
        <f>'FSL Source'!M141</f>
        <v>Pha 1</v>
      </c>
      <c r="O141" s="3" t="str">
        <f>'FSL Source'!N141</f>
        <v>Đề xuất trong phạm vi</v>
      </c>
      <c r="P141" s="4" t="str">
        <f>'FSL Source'!O141</f>
        <v>Bổ sung</v>
      </c>
      <c r="Q141" s="4">
        <f>'FSL Source'!P141</f>
        <v>0</v>
      </c>
      <c r="R141" s="4">
        <f>'FSL Source'!Q141</f>
        <v>0</v>
      </c>
      <c r="S141" s="3"/>
      <c r="T141" s="3"/>
      <c r="U141" s="8"/>
      <c r="V141" s="8"/>
      <c r="W141" s="9"/>
      <c r="X141" s="9" t="str">
        <f t="shared" si="2"/>
        <v/>
      </c>
      <c r="Y141" s="3" t="s">
        <v>1860</v>
      </c>
      <c r="Z141" s="10">
        <v>0</v>
      </c>
      <c r="AA141" s="4"/>
    </row>
    <row r="142" spans="1:27" ht="25.5">
      <c r="A142" s="3" t="str">
        <f>B142&amp;"."&amp;TEXT(COUNTIF($B$5:B142,B142),"000")</f>
        <v>1.06.02.001</v>
      </c>
      <c r="B142" s="3" t="str">
        <f>IFERROR(INDEX('Work Packages'!$A$5:$A$200,MATCH(D142&amp;"|"&amp;E142,'Work Packages'!$P$5:$P$200,0)),"")</f>
        <v>1.06.02</v>
      </c>
      <c r="C142" s="3" t="str">
        <f>'FSL Source'!B142</f>
        <v>COU-APPRAISAL-001</v>
      </c>
      <c r="D142" s="3" t="str">
        <f>'FSL Source'!C142</f>
        <v>Hội đồng &amp; Thẩm định</v>
      </c>
      <c r="E142" s="3" t="str">
        <f>'FSL Source'!D142</f>
        <v>Đánh giá &amp; thẩm định</v>
      </c>
      <c r="F142" s="4" t="str">
        <f>'FSL Source'!E142</f>
        <v>Phiếu đánh giá</v>
      </c>
      <c r="G142" s="4" t="str">
        <f>'FSL Source'!F142</f>
        <v>Cấu hình và nhập phiếu đánh giá</v>
      </c>
      <c r="H142" s="4" t="str">
        <f>'FSL Source'!G142</f>
        <v>Phiếu theo loại hội đồng, tiêu chí, trọng số, nhận xét và kết luận.</v>
      </c>
      <c r="I142" s="3" t="str">
        <f>'FSL Source'!H142</f>
        <v>Chuyên gia/Thành viên hội đồng</v>
      </c>
      <c r="J142" s="3" t="str">
        <f>'FSL Source'!I142</f>
        <v>Nghiệp vụ</v>
      </c>
      <c r="K142" s="3" t="str">
        <f>'FSL Source'!J142</f>
        <v>RD02,RD05</v>
      </c>
      <c r="L142" s="3" t="str">
        <f>'FSL Source'!K142</f>
        <v>CAP-09</v>
      </c>
      <c r="M142" s="3" t="str">
        <f>'FSL Source'!L142</f>
        <v>Must</v>
      </c>
      <c r="N142" s="3" t="str">
        <f>'FSL Source'!M142</f>
        <v>Pha 1</v>
      </c>
      <c r="O142" s="3" t="str">
        <f>'FSL Source'!N142</f>
        <v>Đề xuất trong phạm vi</v>
      </c>
      <c r="P142" s="4" t="str">
        <f>'FSL Source'!O142</f>
        <v>Bổ sung</v>
      </c>
      <c r="Q142" s="4">
        <f>'FSL Source'!P142</f>
        <v>0</v>
      </c>
      <c r="R142" s="4">
        <f>'FSL Source'!Q142</f>
        <v>0</v>
      </c>
      <c r="S142" s="3"/>
      <c r="T142" s="3"/>
      <c r="U142" s="8"/>
      <c r="V142" s="8"/>
      <c r="W142" s="9"/>
      <c r="X142" s="9" t="str">
        <f t="shared" si="2"/>
        <v/>
      </c>
      <c r="Y142" s="3" t="s">
        <v>1860</v>
      </c>
      <c r="Z142" s="10">
        <v>0</v>
      </c>
      <c r="AA142" s="4"/>
    </row>
    <row r="143" spans="1:27" ht="38.25">
      <c r="A143" s="3" t="str">
        <f>B143&amp;"."&amp;TEXT(COUNTIF($B$5:B143,B143),"000")</f>
        <v>1.06.02.002</v>
      </c>
      <c r="B143" s="3" t="str">
        <f>IFERROR(INDEX('Work Packages'!$A$5:$A$200,MATCH(D143&amp;"|"&amp;E143,'Work Packages'!$P$5:$P$200,0)),"")</f>
        <v>1.06.02</v>
      </c>
      <c r="C143" s="3" t="str">
        <f>'FSL Source'!B143</f>
        <v>COU-APPRAISAL-002</v>
      </c>
      <c r="D143" s="3" t="str">
        <f>'FSL Source'!C143</f>
        <v>Hội đồng &amp; Thẩm định</v>
      </c>
      <c r="E143" s="3" t="str">
        <f>'FSL Source'!D143</f>
        <v>Đánh giá &amp; thẩm định</v>
      </c>
      <c r="F143" s="4" t="str">
        <f>'FSL Source'!E143</f>
        <v>Phiếu nhận xét</v>
      </c>
      <c r="G143" s="4" t="str">
        <f>'FSL Source'!F143</f>
        <v>Lập và ký Phiếu nhận xét (PNX)</v>
      </c>
      <c r="H143" s="4" t="str">
        <f>'FSL Source'!G143</f>
        <v>Nhập nhận xét theo biểu mẫu chuẩn, gắn người nhận xét, phiên họp, hồ sơ và bằng chứng; không thay bằng bình luận tự do.</v>
      </c>
      <c r="I143" s="3" t="str">
        <f>'FSL Source'!H143</f>
        <v>Chuyên gia/Cơ quan nghiệp vụ</v>
      </c>
      <c r="J143" s="3" t="str">
        <f>'FSL Source'!I143</f>
        <v>Nghiệp vụ</v>
      </c>
      <c r="K143" s="3" t="str">
        <f>'FSL Source'!J143</f>
        <v>RD01,RD02,RD04,RD05</v>
      </c>
      <c r="L143" s="3" t="str">
        <f>'FSL Source'!K143</f>
        <v>CAP-09</v>
      </c>
      <c r="M143" s="3" t="str">
        <f>'FSL Source'!L143</f>
        <v>Must</v>
      </c>
      <c r="N143" s="3" t="str">
        <f>'FSL Source'!M143</f>
        <v>Pha 1</v>
      </c>
      <c r="O143" s="3" t="str">
        <f>'FSL Source'!N143</f>
        <v>Đề xuất trong phạm vi</v>
      </c>
      <c r="P143" s="4" t="str">
        <f>'FSL Source'!O143</f>
        <v>Bổ sung theo CAP-09/BRD 0.9</v>
      </c>
      <c r="Q143" s="4">
        <f>'FSL Source'!P143</f>
        <v>0</v>
      </c>
      <c r="R143" s="4">
        <f>'FSL Source'!Q143</f>
        <v>0</v>
      </c>
      <c r="S143" s="3"/>
      <c r="T143" s="3"/>
      <c r="U143" s="8"/>
      <c r="V143" s="8"/>
      <c r="W143" s="9"/>
      <c r="X143" s="9" t="str">
        <f t="shared" si="2"/>
        <v/>
      </c>
      <c r="Y143" s="3" t="s">
        <v>1860</v>
      </c>
      <c r="Z143" s="10">
        <v>0</v>
      </c>
      <c r="AA143" s="4"/>
    </row>
    <row r="144" spans="1:27" ht="25.5">
      <c r="A144" s="3" t="str">
        <f>B144&amp;"."&amp;TEXT(COUNTIF($B$5:B144,B144),"000")</f>
        <v>1.06.02.003</v>
      </c>
      <c r="B144" s="3" t="str">
        <f>IFERROR(INDEX('Work Packages'!$A$5:$A$200,MATCH(D144&amp;"|"&amp;E144,'Work Packages'!$P$5:$P$200,0)),"")</f>
        <v>1.06.02</v>
      </c>
      <c r="C144" s="3" t="str">
        <f>'FSL Source'!B144</f>
        <v>COU-APPRAISAL-003</v>
      </c>
      <c r="D144" s="3" t="str">
        <f>'FSL Source'!C144</f>
        <v>Hội đồng &amp; Thẩm định</v>
      </c>
      <c r="E144" s="3" t="str">
        <f>'FSL Source'!D144</f>
        <v>Đánh giá &amp; thẩm định</v>
      </c>
      <c r="F144" s="4" t="str">
        <f>'FSL Source'!E144</f>
        <v>Phiếu đánh giá</v>
      </c>
      <c r="G144" s="4" t="str">
        <f>'FSL Source'!F144</f>
        <v>Lập và ký Phiếu đánh giá (PĐG)</v>
      </c>
      <c r="H144" s="4" t="str">
        <f>'FSL Source'!G144</f>
        <v>Chấm theo tiêu chí/trọng số của biểu mẫu chuẩn, lưu kết quả và bằng chứng thẩm định.</v>
      </c>
      <c r="I144" s="3" t="str">
        <f>'FSL Source'!H144</f>
        <v>Thành viên hội đồng</v>
      </c>
      <c r="J144" s="3" t="str">
        <f>'FSL Source'!I144</f>
        <v>Nghiệp vụ</v>
      </c>
      <c r="K144" s="3" t="str">
        <f>'FSL Source'!J144</f>
        <v>RD01,RD02,RD04,RD05</v>
      </c>
      <c r="L144" s="3" t="str">
        <f>'FSL Source'!K144</f>
        <v>CAP-09</v>
      </c>
      <c r="M144" s="3" t="str">
        <f>'FSL Source'!L144</f>
        <v>Must</v>
      </c>
      <c r="N144" s="3" t="str">
        <f>'FSL Source'!M144</f>
        <v>Pha 1</v>
      </c>
      <c r="O144" s="3" t="str">
        <f>'FSL Source'!N144</f>
        <v>Đề xuất trong phạm vi</v>
      </c>
      <c r="P144" s="4" t="str">
        <f>'FSL Source'!O144</f>
        <v>Bổ sung theo CAP-09/BRD 0.9</v>
      </c>
      <c r="Q144" s="4">
        <f>'FSL Source'!P144</f>
        <v>0</v>
      </c>
      <c r="R144" s="4">
        <f>'FSL Source'!Q144</f>
        <v>0</v>
      </c>
      <c r="S144" s="3"/>
      <c r="T144" s="3"/>
      <c r="U144" s="8"/>
      <c r="V144" s="8"/>
      <c r="W144" s="9"/>
      <c r="X144" s="9" t="str">
        <f t="shared" si="2"/>
        <v/>
      </c>
      <c r="Y144" s="3" t="s">
        <v>1860</v>
      </c>
      <c r="Z144" s="10">
        <v>0</v>
      </c>
      <c r="AA144" s="4"/>
    </row>
    <row r="145" spans="1:27" ht="38.25">
      <c r="A145" s="3" t="str">
        <f>B145&amp;"."&amp;TEXT(COUNTIF($B$5:B145,B145),"000")</f>
        <v>1.06.02.004</v>
      </c>
      <c r="B145" s="3" t="str">
        <f>IFERROR(INDEX('Work Packages'!$A$5:$A$200,MATCH(D145&amp;"|"&amp;E145,'Work Packages'!$P$5:$P$200,0)),"")</f>
        <v>1.06.02</v>
      </c>
      <c r="C145" s="3" t="str">
        <f>'FSL Source'!B145</f>
        <v>COU-APPRAISAL-004</v>
      </c>
      <c r="D145" s="3" t="str">
        <f>'FSL Source'!C145</f>
        <v>Hội đồng &amp; Thẩm định</v>
      </c>
      <c r="E145" s="3" t="str">
        <f>'FSL Source'!D145</f>
        <v>Đánh giá &amp; thẩm định</v>
      </c>
      <c r="F145" s="4" t="str">
        <f>'FSL Source'!E145</f>
        <v>Phiên họp</v>
      </c>
      <c r="G145" s="4" t="str">
        <f>'FSL Source'!F145</f>
        <v>Quản lý nhiều phiên họp cho một nhiệm vụ</v>
      </c>
      <c r="H145" s="4" t="str">
        <f>'FSL Source'!G145</f>
        <v>Mỗi phiên có danh sách tham dự, PNX/PĐG, kết luận và biên bản riêng; theo dõi quan hệ giữa các phiên.</v>
      </c>
      <c r="I145" s="3" t="str">
        <f>'FSL Source'!H145</f>
        <v>Thư ký/Hội đồng</v>
      </c>
      <c r="J145" s="3" t="str">
        <f>'FSL Source'!I145</f>
        <v>Nghiệp vụ</v>
      </c>
      <c r="K145" s="3" t="str">
        <f>'FSL Source'!J145</f>
        <v>RD01,RD02,RD04,RD05</v>
      </c>
      <c r="L145" s="3" t="str">
        <f>'FSL Source'!K145</f>
        <v>CAP-11</v>
      </c>
      <c r="M145" s="3" t="str">
        <f>'FSL Source'!L145</f>
        <v>Must</v>
      </c>
      <c r="N145" s="3" t="str">
        <f>'FSL Source'!M145</f>
        <v>Pha 1</v>
      </c>
      <c r="O145" s="3" t="str">
        <f>'FSL Source'!N145</f>
        <v>Đề xuất trong phạm vi</v>
      </c>
      <c r="P145" s="4" t="str">
        <f>'FSL Source'!O145</f>
        <v>Bổ sung theo CAP-11/BRD 0.9</v>
      </c>
      <c r="Q145" s="4">
        <f>'FSL Source'!P145</f>
        <v>0</v>
      </c>
      <c r="R145" s="4">
        <f>'FSL Source'!Q145</f>
        <v>0</v>
      </c>
      <c r="S145" s="3"/>
      <c r="T145" s="3"/>
      <c r="U145" s="8"/>
      <c r="V145" s="8"/>
      <c r="W145" s="9"/>
      <c r="X145" s="9" t="str">
        <f t="shared" si="2"/>
        <v/>
      </c>
      <c r="Y145" s="3" t="s">
        <v>1860</v>
      </c>
      <c r="Z145" s="10">
        <v>0</v>
      </c>
      <c r="AA145" s="4"/>
    </row>
    <row r="146" spans="1:27" ht="25.5">
      <c r="A146" s="3" t="str">
        <f>B146&amp;"."&amp;TEXT(COUNTIF($B$5:B146,B146),"000")</f>
        <v>1.06.02.005</v>
      </c>
      <c r="B146" s="3" t="str">
        <f>IFERROR(INDEX('Work Packages'!$A$5:$A$200,MATCH(D146&amp;"|"&amp;E146,'Work Packages'!$P$5:$P$200,0)),"")</f>
        <v>1.06.02</v>
      </c>
      <c r="C146" s="3" t="str">
        <f>'FSL Source'!B146</f>
        <v>COU-APPRAISAL-005</v>
      </c>
      <c r="D146" s="3" t="str">
        <f>'FSL Source'!C146</f>
        <v>Hội đồng &amp; Thẩm định</v>
      </c>
      <c r="E146" s="3" t="str">
        <f>'FSL Source'!D146</f>
        <v>Đánh giá &amp; thẩm định</v>
      </c>
      <c r="F146" s="4" t="str">
        <f>'FSL Source'!E146</f>
        <v>Phiên họp</v>
      </c>
      <c r="G146" s="4" t="str">
        <f>'FSL Source'!F146</f>
        <v>Kiểm tra tính hợp lệ của phiên họp</v>
      </c>
      <c r="H146" s="4" t="str">
        <f>'FSL Source'!G146</f>
        <v>Kiểm tra quorum và quy tắc kết luận trước khi khóa biên bản.</v>
      </c>
      <c r="I146" s="3" t="str">
        <f>'FSL Source'!H146</f>
        <v>Thư ký/Chủ tịch hội đồng</v>
      </c>
      <c r="J146" s="3" t="str">
        <f>'FSL Source'!I146</f>
        <v>Nghiệp vụ</v>
      </c>
      <c r="K146" s="3" t="str">
        <f>'FSL Source'!J146</f>
        <v>RD01,RD02,RD04,RD05</v>
      </c>
      <c r="L146" s="3" t="str">
        <f>'FSL Source'!K146</f>
        <v>CAP-11</v>
      </c>
      <c r="M146" s="3" t="str">
        <f>'FSL Source'!L146</f>
        <v>Must</v>
      </c>
      <c r="N146" s="3" t="str">
        <f>'FSL Source'!M146</f>
        <v>Pha 1</v>
      </c>
      <c r="O146" s="3" t="str">
        <f>'FSL Source'!N146</f>
        <v>Cần xác nhận</v>
      </c>
      <c r="P146" s="4" t="str">
        <f>'FSL Source'!O146</f>
        <v>Chờ chốt câu hỏi B4 của BRD.</v>
      </c>
      <c r="Q146" s="4">
        <f>'FSL Source'!P146</f>
        <v>0</v>
      </c>
      <c r="R146" s="4">
        <f>'FSL Source'!Q146</f>
        <v>0</v>
      </c>
      <c r="S146" s="3"/>
      <c r="T146" s="3"/>
      <c r="U146" s="8"/>
      <c r="V146" s="8"/>
      <c r="W146" s="9"/>
      <c r="X146" s="9" t="str">
        <f t="shared" si="2"/>
        <v/>
      </c>
      <c r="Y146" s="3" t="s">
        <v>1860</v>
      </c>
      <c r="Z146" s="10">
        <v>0</v>
      </c>
      <c r="AA146" s="4"/>
    </row>
    <row r="147" spans="1:27" ht="25.5">
      <c r="A147" s="3" t="str">
        <f>B147&amp;"."&amp;TEXT(COUNTIF($B$5:B147,B147),"000")</f>
        <v>1.06.02.006</v>
      </c>
      <c r="B147" s="3" t="str">
        <f>IFERROR(INDEX('Work Packages'!$A$5:$A$200,MATCH(D147&amp;"|"&amp;E147,'Work Packages'!$P$5:$P$200,0)),"")</f>
        <v>1.06.02</v>
      </c>
      <c r="C147" s="3" t="str">
        <f>'FSL Source'!B147</f>
        <v>COU-APPRAISAL-006</v>
      </c>
      <c r="D147" s="3" t="str">
        <f>'FSL Source'!C147</f>
        <v>Hội đồng &amp; Thẩm định</v>
      </c>
      <c r="E147" s="3" t="str">
        <f>'FSL Source'!D147</f>
        <v>Đánh giá &amp; thẩm định</v>
      </c>
      <c r="F147" s="4" t="str">
        <f>'FSL Source'!E147</f>
        <v>Tổng hợp</v>
      </c>
      <c r="G147" s="4" t="str">
        <f>'FSL Source'!F147</f>
        <v>Tổng hợp kết quả chấm và ý kiến</v>
      </c>
      <c r="H147" s="4" t="str">
        <f>'FSL Source'!G147</f>
        <v>Tổng hợp điểm, ý kiến khác biệt, quorum và đề xuất kết luận.</v>
      </c>
      <c r="I147" s="3" t="str">
        <f>'FSL Source'!H147</f>
        <v>Thư ký/Cán bộ KHCN</v>
      </c>
      <c r="J147" s="3" t="str">
        <f>'FSL Source'!I147</f>
        <v>Nghiệp vụ</v>
      </c>
      <c r="K147" s="3" t="str">
        <f>'FSL Source'!J147</f>
        <v>RD02,RD05</v>
      </c>
      <c r="L147" s="3" t="str">
        <f>'FSL Source'!K147</f>
        <v>CAP-09</v>
      </c>
      <c r="M147" s="3" t="str">
        <f>'FSL Source'!L147</f>
        <v>Must</v>
      </c>
      <c r="N147" s="3" t="str">
        <f>'FSL Source'!M147</f>
        <v>Pha 1</v>
      </c>
      <c r="O147" s="3" t="str">
        <f>'FSL Source'!N147</f>
        <v>Đề xuất trong phạm vi</v>
      </c>
      <c r="P147" s="4" t="str">
        <f>'FSL Source'!O147</f>
        <v>Bổ sung</v>
      </c>
      <c r="Q147" s="4">
        <f>'FSL Source'!P147</f>
        <v>0</v>
      </c>
      <c r="R147" s="4">
        <f>'FSL Source'!Q147</f>
        <v>0</v>
      </c>
      <c r="S147" s="3"/>
      <c r="T147" s="3"/>
      <c r="U147" s="8"/>
      <c r="V147" s="8"/>
      <c r="W147" s="9"/>
      <c r="X147" s="9" t="str">
        <f t="shared" si="2"/>
        <v/>
      </c>
      <c r="Y147" s="3" t="s">
        <v>1860</v>
      </c>
      <c r="Z147" s="10">
        <v>0</v>
      </c>
      <c r="AA147" s="4"/>
    </row>
    <row r="148" spans="1:27" ht="25.5">
      <c r="A148" s="3" t="str">
        <f>B148&amp;"."&amp;TEXT(COUNTIF($B$5:B148,B148),"000")</f>
        <v>1.06.02.007</v>
      </c>
      <c r="B148" s="3" t="str">
        <f>IFERROR(INDEX('Work Packages'!$A$5:$A$200,MATCH(D148&amp;"|"&amp;E148,'Work Packages'!$P$5:$P$200,0)),"")</f>
        <v>1.06.02</v>
      </c>
      <c r="C148" s="3" t="str">
        <f>'FSL Source'!B148</f>
        <v>COU-APPRAISAL-007</v>
      </c>
      <c r="D148" s="3" t="str">
        <f>'FSL Source'!C148</f>
        <v>Hội đồng &amp; Thẩm định</v>
      </c>
      <c r="E148" s="3" t="str">
        <f>'FSL Source'!D148</f>
        <v>Đánh giá &amp; thẩm định</v>
      </c>
      <c r="F148" s="4" t="str">
        <f>'FSL Source'!E148</f>
        <v>Biên bản</v>
      </c>
      <c r="G148" s="4" t="str">
        <f>'FSL Source'!F148</f>
        <v>Lập và ban hành biên bản hội đồng</v>
      </c>
      <c r="H148" s="4" t="str">
        <f>'FSL Source'!G148</f>
        <v>Sinh biên bản từ mẫu, thu chữ ký/xác nhận theo phương án được chốt và gắn vào hồ sơ.</v>
      </c>
      <c r="I148" s="3" t="str">
        <f>'FSL Source'!H148</f>
        <v>Thư ký/Chủ tịch hội đồng</v>
      </c>
      <c r="J148" s="3" t="str">
        <f>'FSL Source'!I148</f>
        <v>Nghiệp vụ</v>
      </c>
      <c r="K148" s="3" t="str">
        <f>'FSL Source'!J148</f>
        <v>RD02,RD05</v>
      </c>
      <c r="L148" s="3" t="str">
        <f>'FSL Source'!K148</f>
        <v>CAP-11</v>
      </c>
      <c r="M148" s="3" t="str">
        <f>'FSL Source'!L148</f>
        <v>Must</v>
      </c>
      <c r="N148" s="3" t="str">
        <f>'FSL Source'!M148</f>
        <v>Pha 1</v>
      </c>
      <c r="O148" s="3" t="str">
        <f>'FSL Source'!N148</f>
        <v>Cần xác nhận</v>
      </c>
      <c r="P148" s="4" t="str">
        <f>'FSL Source'!O148</f>
        <v>Chờ chốt A2 của BRD.</v>
      </c>
      <c r="Q148" s="4">
        <f>'FSL Source'!P148</f>
        <v>0</v>
      </c>
      <c r="R148" s="4">
        <f>'FSL Source'!Q148</f>
        <v>0</v>
      </c>
      <c r="S148" s="3"/>
      <c r="T148" s="3"/>
      <c r="U148" s="8"/>
      <c r="V148" s="8"/>
      <c r="W148" s="9"/>
      <c r="X148" s="9" t="str">
        <f t="shared" si="2"/>
        <v/>
      </c>
      <c r="Y148" s="3" t="s">
        <v>1860</v>
      </c>
      <c r="Z148" s="10">
        <v>0</v>
      </c>
      <c r="AA148" s="4"/>
    </row>
    <row r="149" spans="1:27" ht="25.5">
      <c r="A149" s="3" t="str">
        <f>B149&amp;"."&amp;TEXT(COUNTIF($B$5:B149,B149),"000")</f>
        <v>1.06.02.008</v>
      </c>
      <c r="B149" s="3" t="str">
        <f>IFERROR(INDEX('Work Packages'!$A$5:$A$200,MATCH(D149&amp;"|"&amp;E149,'Work Packages'!$P$5:$P$200,0)),"")</f>
        <v>1.06.02</v>
      </c>
      <c r="C149" s="3" t="str">
        <f>'FSL Source'!B149</f>
        <v>COU-APPRAISAL-008</v>
      </c>
      <c r="D149" s="3" t="str">
        <f>'FSL Source'!C149</f>
        <v>Hội đồng &amp; Thẩm định</v>
      </c>
      <c r="E149" s="3" t="str">
        <f>'FSL Source'!D149</f>
        <v>Đánh giá &amp; thẩm định</v>
      </c>
      <c r="F149" s="4" t="str">
        <f>'FSL Source'!E149</f>
        <v>Chuyên gia</v>
      </c>
      <c r="G149" s="4" t="str">
        <f>'FSL Source'!F149</f>
        <v>Quản lý kho chuyên gia</v>
      </c>
      <c r="H149" s="4" t="str">
        <f>'FSL Source'!G149</f>
        <v>Quản lý chuyên môn, đơn vị, kinh nghiệm, tình trạng và lịch sử tham gia.</v>
      </c>
      <c r="I149" s="3" t="str">
        <f>'FSL Source'!H149</f>
        <v>Cán bộ KHCN</v>
      </c>
      <c r="J149" s="3" t="str">
        <f>'FSL Source'!I149</f>
        <v>Nghiệp vụ</v>
      </c>
      <c r="K149" s="3">
        <f>'FSL Source'!J149</f>
        <v>0</v>
      </c>
      <c r="L149" s="3" t="str">
        <f>'FSL Source'!K149</f>
        <v>N/A</v>
      </c>
      <c r="M149" s="3" t="str">
        <f>'FSL Source'!L149</f>
        <v>Should</v>
      </c>
      <c r="N149" s="3" t="str">
        <f>'FSL Source'!M149</f>
        <v>Pha 2</v>
      </c>
      <c r="O149" s="3" t="str">
        <f>'FSL Source'!N149</f>
        <v>Đề xuất trong phạm vi</v>
      </c>
      <c r="P149" s="4" t="str">
        <f>'FSL Source'!O149</f>
        <v>Bổ sung</v>
      </c>
      <c r="Q149" s="4">
        <f>'FSL Source'!P149</f>
        <v>0</v>
      </c>
      <c r="R149" s="4">
        <f>'FSL Source'!Q149</f>
        <v>0</v>
      </c>
      <c r="S149" s="3"/>
      <c r="T149" s="3"/>
      <c r="U149" s="8"/>
      <c r="V149" s="8"/>
      <c r="W149" s="9"/>
      <c r="X149" s="9" t="str">
        <f t="shared" si="2"/>
        <v/>
      </c>
      <c r="Y149" s="3" t="s">
        <v>1860</v>
      </c>
      <c r="Z149" s="10">
        <v>0</v>
      </c>
      <c r="AA149" s="4"/>
    </row>
    <row r="150" spans="1:27" ht="38.25">
      <c r="A150" s="3" t="str">
        <f>B150&amp;"."&amp;TEXT(COUNTIF($B$5:B150,B150),"000")</f>
        <v>1.07.01.001</v>
      </c>
      <c r="B150" s="3" t="str">
        <f>IFERROR(INDEX('Work Packages'!$A$5:$A$200,MATCH(D150&amp;"|"&amp;E150,'Work Packages'!$P$5:$P$200,0)),"")</f>
        <v>1.07.01</v>
      </c>
      <c r="C150" s="3" t="str">
        <f>'FSL Source'!B150</f>
        <v>EXE-PLAN-001</v>
      </c>
      <c r="D150" s="3" t="str">
        <f>'FSL Source'!C150</f>
        <v>Thực hiện Nhiệm vụ</v>
      </c>
      <c r="E150" s="3" t="str">
        <f>'FSL Source'!D150</f>
        <v>Kế hoạch &amp; tiến độ</v>
      </c>
      <c r="F150" s="4" t="str">
        <f>'FSL Source'!E150</f>
        <v>Kế hoạch thực hiện</v>
      </c>
      <c r="G150" s="4" t="str">
        <f>'FSL Source'!F150</f>
        <v>Đọc cấu trúc công việc và mốc tiến độ từ PLM</v>
      </c>
      <c r="H150" s="4" t="str">
        <f>'FSL Source'!G150</f>
        <v>Đồng bộ work package, milestone, deliverable, thời hạn và người phụ trách; PLM là hệ thống chủ dữ liệu.</v>
      </c>
      <c r="I150" s="3" t="str">
        <f>'FSL Source'!H150</f>
        <v>Chủ nhiệm/Cán bộ KHCN</v>
      </c>
      <c r="J150" s="3" t="str">
        <f>'FSL Source'!I150</f>
        <v>Tích hợp</v>
      </c>
      <c r="K150" s="3" t="str">
        <f>'FSL Source'!J150</f>
        <v>RD03.05</v>
      </c>
      <c r="L150" s="3" t="str">
        <f>'FSL Source'!K150</f>
        <v>CAP-16; CAP-15</v>
      </c>
      <c r="M150" s="3" t="str">
        <f>'FSL Source'!L150</f>
        <v>Must</v>
      </c>
      <c r="N150" s="3" t="str">
        <f>'FSL Source'!M150</f>
        <v>Pha 2</v>
      </c>
      <c r="O150" s="3" t="str">
        <f>'FSL Source'!N150</f>
        <v>Đề xuất trong phạm vi</v>
      </c>
      <c r="P150" s="4" t="str">
        <f>'FSL Source'!O150</f>
        <v>Hiệu chỉnh theo CAP-16/BRD 0.9</v>
      </c>
      <c r="Q150" s="4">
        <f>'FSL Source'!P150</f>
        <v>0</v>
      </c>
      <c r="R150" s="4">
        <f>'FSL Source'!Q150</f>
        <v>0</v>
      </c>
      <c r="S150" s="3"/>
      <c r="T150" s="3"/>
      <c r="U150" s="8"/>
      <c r="V150" s="8"/>
      <c r="W150" s="9"/>
      <c r="X150" s="9" t="str">
        <f t="shared" si="2"/>
        <v/>
      </c>
      <c r="Y150" s="3" t="s">
        <v>1860</v>
      </c>
      <c r="Z150" s="10">
        <v>0</v>
      </c>
      <c r="AA150" s="4"/>
    </row>
    <row r="151" spans="1:27" ht="25.5">
      <c r="A151" s="3" t="str">
        <f>B151&amp;"."&amp;TEXT(COUNTIF($B$5:B151,B151),"000")</f>
        <v>1.07.01.002</v>
      </c>
      <c r="B151" s="3" t="str">
        <f>IFERROR(INDEX('Work Packages'!$A$5:$A$200,MATCH(D151&amp;"|"&amp;E151,'Work Packages'!$P$5:$P$200,0)),"")</f>
        <v>1.07.01</v>
      </c>
      <c r="C151" s="3" t="str">
        <f>'FSL Source'!B151</f>
        <v>EXE-PLAN-002</v>
      </c>
      <c r="D151" s="3" t="str">
        <f>'FSL Source'!C151</f>
        <v>Thực hiện Nhiệm vụ</v>
      </c>
      <c r="E151" s="3" t="str">
        <f>'FSL Source'!D151</f>
        <v>Kế hoạch &amp; tiến độ</v>
      </c>
      <c r="F151" s="4" t="str">
        <f>'FSL Source'!E151</f>
        <v>Theo dõi tiến độ</v>
      </c>
      <c r="G151" s="4" t="str">
        <f>'FSL Source'!F151</f>
        <v>Hiển thị phần trăm hoàn thành và bằng chứng từ PLM</v>
      </c>
      <c r="H151" s="4" t="str">
        <f>'FSL Source'!G151</f>
        <v>Hiển thị dữ liệu đồng bộ, độ trễ và trạng thái đồng bộ; không cho PM QLKHCN ghi đè dữ liệu nguồn.</v>
      </c>
      <c r="I151" s="3" t="str">
        <f>'FSL Source'!H151</f>
        <v>Chủ nhiệm/Cán bộ KHCN</v>
      </c>
      <c r="J151" s="3" t="str">
        <f>'FSL Source'!I151</f>
        <v>Tích hợp</v>
      </c>
      <c r="K151" s="3" t="str">
        <f>'FSL Source'!J151</f>
        <v>RD03.05</v>
      </c>
      <c r="L151" s="3" t="str">
        <f>'FSL Source'!K151</f>
        <v>CAP-16; CAP-15</v>
      </c>
      <c r="M151" s="3" t="str">
        <f>'FSL Source'!L151</f>
        <v>Must</v>
      </c>
      <c r="N151" s="3" t="str">
        <f>'FSL Source'!M151</f>
        <v>Pha 2</v>
      </c>
      <c r="O151" s="3" t="str">
        <f>'FSL Source'!N151</f>
        <v>Đề xuất trong phạm vi</v>
      </c>
      <c r="P151" s="4" t="str">
        <f>'FSL Source'!O151</f>
        <v>Hiệu chỉnh theo CAP-16/BRD 0.9</v>
      </c>
      <c r="Q151" s="4">
        <f>'FSL Source'!P151</f>
        <v>0</v>
      </c>
      <c r="R151" s="4">
        <f>'FSL Source'!Q151</f>
        <v>0</v>
      </c>
      <c r="S151" s="3"/>
      <c r="T151" s="3"/>
      <c r="U151" s="8"/>
      <c r="V151" s="8"/>
      <c r="W151" s="9"/>
      <c r="X151" s="9" t="str">
        <f t="shared" si="2"/>
        <v/>
      </c>
      <c r="Y151" s="3" t="s">
        <v>1860</v>
      </c>
      <c r="Z151" s="10">
        <v>0</v>
      </c>
      <c r="AA151" s="4"/>
    </row>
    <row r="152" spans="1:27" ht="25.5">
      <c r="A152" s="3" t="str">
        <f>B152&amp;"."&amp;TEXT(COUNTIF($B$5:B152,B152),"000")</f>
        <v>1.07.01.003</v>
      </c>
      <c r="B152" s="3" t="str">
        <f>IFERROR(INDEX('Work Packages'!$A$5:$A$200,MATCH(D152&amp;"|"&amp;E152,'Work Packages'!$P$5:$P$200,0)),"")</f>
        <v>1.07.01</v>
      </c>
      <c r="C152" s="3" t="str">
        <f>'FSL Source'!B152</f>
        <v>EXE-PLAN-003</v>
      </c>
      <c r="D152" s="3" t="str">
        <f>'FSL Source'!C152</f>
        <v>Thực hiện Nhiệm vụ</v>
      </c>
      <c r="E152" s="3" t="str">
        <f>'FSL Source'!D152</f>
        <v>Kế hoạch &amp; tiến độ</v>
      </c>
      <c r="F152" s="4" t="str">
        <f>'FSL Source'!E152</f>
        <v>Cảnh báo</v>
      </c>
      <c r="G152" s="4" t="str">
        <f>'FSL Source'!F152</f>
        <v>Cảnh báo chậm tiến độ và milestone</v>
      </c>
      <c r="H152" s="4" t="str">
        <f>'FSL Source'!G152</f>
        <v>So sánh kế hoạch/thực tế, phát hiện quá hạn và tạo cảnh báo/escalation.</v>
      </c>
      <c r="I152" s="3" t="str">
        <f>'FSL Source'!H152</f>
        <v>Chủ nhiệm/Cán bộ KHCN/Lãnh đạo</v>
      </c>
      <c r="J152" s="3" t="str">
        <f>'FSL Source'!I152</f>
        <v>Báo cáo</v>
      </c>
      <c r="K152" s="3" t="str">
        <f>'FSL Source'!J152</f>
        <v>RD03</v>
      </c>
      <c r="L152" s="3" t="str">
        <f>'FSL Source'!K152</f>
        <v>CAP-16</v>
      </c>
      <c r="M152" s="3" t="str">
        <f>'FSL Source'!L152</f>
        <v>Should</v>
      </c>
      <c r="N152" s="3" t="str">
        <f>'FSL Source'!M152</f>
        <v>Pha 2</v>
      </c>
      <c r="O152" s="3" t="str">
        <f>'FSL Source'!N152</f>
        <v>Đề xuất trong phạm vi</v>
      </c>
      <c r="P152" s="4" t="str">
        <f>'FSL Source'!O152</f>
        <v>Bổ sung</v>
      </c>
      <c r="Q152" s="4">
        <f>'FSL Source'!P152</f>
        <v>0</v>
      </c>
      <c r="R152" s="4">
        <f>'FSL Source'!Q152</f>
        <v>0</v>
      </c>
      <c r="S152" s="3"/>
      <c r="T152" s="3"/>
      <c r="U152" s="8"/>
      <c r="V152" s="8"/>
      <c r="W152" s="9"/>
      <c r="X152" s="9" t="str">
        <f t="shared" si="2"/>
        <v/>
      </c>
      <c r="Y152" s="3" t="s">
        <v>1860</v>
      </c>
      <c r="Z152" s="10">
        <v>0</v>
      </c>
      <c r="AA152" s="4"/>
    </row>
    <row r="153" spans="1:27" ht="25.5">
      <c r="A153" s="3" t="str">
        <f>B153&amp;"."&amp;TEXT(COUNTIF($B$5:B153,B153),"000")</f>
        <v>1.07.02.001</v>
      </c>
      <c r="B153" s="3" t="str">
        <f>IFERROR(INDEX('Work Packages'!$A$5:$A$200,MATCH(D153&amp;"|"&amp;E153,'Work Packages'!$P$5:$P$200,0)),"")</f>
        <v>1.07.02</v>
      </c>
      <c r="C153" s="3" t="str">
        <f>'FSL Source'!B153</f>
        <v>EXE-HR-001</v>
      </c>
      <c r="D153" s="3" t="str">
        <f>'FSL Source'!C153</f>
        <v>Thực hiện Nhiệm vụ</v>
      </c>
      <c r="E153" s="3" t="str">
        <f>'FSL Source'!D153</f>
        <v>Nhân sự đề tài</v>
      </c>
      <c r="F153" s="4" t="str">
        <f>'FSL Source'!E153</f>
        <v>Thành viên</v>
      </c>
      <c r="G153" s="4" t="str">
        <f>'FSL Source'!F153</f>
        <v>Hiển thị nhân sự và trạng thái công việc từ QLNS</v>
      </c>
      <c r="H153" s="4" t="str">
        <f>'FSL Source'!G153</f>
        <v>Đồng bộ vai trò, thời gian tham gia, phân bổ và trạng thái công việc; QLNS là hệ thống chủ dữ liệu.</v>
      </c>
      <c r="I153" s="3" t="str">
        <f>'FSL Source'!H153</f>
        <v>Chủ nhiệm/Cán bộ KHCN</v>
      </c>
      <c r="J153" s="3" t="str">
        <f>'FSL Source'!I153</f>
        <v>Tích hợp</v>
      </c>
      <c r="K153" s="3" t="str">
        <f>'FSL Source'!J153</f>
        <v>RD03.01</v>
      </c>
      <c r="L153" s="3" t="str">
        <f>'FSL Source'!K153</f>
        <v>CAP-16; CAP-15</v>
      </c>
      <c r="M153" s="3" t="str">
        <f>'FSL Source'!L153</f>
        <v>Must</v>
      </c>
      <c r="N153" s="3" t="str">
        <f>'FSL Source'!M153</f>
        <v>Pha 2</v>
      </c>
      <c r="O153" s="3" t="str">
        <f>'FSL Source'!N153</f>
        <v>Đề xuất trong phạm vi</v>
      </c>
      <c r="P153" s="4" t="str">
        <f>'FSL Source'!O153</f>
        <v>Hiệu chỉnh theo CAP-16/BRD 0.9</v>
      </c>
      <c r="Q153" s="4">
        <f>'FSL Source'!P153</f>
        <v>0</v>
      </c>
      <c r="R153" s="4">
        <f>'FSL Source'!Q153</f>
        <v>0</v>
      </c>
      <c r="S153" s="3"/>
      <c r="T153" s="3"/>
      <c r="U153" s="8"/>
      <c r="V153" s="8"/>
      <c r="W153" s="9"/>
      <c r="X153" s="9" t="str">
        <f t="shared" si="2"/>
        <v/>
      </c>
      <c r="Y153" s="3" t="s">
        <v>1860</v>
      </c>
      <c r="Z153" s="10">
        <v>0</v>
      </c>
      <c r="AA153" s="4"/>
    </row>
    <row r="154" spans="1:27" ht="25.5">
      <c r="A154" s="3" t="str">
        <f>B154&amp;"."&amp;TEXT(COUNTIF($B$5:B154,B154),"000")</f>
        <v>1.07.02.002</v>
      </c>
      <c r="B154" s="3" t="str">
        <f>IFERROR(INDEX('Work Packages'!$A$5:$A$200,MATCH(D154&amp;"|"&amp;E154,'Work Packages'!$P$5:$P$200,0)),"")</f>
        <v>1.07.02</v>
      </c>
      <c r="C154" s="3" t="str">
        <f>'FSL Source'!B154</f>
        <v>EXE-HR-002</v>
      </c>
      <c r="D154" s="3" t="str">
        <f>'FSL Source'!C154</f>
        <v>Thực hiện Nhiệm vụ</v>
      </c>
      <c r="E154" s="3" t="str">
        <f>'FSL Source'!D154</f>
        <v>Nhân sự đề tài</v>
      </c>
      <c r="F154" s="4" t="str">
        <f>'FSL Source'!E154</f>
        <v>Chi phí nhân sự</v>
      </c>
      <c r="G154" s="4" t="str">
        <f>'FSL Source'!F154</f>
        <v>Theo dõi công sức và chi phí nhân sự</v>
      </c>
      <c r="H154" s="4" t="str">
        <f>'FSL Source'!G154</f>
        <v>Ghi nhận workload/timesheet khi áp dụng, đơn giá và chi phí theo nguồn.</v>
      </c>
      <c r="I154" s="3" t="str">
        <f>'FSL Source'!H154</f>
        <v>Chủ nhiệm/Tài chính</v>
      </c>
      <c r="J154" s="3" t="str">
        <f>'FSL Source'!I154</f>
        <v>Nghiệp vụ</v>
      </c>
      <c r="K154" s="3" t="str">
        <f>'FSL Source'!J154</f>
        <v>RD03</v>
      </c>
      <c r="L154" s="3" t="str">
        <f>'FSL Source'!K154</f>
        <v>CAP-16</v>
      </c>
      <c r="M154" s="3" t="str">
        <f>'FSL Source'!L154</f>
        <v>Could</v>
      </c>
      <c r="N154" s="3" t="str">
        <f>'FSL Source'!M154</f>
        <v>Pha 3</v>
      </c>
      <c r="O154" s="3" t="str">
        <f>'FSL Source'!N154</f>
        <v>Cần xác nhận</v>
      </c>
      <c r="P154" s="4" t="str">
        <f>'FSL Source'!O154</f>
        <v>Bổ sung</v>
      </c>
      <c r="Q154" s="4">
        <f>'FSL Source'!P154</f>
        <v>0</v>
      </c>
      <c r="R154" s="4">
        <f>'FSL Source'!Q154</f>
        <v>0</v>
      </c>
      <c r="S154" s="3"/>
      <c r="T154" s="3"/>
      <c r="U154" s="8"/>
      <c r="V154" s="8"/>
      <c r="W154" s="9"/>
      <c r="X154" s="9" t="str">
        <f t="shared" si="2"/>
        <v/>
      </c>
      <c r="Y154" s="3" t="s">
        <v>1860</v>
      </c>
      <c r="Z154" s="10">
        <v>0</v>
      </c>
      <c r="AA154" s="4"/>
    </row>
    <row r="155" spans="1:27" ht="38.25">
      <c r="A155" s="3" t="str">
        <f>B155&amp;"."&amp;TEXT(COUNTIF($B$5:B155,B155),"000")</f>
        <v>1.07.03.001</v>
      </c>
      <c r="B155" s="3" t="str">
        <f>IFERROR(INDEX('Work Packages'!$A$5:$A$200,MATCH(D155&amp;"|"&amp;E155,'Work Packages'!$P$5:$P$200,0)),"")</f>
        <v>1.07.03</v>
      </c>
      <c r="C155" s="3" t="str">
        <f>'FSL Source'!B155</f>
        <v>EXE-BUD-001</v>
      </c>
      <c r="D155" s="3" t="str">
        <f>'FSL Source'!C155</f>
        <v>Thực hiện Nhiệm vụ</v>
      </c>
      <c r="E155" s="3" t="str">
        <f>'FSL Source'!D155</f>
        <v>Kinh phí thực hiện</v>
      </c>
      <c r="F155" s="4" t="str">
        <f>'FSL Source'!E155</f>
        <v>Ngân sách</v>
      </c>
      <c r="G155" s="4" t="str">
        <f>'FSL Source'!F155</f>
        <v>Hiển thị ngân sách và chi phí từ SAP</v>
      </c>
      <c r="H155" s="4" t="str">
        <f>'FSL Source'!G155</f>
        <v>Đọc dự toán được duyệt, đã chi và còn lại; SAP là hệ thống chủ dữ liệu, PM QLKHCN chỉ hiển thị và cảnh báo.</v>
      </c>
      <c r="I155" s="3" t="str">
        <f>'FSL Source'!H155</f>
        <v>Chủ nhiệm/Tài chính/Cán bộ KHCN</v>
      </c>
      <c r="J155" s="3" t="str">
        <f>'FSL Source'!I155</f>
        <v>Tích hợp</v>
      </c>
      <c r="K155" s="3" t="str">
        <f>'FSL Source'!J155</f>
        <v>RD03.03</v>
      </c>
      <c r="L155" s="3" t="str">
        <f>'FSL Source'!K155</f>
        <v>CAP-16; CAP-15</v>
      </c>
      <c r="M155" s="3" t="str">
        <f>'FSL Source'!L155</f>
        <v>Must</v>
      </c>
      <c r="N155" s="3" t="str">
        <f>'FSL Source'!M155</f>
        <v>Pha 2</v>
      </c>
      <c r="O155" s="3" t="str">
        <f>'FSL Source'!N155</f>
        <v>Đề xuất trong phạm vi</v>
      </c>
      <c r="P155" s="4" t="str">
        <f>'FSL Source'!O155</f>
        <v>Hiệu chỉnh theo CAP-16/BRD 0.9</v>
      </c>
      <c r="Q155" s="4">
        <f>'FSL Source'!P155</f>
        <v>0</v>
      </c>
      <c r="R155" s="4">
        <f>'FSL Source'!Q155</f>
        <v>0</v>
      </c>
      <c r="S155" s="3"/>
      <c r="T155" s="3"/>
      <c r="U155" s="8"/>
      <c r="V155" s="8"/>
      <c r="W155" s="9"/>
      <c r="X155" s="9" t="str">
        <f t="shared" si="2"/>
        <v/>
      </c>
      <c r="Y155" s="3" t="s">
        <v>1860</v>
      </c>
      <c r="Z155" s="10">
        <v>0</v>
      </c>
      <c r="AA155" s="4"/>
    </row>
    <row r="156" spans="1:27" ht="25.5">
      <c r="A156" s="3" t="str">
        <f>B156&amp;"."&amp;TEXT(COUNTIF($B$5:B156,B156),"000")</f>
        <v>1.07.03.002</v>
      </c>
      <c r="B156" s="3" t="str">
        <f>IFERROR(INDEX('Work Packages'!$A$5:$A$200,MATCH(D156&amp;"|"&amp;E156,'Work Packages'!$P$5:$P$200,0)),"")</f>
        <v>1.07.03</v>
      </c>
      <c r="C156" s="3" t="str">
        <f>'FSL Source'!B156</f>
        <v>EXE-BUD-002</v>
      </c>
      <c r="D156" s="3" t="str">
        <f>'FSL Source'!C156</f>
        <v>Thực hiện Nhiệm vụ</v>
      </c>
      <c r="E156" s="3" t="str">
        <f>'FSL Source'!D156</f>
        <v>Kinh phí thực hiện</v>
      </c>
      <c r="F156" s="4" t="str">
        <f>'FSL Source'!E156</f>
        <v>Giải ngân</v>
      </c>
      <c r="G156" s="4" t="str">
        <f>'FSL Source'!F156</f>
        <v>Theo dõi giải ngân và chi phí thực tế</v>
      </c>
      <c r="H156" s="4" t="str">
        <f>'FSL Source'!G156</f>
        <v>Nhận dữ liệu từ SAP hoặc nhập có kiểm soát; đối chiếu kế hoạch, cam kết và thực chi.</v>
      </c>
      <c r="I156" s="3" t="str">
        <f>'FSL Source'!H156</f>
        <v>Tài chính/Chủ nhiệm</v>
      </c>
      <c r="J156" s="3" t="str">
        <f>'FSL Source'!I156</f>
        <v>Tích hợp</v>
      </c>
      <c r="K156" s="3" t="str">
        <f>'FSL Source'!J156</f>
        <v>RD03</v>
      </c>
      <c r="L156" s="3" t="str">
        <f>'FSL Source'!K156</f>
        <v>CAP-16; CAP-15</v>
      </c>
      <c r="M156" s="3" t="str">
        <f>'FSL Source'!L156</f>
        <v>Must</v>
      </c>
      <c r="N156" s="3" t="str">
        <f>'FSL Source'!M156</f>
        <v>Pha 2</v>
      </c>
      <c r="O156" s="3" t="str">
        <f>'FSL Source'!N156</f>
        <v>Đề xuất trong phạm vi</v>
      </c>
      <c r="P156" s="4" t="str">
        <f>'FSL Source'!O156</f>
        <v>Bổ sung</v>
      </c>
      <c r="Q156" s="4">
        <f>'FSL Source'!P156</f>
        <v>0</v>
      </c>
      <c r="R156" s="4">
        <f>'FSL Source'!Q156</f>
        <v>0</v>
      </c>
      <c r="S156" s="3"/>
      <c r="T156" s="3"/>
      <c r="U156" s="8"/>
      <c r="V156" s="8"/>
      <c r="W156" s="9"/>
      <c r="X156" s="9" t="str">
        <f t="shared" si="2"/>
        <v/>
      </c>
      <c r="Y156" s="3" t="s">
        <v>1860</v>
      </c>
      <c r="Z156" s="10">
        <v>0</v>
      </c>
      <c r="AA156" s="4"/>
    </row>
    <row r="157" spans="1:27" ht="38.25">
      <c r="A157" s="3" t="str">
        <f>B157&amp;"."&amp;TEXT(COUNTIF($B$5:B157,B157),"000")</f>
        <v>1.07.04.001</v>
      </c>
      <c r="B157" s="3" t="str">
        <f>IFERROR(INDEX('Work Packages'!$A$5:$A$200,MATCH(D157&amp;"|"&amp;E157,'Work Packages'!$P$5:$P$200,0)),"")</f>
        <v>1.07.04</v>
      </c>
      <c r="C157" s="3" t="str">
        <f>'FSL Source'!B157</f>
        <v>EXE-PROC-001</v>
      </c>
      <c r="D157" s="3" t="str">
        <f>'FSL Source'!C157</f>
        <v>Thực hiện Nhiệm vụ</v>
      </c>
      <c r="E157" s="3" t="str">
        <f>'FSL Source'!D157</f>
        <v>Mua sắm</v>
      </c>
      <c r="F157" s="4" t="str">
        <f>'FSL Source'!E157</f>
        <v>Nhu cầu mua sắm</v>
      </c>
      <c r="G157" s="4" t="str">
        <f>'FSL Source'!F157</f>
        <v>Hiển thị tờ trình, gói thầu và hợp đồng từ hệ thống MS</v>
      </c>
      <c r="H157" s="4" t="str">
        <f>'FSL Source'!G157</f>
        <v>Liên kết dữ liệu mua sắm với nhiệm vụ; hệ thống MS là nguồn sự thật, PM QLKHCN chỉ đọc và cảnh báo.</v>
      </c>
      <c r="I157" s="3" t="str">
        <f>'FSL Source'!H157</f>
        <v>Chủ nhiệm/Mua sắm</v>
      </c>
      <c r="J157" s="3" t="str">
        <f>'FSL Source'!I157</f>
        <v>Tích hợp</v>
      </c>
      <c r="K157" s="3" t="str">
        <f>'FSL Source'!J157</f>
        <v>RD03.02</v>
      </c>
      <c r="L157" s="3" t="str">
        <f>'FSL Source'!K157</f>
        <v>CAP-16; CAP-15</v>
      </c>
      <c r="M157" s="3" t="str">
        <f>'FSL Source'!L157</f>
        <v>Must</v>
      </c>
      <c r="N157" s="3" t="str">
        <f>'FSL Source'!M157</f>
        <v>Pha 2</v>
      </c>
      <c r="O157" s="3" t="str">
        <f>'FSL Source'!N157</f>
        <v>Đề xuất trong phạm vi</v>
      </c>
      <c r="P157" s="4" t="str">
        <f>'FSL Source'!O157</f>
        <v>Hiệu chỉnh theo CAP-16/BRD 0.9</v>
      </c>
      <c r="Q157" s="4">
        <f>'FSL Source'!P157</f>
        <v>0</v>
      </c>
      <c r="R157" s="4">
        <f>'FSL Source'!Q157</f>
        <v>0</v>
      </c>
      <c r="S157" s="3"/>
      <c r="T157" s="3"/>
      <c r="U157" s="8"/>
      <c r="V157" s="8"/>
      <c r="W157" s="9"/>
      <c r="X157" s="9" t="str">
        <f t="shared" si="2"/>
        <v/>
      </c>
      <c r="Y157" s="3" t="s">
        <v>1860</v>
      </c>
      <c r="Z157" s="10">
        <v>0</v>
      </c>
      <c r="AA157" s="4"/>
    </row>
    <row r="158" spans="1:27" ht="25.5">
      <c r="A158" s="3" t="str">
        <f>B158&amp;"."&amp;TEXT(COUNTIF($B$5:B158,B158),"000")</f>
        <v>1.07.05.001</v>
      </c>
      <c r="B158" s="3" t="str">
        <f>IFERROR(INDEX('Work Packages'!$A$5:$A$200,MATCH(D158&amp;"|"&amp;E158,'Work Packages'!$P$5:$P$200,0)),"")</f>
        <v>1.07.05</v>
      </c>
      <c r="C158" s="3" t="str">
        <f>'FSL Source'!B158</f>
        <v>EXE-ASSET-001</v>
      </c>
      <c r="D158" s="3" t="str">
        <f>'FSL Source'!C158</f>
        <v>Thực hiện Nhiệm vụ</v>
      </c>
      <c r="E158" s="3" t="str">
        <f>'FSL Source'!D158</f>
        <v>Tài sản/Vật tư</v>
      </c>
      <c r="F158" s="4" t="str">
        <f>'FSL Source'!E158</f>
        <v>Tài sản hình thành</v>
      </c>
      <c r="G158" s="4" t="str">
        <f>'FSL Source'!F158</f>
        <v>Hiển thị VTLK, CCDC và TSCĐ từ QLTS</v>
      </c>
      <c r="H158" s="4" t="str">
        <f>'FSL Source'!G158</f>
        <v>Đồng bộ tài sản hình thành và trạng thái bàn giao; QLTS là nguồn sự thật.</v>
      </c>
      <c r="I158" s="3" t="str">
        <f>'FSL Source'!H158</f>
        <v>Chủ nhiệm/Quản lý tài sản</v>
      </c>
      <c r="J158" s="3" t="str">
        <f>'FSL Source'!I158</f>
        <v>Tích hợp</v>
      </c>
      <c r="K158" s="3" t="str">
        <f>'FSL Source'!J158</f>
        <v>RD03.04</v>
      </c>
      <c r="L158" s="3" t="str">
        <f>'FSL Source'!K158</f>
        <v>CAP-16; CAP-15</v>
      </c>
      <c r="M158" s="3" t="str">
        <f>'FSL Source'!L158</f>
        <v>Must</v>
      </c>
      <c r="N158" s="3" t="str">
        <f>'FSL Source'!M158</f>
        <v>Pha 2</v>
      </c>
      <c r="O158" s="3" t="str">
        <f>'FSL Source'!N158</f>
        <v>Đề xuất trong phạm vi</v>
      </c>
      <c r="P158" s="4" t="str">
        <f>'FSL Source'!O158</f>
        <v>Hiệu chỉnh theo CAP-16/BRD 0.9</v>
      </c>
      <c r="Q158" s="4">
        <f>'FSL Source'!P158</f>
        <v>0</v>
      </c>
      <c r="R158" s="4">
        <f>'FSL Source'!Q158</f>
        <v>0</v>
      </c>
      <c r="S158" s="3"/>
      <c r="T158" s="3"/>
      <c r="U158" s="8"/>
      <c r="V158" s="8"/>
      <c r="W158" s="9"/>
      <c r="X158" s="9" t="str">
        <f t="shared" si="2"/>
        <v/>
      </c>
      <c r="Y158" s="3" t="s">
        <v>1860</v>
      </c>
      <c r="Z158" s="10">
        <v>0</v>
      </c>
      <c r="AA158" s="4"/>
    </row>
    <row r="159" spans="1:27" ht="25.5">
      <c r="A159" s="3" t="str">
        <f>B159&amp;"."&amp;TEXT(COUNTIF($B$5:B159,B159),"000")</f>
        <v>1.07.06.001</v>
      </c>
      <c r="B159" s="3" t="str">
        <f>IFERROR(INDEX('Work Packages'!$A$5:$A$200,MATCH(D159&amp;"|"&amp;E159,'Work Packages'!$P$5:$P$200,0)),"")</f>
        <v>1.07.06</v>
      </c>
      <c r="C159" s="3" t="str">
        <f>'FSL Source'!B159</f>
        <v>EXE-REPORT-001</v>
      </c>
      <c r="D159" s="3" t="str">
        <f>'FSL Source'!C159</f>
        <v>Thực hiện Nhiệm vụ</v>
      </c>
      <c r="E159" s="3" t="str">
        <f>'FSL Source'!D159</f>
        <v>Báo cáo thực hiện</v>
      </c>
      <c r="F159" s="4" t="str">
        <f>'FSL Source'!E159</f>
        <v>Báo cáo định kỳ/đột xuất</v>
      </c>
      <c r="G159" s="4" t="str">
        <f>'FSL Source'!F159</f>
        <v>Xem danh sách Báo cáo định kỳ/đột xuất</v>
      </c>
      <c r="H159" s="4" t="str">
        <f>'FSL Source'!G159</f>
        <v>Tra cứu danh sách, phân trang, sắp xếp và lọc Báo cáo định kỳ/đột xuất theo các tiêu chí nghiệp vụ.</v>
      </c>
      <c r="I159" s="3" t="str">
        <f>'FSL Source'!H159</f>
        <v>Chủ nhiệm/Cán bộ KHCN</v>
      </c>
      <c r="J159" s="3" t="str">
        <f>'FSL Source'!I159</f>
        <v>Nghiệp vụ</v>
      </c>
      <c r="K159" s="3" t="str">
        <f>'FSL Source'!J159</f>
        <v>RD03.06</v>
      </c>
      <c r="L159" s="3" t="str">
        <f>'FSL Source'!K159</f>
        <v>CAP-16; CAP-18</v>
      </c>
      <c r="M159" s="3" t="str">
        <f>'FSL Source'!L159</f>
        <v>Must</v>
      </c>
      <c r="N159" s="3" t="str">
        <f>'FSL Source'!M159</f>
        <v>Pha 1</v>
      </c>
      <c r="O159" s="3" t="str">
        <f>'FSL Source'!N159</f>
        <v>Đề xuất trong phạm vi</v>
      </c>
      <c r="P159" s="4" t="str">
        <f>'FSL Source'!O159</f>
        <v>Hiệu chỉnh theo BRD 0.9</v>
      </c>
      <c r="Q159" s="4" t="str">
        <f>'FSL Source'!P159</f>
        <v>Danh sách hiển thị đúng phạm vi dữ liệu và hỗ trợ lọc/xuất theo quyền.</v>
      </c>
      <c r="R159" s="4">
        <f>'FSL Source'!Q159</f>
        <v>0</v>
      </c>
      <c r="S159" s="3"/>
      <c r="T159" s="3"/>
      <c r="U159" s="8"/>
      <c r="V159" s="8"/>
      <c r="W159" s="9"/>
      <c r="X159" s="9" t="str">
        <f t="shared" si="2"/>
        <v/>
      </c>
      <c r="Y159" s="3" t="s">
        <v>1860</v>
      </c>
      <c r="Z159" s="10">
        <v>0</v>
      </c>
      <c r="AA159" s="4"/>
    </row>
    <row r="160" spans="1:27" ht="25.5">
      <c r="A160" s="3" t="str">
        <f>B160&amp;"."&amp;TEXT(COUNTIF($B$5:B160,B160),"000")</f>
        <v>1.07.06.002</v>
      </c>
      <c r="B160" s="3" t="str">
        <f>IFERROR(INDEX('Work Packages'!$A$5:$A$200,MATCH(D160&amp;"|"&amp;E160,'Work Packages'!$P$5:$P$200,0)),"")</f>
        <v>1.07.06</v>
      </c>
      <c r="C160" s="3" t="str">
        <f>'FSL Source'!B160</f>
        <v>EXE-REPORT-002</v>
      </c>
      <c r="D160" s="3" t="str">
        <f>'FSL Source'!C160</f>
        <v>Thực hiện Nhiệm vụ</v>
      </c>
      <c r="E160" s="3" t="str">
        <f>'FSL Source'!D160</f>
        <v>Báo cáo thực hiện</v>
      </c>
      <c r="F160" s="4" t="str">
        <f>'FSL Source'!E160</f>
        <v>Báo cáo định kỳ/đột xuất</v>
      </c>
      <c r="G160" s="4" t="str">
        <f>'FSL Source'!F160</f>
        <v>Tạo mới Báo cáo định kỳ/đột xuất</v>
      </c>
      <c r="H160" s="4" t="str">
        <f>'FSL Source'!G160</f>
        <v>Khởi tạo Báo cáo định kỳ/đột xuất, kiểm tra dữ liệu bắt buộc và lưu nháp trước khi hoàn tất.</v>
      </c>
      <c r="I160" s="3" t="str">
        <f>'FSL Source'!H160</f>
        <v>Chủ nhiệm/Cán bộ KHCN</v>
      </c>
      <c r="J160" s="3" t="str">
        <f>'FSL Source'!I160</f>
        <v>Nghiệp vụ</v>
      </c>
      <c r="K160" s="3" t="str">
        <f>'FSL Source'!J160</f>
        <v>RD03.06</v>
      </c>
      <c r="L160" s="3" t="str">
        <f>'FSL Source'!K160</f>
        <v>CAP-16; CAP-18</v>
      </c>
      <c r="M160" s="3" t="str">
        <f>'FSL Source'!L160</f>
        <v>Must</v>
      </c>
      <c r="N160" s="3" t="str">
        <f>'FSL Source'!M160</f>
        <v>Pha 1</v>
      </c>
      <c r="O160" s="3" t="str">
        <f>'FSL Source'!N160</f>
        <v>Đề xuất trong phạm vi</v>
      </c>
      <c r="P160" s="4" t="str">
        <f>'FSL Source'!O160</f>
        <v>Hiệu chỉnh theo BRD 0.9</v>
      </c>
      <c r="Q160" s="4" t="str">
        <f>'FSL Source'!P160</f>
        <v>Dữ liệu hợp lệ được lưu; lỗi validation hiển thị tại trường tương ứng.</v>
      </c>
      <c r="R160" s="4">
        <f>'FSL Source'!Q160</f>
        <v>0</v>
      </c>
      <c r="S160" s="3"/>
      <c r="T160" s="3"/>
      <c r="U160" s="8"/>
      <c r="V160" s="8"/>
      <c r="W160" s="9"/>
      <c r="X160" s="9" t="str">
        <f t="shared" si="2"/>
        <v/>
      </c>
      <c r="Y160" s="3" t="s">
        <v>1860</v>
      </c>
      <c r="Z160" s="10">
        <v>0</v>
      </c>
      <c r="AA160" s="4"/>
    </row>
    <row r="161" spans="1:27" ht="25.5">
      <c r="A161" s="3" t="str">
        <f>B161&amp;"."&amp;TEXT(COUNTIF($B$5:B161,B161),"000")</f>
        <v>1.07.06.003</v>
      </c>
      <c r="B161" s="3" t="str">
        <f>IFERROR(INDEX('Work Packages'!$A$5:$A$200,MATCH(D161&amp;"|"&amp;E161,'Work Packages'!$P$5:$P$200,0)),"")</f>
        <v>1.07.06</v>
      </c>
      <c r="C161" s="3" t="str">
        <f>'FSL Source'!B161</f>
        <v>EXE-REPORT-003</v>
      </c>
      <c r="D161" s="3" t="str">
        <f>'FSL Source'!C161</f>
        <v>Thực hiện Nhiệm vụ</v>
      </c>
      <c r="E161" s="3" t="str">
        <f>'FSL Source'!D161</f>
        <v>Báo cáo thực hiện</v>
      </c>
      <c r="F161" s="4" t="str">
        <f>'FSL Source'!E161</f>
        <v>Báo cáo định kỳ/đột xuất</v>
      </c>
      <c r="G161" s="4" t="str">
        <f>'FSL Source'!F161</f>
        <v>Xem chi tiết Báo cáo định kỳ/đột xuất</v>
      </c>
      <c r="H161" s="4" t="str">
        <f>'FSL Source'!G161</f>
        <v>Hiển thị thông tin tổng quan, dữ liệu chi tiết, tài liệu liên quan và trạng thái của Báo cáo định kỳ/đột xuất.</v>
      </c>
      <c r="I161" s="3" t="str">
        <f>'FSL Source'!H161</f>
        <v>Chủ nhiệm/Cán bộ KHCN</v>
      </c>
      <c r="J161" s="3" t="str">
        <f>'FSL Source'!I161</f>
        <v>Nghiệp vụ</v>
      </c>
      <c r="K161" s="3" t="str">
        <f>'FSL Source'!J161</f>
        <v>RD03.06</v>
      </c>
      <c r="L161" s="3" t="str">
        <f>'FSL Source'!K161</f>
        <v>CAP-16; CAP-18</v>
      </c>
      <c r="M161" s="3" t="str">
        <f>'FSL Source'!L161</f>
        <v>Must</v>
      </c>
      <c r="N161" s="3" t="str">
        <f>'FSL Source'!M161</f>
        <v>Pha 1</v>
      </c>
      <c r="O161" s="3" t="str">
        <f>'FSL Source'!N161</f>
        <v>Đề xuất trong phạm vi</v>
      </c>
      <c r="P161" s="4" t="str">
        <f>'FSL Source'!O161</f>
        <v>Hiệu chỉnh theo BRD 0.9</v>
      </c>
      <c r="Q161" s="4" t="str">
        <f>'FSL Source'!P161</f>
        <v>Thông tin hiển thị đúng phiên bản và quyền truy cập.</v>
      </c>
      <c r="R161" s="4">
        <f>'FSL Source'!Q161</f>
        <v>0</v>
      </c>
      <c r="S161" s="3"/>
      <c r="T161" s="3"/>
      <c r="U161" s="8"/>
      <c r="V161" s="8"/>
      <c r="W161" s="9"/>
      <c r="X161" s="9" t="str">
        <f t="shared" si="2"/>
        <v/>
      </c>
      <c r="Y161" s="3" t="s">
        <v>1860</v>
      </c>
      <c r="Z161" s="10">
        <v>0</v>
      </c>
      <c r="AA161" s="4"/>
    </row>
    <row r="162" spans="1:27" ht="38.25">
      <c r="A162" s="3" t="str">
        <f>B162&amp;"."&amp;TEXT(COUNTIF($B$5:B162,B162),"000")</f>
        <v>1.07.06.004</v>
      </c>
      <c r="B162" s="3" t="str">
        <f>IFERROR(INDEX('Work Packages'!$A$5:$A$200,MATCH(D162&amp;"|"&amp;E162,'Work Packages'!$P$5:$P$200,0)),"")</f>
        <v>1.07.06</v>
      </c>
      <c r="C162" s="3" t="str">
        <f>'FSL Source'!B162</f>
        <v>EXE-REPORT-004</v>
      </c>
      <c r="D162" s="3" t="str">
        <f>'FSL Source'!C162</f>
        <v>Thực hiện Nhiệm vụ</v>
      </c>
      <c r="E162" s="3" t="str">
        <f>'FSL Source'!D162</f>
        <v>Báo cáo thực hiện</v>
      </c>
      <c r="F162" s="4" t="str">
        <f>'FSL Source'!E162</f>
        <v>Báo cáo định kỳ/đột xuất</v>
      </c>
      <c r="G162" s="4" t="str">
        <f>'FSL Source'!F162</f>
        <v>Chỉnh sửa Báo cáo định kỳ/đột xuất</v>
      </c>
      <c r="H162" s="4" t="str">
        <f>'FSL Source'!G162</f>
        <v>Cập nhật Báo cáo định kỳ/đột xuất khi trạng thái và quyền người dùng cho phép; kiểm soát xung đột cập nhật.</v>
      </c>
      <c r="I162" s="3" t="str">
        <f>'FSL Source'!H162</f>
        <v>Chủ nhiệm/Cán bộ KHCN</v>
      </c>
      <c r="J162" s="3" t="str">
        <f>'FSL Source'!I162</f>
        <v>Nghiệp vụ</v>
      </c>
      <c r="K162" s="3" t="str">
        <f>'FSL Source'!J162</f>
        <v>RD03.06</v>
      </c>
      <c r="L162" s="3" t="str">
        <f>'FSL Source'!K162</f>
        <v>CAP-16; CAP-18</v>
      </c>
      <c r="M162" s="3" t="str">
        <f>'FSL Source'!L162</f>
        <v>Must</v>
      </c>
      <c r="N162" s="3" t="str">
        <f>'FSL Source'!M162</f>
        <v>Pha 1</v>
      </c>
      <c r="O162" s="3" t="str">
        <f>'FSL Source'!N162</f>
        <v>Đề xuất trong phạm vi</v>
      </c>
      <c r="P162" s="4" t="str">
        <f>'FSL Source'!O162</f>
        <v>Hiệu chỉnh theo BRD 0.9</v>
      </c>
      <c r="Q162" s="4" t="str">
        <f>'FSL Source'!P162</f>
        <v>Chỉ trường được phép sửa có hiệu lực và thay đổi được ghi lịch sử.</v>
      </c>
      <c r="R162" s="4">
        <f>'FSL Source'!Q162</f>
        <v>0</v>
      </c>
      <c r="S162" s="3"/>
      <c r="T162" s="3"/>
      <c r="U162" s="8"/>
      <c r="V162" s="8"/>
      <c r="W162" s="9"/>
      <c r="X162" s="9" t="str">
        <f t="shared" si="2"/>
        <v/>
      </c>
      <c r="Y162" s="3" t="s">
        <v>1860</v>
      </c>
      <c r="Z162" s="10">
        <v>0</v>
      </c>
      <c r="AA162" s="4"/>
    </row>
    <row r="163" spans="1:27" ht="25.5">
      <c r="A163" s="3" t="str">
        <f>B163&amp;"."&amp;TEXT(COUNTIF($B$5:B163,B163),"000")</f>
        <v>1.07.06.005</v>
      </c>
      <c r="B163" s="3" t="str">
        <f>IFERROR(INDEX('Work Packages'!$A$5:$A$200,MATCH(D163&amp;"|"&amp;E163,'Work Packages'!$P$5:$P$200,0)),"")</f>
        <v>1.07.06</v>
      </c>
      <c r="C163" s="3" t="str">
        <f>'FSL Source'!B163</f>
        <v>EXE-REPORT-005</v>
      </c>
      <c r="D163" s="3" t="str">
        <f>'FSL Source'!C163</f>
        <v>Thực hiện Nhiệm vụ</v>
      </c>
      <c r="E163" s="3" t="str">
        <f>'FSL Source'!D163</f>
        <v>Báo cáo thực hiện</v>
      </c>
      <c r="F163" s="4" t="str">
        <f>'FSL Source'!E163</f>
        <v>Báo cáo định kỳ/đột xuất</v>
      </c>
      <c r="G163" s="4" t="str">
        <f>'FSL Source'!F163</f>
        <v>Xóa/Ngừng sử dụng Báo cáo định kỳ/đột xuất</v>
      </c>
      <c r="H163" s="4" t="str">
        <f>'FSL Source'!G163</f>
        <v>Xóa logic hoặc ngừng sử dụng Báo cáo định kỳ/đột xuất sau khi kiểm tra ràng buộc tham chiếu.</v>
      </c>
      <c r="I163" s="3" t="str">
        <f>'FSL Source'!H163</f>
        <v>Quản trị/Cán bộ nghiệp vụ</v>
      </c>
      <c r="J163" s="3" t="str">
        <f>'FSL Source'!I163</f>
        <v>Nghiệp vụ</v>
      </c>
      <c r="K163" s="3" t="str">
        <f>'FSL Source'!J163</f>
        <v>RD03.06</v>
      </c>
      <c r="L163" s="3" t="str">
        <f>'FSL Source'!K163</f>
        <v>CAP-16; CAP-18</v>
      </c>
      <c r="M163" s="3" t="str">
        <f>'FSL Source'!L163</f>
        <v>Should</v>
      </c>
      <c r="N163" s="3" t="str">
        <f>'FSL Source'!M163</f>
        <v>Pha 1</v>
      </c>
      <c r="O163" s="3" t="str">
        <f>'FSL Source'!N163</f>
        <v>Đề xuất trong phạm vi</v>
      </c>
      <c r="P163" s="4" t="str">
        <f>'FSL Source'!O163</f>
        <v>Hiệu chỉnh theo BRD 0.9</v>
      </c>
      <c r="Q163" s="4" t="str">
        <f>'FSL Source'!P163</f>
        <v>Không xóa vật lý dữ liệu đã phát sinh giao dịch; cảnh báo rõ quan hệ phụ thuộc.</v>
      </c>
      <c r="R163" s="4">
        <f>'FSL Source'!Q163</f>
        <v>0</v>
      </c>
      <c r="S163" s="3"/>
      <c r="T163" s="3"/>
      <c r="U163" s="8"/>
      <c r="V163" s="8"/>
      <c r="W163" s="9"/>
      <c r="X163" s="9" t="str">
        <f t="shared" si="2"/>
        <v/>
      </c>
      <c r="Y163" s="3" t="s">
        <v>1860</v>
      </c>
      <c r="Z163" s="10">
        <v>0</v>
      </c>
      <c r="AA163" s="4"/>
    </row>
    <row r="164" spans="1:27" ht="38.25">
      <c r="A164" s="3" t="str">
        <f>B164&amp;"."&amp;TEXT(COUNTIF($B$5:B164,B164),"000")</f>
        <v>1.07.06.006</v>
      </c>
      <c r="B164" s="3" t="str">
        <f>IFERROR(INDEX('Work Packages'!$A$5:$A$200,MATCH(D164&amp;"|"&amp;E164,'Work Packages'!$P$5:$P$200,0)),"")</f>
        <v>1.07.06</v>
      </c>
      <c r="C164" s="3" t="str">
        <f>'FSL Source'!B164</f>
        <v>EXE-REPORT-006</v>
      </c>
      <c r="D164" s="3" t="str">
        <f>'FSL Source'!C164</f>
        <v>Thực hiện Nhiệm vụ</v>
      </c>
      <c r="E164" s="3" t="str">
        <f>'FSL Source'!D164</f>
        <v>Báo cáo thực hiện</v>
      </c>
      <c r="F164" s="4" t="str">
        <f>'FSL Source'!E164</f>
        <v>Báo cáo định kỳ/đột xuất</v>
      </c>
      <c r="G164" s="4" t="str">
        <f>'FSL Source'!F164</f>
        <v>Trình duyệt Báo cáo định kỳ/đột xuất</v>
      </c>
      <c r="H164" s="4" t="str">
        <f>'FSL Source'!G164</f>
        <v>Kiểm tra điều kiện, khóa phiên bản trình và khởi tạo/tiếp tục quy trình phê duyệt Báo cáo định kỳ/đột xuất.</v>
      </c>
      <c r="I164" s="3" t="str">
        <f>'FSL Source'!H164</f>
        <v>Người lập/Chủ nhiệm nhiệm vụ</v>
      </c>
      <c r="J164" s="3" t="str">
        <f>'FSL Source'!I164</f>
        <v>Workflow</v>
      </c>
      <c r="K164" s="3" t="str">
        <f>'FSL Source'!J164</f>
        <v>RD03.06</v>
      </c>
      <c r="L164" s="3" t="str">
        <f>'FSL Source'!K164</f>
        <v>CAP-16; CAP-18</v>
      </c>
      <c r="M164" s="3" t="str">
        <f>'FSL Source'!L164</f>
        <v>Must</v>
      </c>
      <c r="N164" s="3" t="str">
        <f>'FSL Source'!M164</f>
        <v>Pha 1</v>
      </c>
      <c r="O164" s="3" t="str">
        <f>'FSL Source'!N164</f>
        <v>Đề xuất trong phạm vi</v>
      </c>
      <c r="P164" s="4" t="str">
        <f>'FSL Source'!O164</f>
        <v>Hiệu chỉnh theo BRD 0.9</v>
      </c>
      <c r="Q164" s="4" t="str">
        <f>'FSL Source'!P164</f>
        <v>Tạo đúng process instance, business key và task đầu tiên; không submit trùng.</v>
      </c>
      <c r="R164" s="4">
        <f>'FSL Source'!Q164</f>
        <v>0</v>
      </c>
      <c r="S164" s="3"/>
      <c r="T164" s="3"/>
      <c r="U164" s="8"/>
      <c r="V164" s="8"/>
      <c r="W164" s="9"/>
      <c r="X164" s="9" t="str">
        <f t="shared" si="2"/>
        <v/>
      </c>
      <c r="Y164" s="3" t="s">
        <v>1860</v>
      </c>
      <c r="Z164" s="10">
        <v>0</v>
      </c>
      <c r="AA164" s="4"/>
    </row>
    <row r="165" spans="1:27" ht="25.5">
      <c r="A165" s="3" t="str">
        <f>B165&amp;"."&amp;TEXT(COUNTIF($B$5:B165,B165),"000")</f>
        <v>1.07.06.007</v>
      </c>
      <c r="B165" s="3" t="str">
        <f>IFERROR(INDEX('Work Packages'!$A$5:$A$200,MATCH(D165&amp;"|"&amp;E165,'Work Packages'!$P$5:$P$200,0)),"")</f>
        <v>1.07.06</v>
      </c>
      <c r="C165" s="3" t="str">
        <f>'FSL Source'!B165</f>
        <v>EXE-REPORT-007</v>
      </c>
      <c r="D165" s="3" t="str">
        <f>'FSL Source'!C165</f>
        <v>Thực hiện Nhiệm vụ</v>
      </c>
      <c r="E165" s="3" t="str">
        <f>'FSL Source'!D165</f>
        <v>Báo cáo thực hiện</v>
      </c>
      <c r="F165" s="4" t="str">
        <f>'FSL Source'!E165</f>
        <v>Báo cáo định kỳ/đột xuất</v>
      </c>
      <c r="G165" s="4" t="str">
        <f>'FSL Source'!F165</f>
        <v>Xem lịch sử Báo cáo định kỳ/đột xuất</v>
      </c>
      <c r="H165" s="4" t="str">
        <f>'FSL Source'!G165</f>
        <v>Theo dõi phiên bản, thay đổi dữ liệu, người thực hiện và lịch sử xử lý của Báo cáo định kỳ/đột xuất.</v>
      </c>
      <c r="I165" s="3" t="str">
        <f>'FSL Source'!H165</f>
        <v>Cán bộ nghiệp vụ/Quản trị</v>
      </c>
      <c r="J165" s="3" t="str">
        <f>'FSL Source'!I165</f>
        <v>Audit</v>
      </c>
      <c r="K165" s="3" t="str">
        <f>'FSL Source'!J165</f>
        <v>RD03.06</v>
      </c>
      <c r="L165" s="3" t="str">
        <f>'FSL Source'!K165</f>
        <v>CAP-16; CAP-18</v>
      </c>
      <c r="M165" s="3" t="str">
        <f>'FSL Source'!L165</f>
        <v>Must</v>
      </c>
      <c r="N165" s="3" t="str">
        <f>'FSL Source'!M165</f>
        <v>Pha 1</v>
      </c>
      <c r="O165" s="3" t="str">
        <f>'FSL Source'!N165</f>
        <v>Đề xuất trong phạm vi</v>
      </c>
      <c r="P165" s="4" t="str">
        <f>'FSL Source'!O165</f>
        <v>Hiệu chỉnh theo BRD 0.9</v>
      </c>
      <c r="Q165" s="4" t="str">
        <f>'FSL Source'!P165</f>
        <v>Lịch sử không thể sửa và truy vết được trước/sau của thay đổi quan trọng.</v>
      </c>
      <c r="R165" s="4">
        <f>'FSL Source'!Q165</f>
        <v>0</v>
      </c>
      <c r="S165" s="3"/>
      <c r="T165" s="3"/>
      <c r="U165" s="8"/>
      <c r="V165" s="8"/>
      <c r="W165" s="9"/>
      <c r="X165" s="9" t="str">
        <f t="shared" si="2"/>
        <v/>
      </c>
      <c r="Y165" s="3" t="s">
        <v>1860</v>
      </c>
      <c r="Z165" s="10">
        <v>0</v>
      </c>
      <c r="AA165" s="4"/>
    </row>
    <row r="166" spans="1:27" ht="38.25">
      <c r="A166" s="3" t="str">
        <f>B166&amp;"."&amp;TEXT(COUNTIF($B$5:B166,B166),"000")</f>
        <v>1.07.06.008</v>
      </c>
      <c r="B166" s="3" t="str">
        <f>IFERROR(INDEX('Work Packages'!$A$5:$A$200,MATCH(D166&amp;"|"&amp;E166,'Work Packages'!$P$5:$P$200,0)),"")</f>
        <v>1.07.06</v>
      </c>
      <c r="C166" s="3" t="str">
        <f>'FSL Source'!B166</f>
        <v>EXE-REPORT-008</v>
      </c>
      <c r="D166" s="3" t="str">
        <f>'FSL Source'!C166</f>
        <v>Thực hiện Nhiệm vụ</v>
      </c>
      <c r="E166" s="3" t="str">
        <f>'FSL Source'!D166</f>
        <v>Báo cáo thực hiện</v>
      </c>
      <c r="F166" s="4" t="str">
        <f>'FSL Source'!E166</f>
        <v>Tổng hợp</v>
      </c>
      <c r="G166" s="4" t="str">
        <f>'FSL Source'!F166</f>
        <v>Tổng hợp tiến độ, kinh phí, sản phẩm và rủi ro</v>
      </c>
      <c r="H166" s="4" t="str">
        <f>'FSL Source'!G166</f>
        <v>Tạo báo cáo kỳ từ dữ liệu thực hiện và cho phép giải trình sai lệch. Nguồn dữ liệu Pha 1 cần chốt theo câu hỏi A3 của BRD.</v>
      </c>
      <c r="I166" s="3" t="str">
        <f>'FSL Source'!H166</f>
        <v>Chủ nhiệm/Cán bộ KHCN</v>
      </c>
      <c r="J166" s="3" t="str">
        <f>'FSL Source'!I166</f>
        <v>Báo cáo</v>
      </c>
      <c r="K166" s="3" t="str">
        <f>'FSL Source'!J166</f>
        <v>RD03.06</v>
      </c>
      <c r="L166" s="3" t="str">
        <f>'FSL Source'!K166</f>
        <v>CAP-16; CAP-18</v>
      </c>
      <c r="M166" s="3" t="str">
        <f>'FSL Source'!L166</f>
        <v>Must</v>
      </c>
      <c r="N166" s="3" t="str">
        <f>'FSL Source'!M166</f>
        <v>Pha 1</v>
      </c>
      <c r="O166" s="3" t="str">
        <f>'FSL Source'!N166</f>
        <v>Cần xác nhận</v>
      </c>
      <c r="P166" s="4" t="str">
        <f>'FSL Source'!O166</f>
        <v>Hiệu chỉnh theo BRD 0.9</v>
      </c>
      <c r="Q166" s="4">
        <f>'FSL Source'!P166</f>
        <v>0</v>
      </c>
      <c r="R166" s="4">
        <f>'FSL Source'!Q166</f>
        <v>0</v>
      </c>
      <c r="S166" s="3"/>
      <c r="T166" s="3"/>
      <c r="U166" s="8"/>
      <c r="V166" s="8"/>
      <c r="W166" s="9"/>
      <c r="X166" s="9" t="str">
        <f t="shared" si="2"/>
        <v/>
      </c>
      <c r="Y166" s="3" t="s">
        <v>1860</v>
      </c>
      <c r="Z166" s="10">
        <v>0</v>
      </c>
      <c r="AA166" s="4"/>
    </row>
    <row r="167" spans="1:27" ht="38.25">
      <c r="A167" s="3" t="str">
        <f>B167&amp;"."&amp;TEXT(COUNTIF($B$5:B167,B167),"000")</f>
        <v>1.08.01.001</v>
      </c>
      <c r="B167" s="3" t="str">
        <f>IFERROR(INDEX('Work Packages'!$A$5:$A$200,MATCH(D167&amp;"|"&amp;E167,'Work Packages'!$P$5:$P$200,0)),"")</f>
        <v>1.08.01</v>
      </c>
      <c r="C167" s="3" t="str">
        <f>'FSL Source'!B167</f>
        <v>ADJ-RD04-001</v>
      </c>
      <c r="D167" s="3" t="str">
        <f>'FSL Source'!C167</f>
        <v>Điều chỉnh, Tạm dừng &amp; Dừng</v>
      </c>
      <c r="E167" s="3" t="str">
        <f>'FSL Source'!D167</f>
        <v>Điều chỉnh nhiệm vụ</v>
      </c>
      <c r="F167" s="4" t="str">
        <f>'FSL Source'!E167</f>
        <v>Hồ sơ đổi chủ nhiệm cấp Cơ sở</v>
      </c>
      <c r="G167" s="4" t="str">
        <f>'FSL Source'!F167</f>
        <v>Xem danh sách Hồ sơ đổi chủ nhiệm cấp Cơ sở</v>
      </c>
      <c r="H167" s="4" t="str">
        <f>'FSL Source'!G167</f>
        <v>Tra cứu danh sách, phân trang, sắp xếp và lọc Hồ sơ đổi chủ nhiệm cấp Cơ sở theo các tiêu chí nghiệp vụ.</v>
      </c>
      <c r="I167" s="3" t="str">
        <f>'FSL Source'!H167</f>
        <v>Chủ nhiệm/Cán bộ KHCN</v>
      </c>
      <c r="J167" s="3" t="str">
        <f>'FSL Source'!I167</f>
        <v>Nghiệp vụ</v>
      </c>
      <c r="K167" s="3" t="str">
        <f>'FSL Source'!J167</f>
        <v>RD04.01</v>
      </c>
      <c r="L167" s="3" t="str">
        <f>'FSL Source'!K167</f>
        <v>CAP-14</v>
      </c>
      <c r="M167" s="3" t="str">
        <f>'FSL Source'!L167</f>
        <v>Must</v>
      </c>
      <c r="N167" s="3" t="str">
        <f>'FSL Source'!M167</f>
        <v>Pha 2</v>
      </c>
      <c r="O167" s="3" t="str">
        <f>'FSL Source'!N167</f>
        <v>Đề xuất trong phạm vi</v>
      </c>
      <c r="P167" s="4" t="str">
        <f>'FSL Source'!O167</f>
        <v>Hiệu chỉnh theo BRD 0.9</v>
      </c>
      <c r="Q167" s="4" t="str">
        <f>'FSL Source'!P167</f>
        <v>Danh sách hiển thị đúng phạm vi dữ liệu và hỗ trợ lọc/xuất theo quyền.</v>
      </c>
      <c r="R167" s="4">
        <f>'FSL Source'!Q167</f>
        <v>0</v>
      </c>
      <c r="S167" s="3"/>
      <c r="T167" s="3"/>
      <c r="U167" s="8"/>
      <c r="V167" s="8"/>
      <c r="W167" s="9"/>
      <c r="X167" s="9" t="str">
        <f t="shared" si="2"/>
        <v/>
      </c>
      <c r="Y167" s="3" t="s">
        <v>1860</v>
      </c>
      <c r="Z167" s="10">
        <v>0</v>
      </c>
      <c r="AA167" s="4"/>
    </row>
    <row r="168" spans="1:27" ht="25.5">
      <c r="A168" s="3" t="str">
        <f>B168&amp;"."&amp;TEXT(COUNTIF($B$5:B168,B168),"000")</f>
        <v>1.08.01.002</v>
      </c>
      <c r="B168" s="3" t="str">
        <f>IFERROR(INDEX('Work Packages'!$A$5:$A$200,MATCH(D168&amp;"|"&amp;E168,'Work Packages'!$P$5:$P$200,0)),"")</f>
        <v>1.08.01</v>
      </c>
      <c r="C168" s="3" t="str">
        <f>'FSL Source'!B168</f>
        <v>ADJ-RD04-002</v>
      </c>
      <c r="D168" s="3" t="str">
        <f>'FSL Source'!C168</f>
        <v>Điều chỉnh, Tạm dừng &amp; Dừng</v>
      </c>
      <c r="E168" s="3" t="str">
        <f>'FSL Source'!D168</f>
        <v>Điều chỉnh nhiệm vụ</v>
      </c>
      <c r="F168" s="4" t="str">
        <f>'FSL Source'!E168</f>
        <v>Hồ sơ đổi chủ nhiệm cấp Cơ sở</v>
      </c>
      <c r="G168" s="4" t="str">
        <f>'FSL Source'!F168</f>
        <v>Tạo mới Hồ sơ đổi chủ nhiệm cấp Cơ sở</v>
      </c>
      <c r="H168" s="4" t="str">
        <f>'FSL Source'!G168</f>
        <v>Khởi tạo Hồ sơ đổi chủ nhiệm cấp Cơ sở, kiểm tra dữ liệu bắt buộc và lưu nháp trước khi hoàn tất.</v>
      </c>
      <c r="I168" s="3" t="str">
        <f>'FSL Source'!H168</f>
        <v>Chủ nhiệm/Cán bộ KHCN</v>
      </c>
      <c r="J168" s="3" t="str">
        <f>'FSL Source'!I168</f>
        <v>Nghiệp vụ</v>
      </c>
      <c r="K168" s="3" t="str">
        <f>'FSL Source'!J168</f>
        <v>RD04.01</v>
      </c>
      <c r="L168" s="3" t="str">
        <f>'FSL Source'!K168</f>
        <v>CAP-14</v>
      </c>
      <c r="M168" s="3" t="str">
        <f>'FSL Source'!L168</f>
        <v>Must</v>
      </c>
      <c r="N168" s="3" t="str">
        <f>'FSL Source'!M168</f>
        <v>Pha 2</v>
      </c>
      <c r="O168" s="3" t="str">
        <f>'FSL Source'!N168</f>
        <v>Đề xuất trong phạm vi</v>
      </c>
      <c r="P168" s="4" t="str">
        <f>'FSL Source'!O168</f>
        <v>Hiệu chỉnh theo BRD 0.9</v>
      </c>
      <c r="Q168" s="4" t="str">
        <f>'FSL Source'!P168</f>
        <v>Dữ liệu hợp lệ được lưu; lỗi validation hiển thị tại trường tương ứng.</v>
      </c>
      <c r="R168" s="4">
        <f>'FSL Source'!Q168</f>
        <v>0</v>
      </c>
      <c r="S168" s="3"/>
      <c r="T168" s="3"/>
      <c r="U168" s="8"/>
      <c r="V168" s="8"/>
      <c r="W168" s="9"/>
      <c r="X168" s="9" t="str">
        <f t="shared" si="2"/>
        <v/>
      </c>
      <c r="Y168" s="3" t="s">
        <v>1860</v>
      </c>
      <c r="Z168" s="10">
        <v>0</v>
      </c>
      <c r="AA168" s="4"/>
    </row>
    <row r="169" spans="1:27" ht="38.25">
      <c r="A169" s="3" t="str">
        <f>B169&amp;"."&amp;TEXT(COUNTIF($B$5:B169,B169),"000")</f>
        <v>1.08.01.003</v>
      </c>
      <c r="B169" s="3" t="str">
        <f>IFERROR(INDEX('Work Packages'!$A$5:$A$200,MATCH(D169&amp;"|"&amp;E169,'Work Packages'!$P$5:$P$200,0)),"")</f>
        <v>1.08.01</v>
      </c>
      <c r="C169" s="3" t="str">
        <f>'FSL Source'!B169</f>
        <v>ADJ-RD04-003</v>
      </c>
      <c r="D169" s="3" t="str">
        <f>'FSL Source'!C169</f>
        <v>Điều chỉnh, Tạm dừng &amp; Dừng</v>
      </c>
      <c r="E169" s="3" t="str">
        <f>'FSL Source'!D169</f>
        <v>Điều chỉnh nhiệm vụ</v>
      </c>
      <c r="F169" s="4" t="str">
        <f>'FSL Source'!E169</f>
        <v>Hồ sơ đổi chủ nhiệm cấp Cơ sở</v>
      </c>
      <c r="G169" s="4" t="str">
        <f>'FSL Source'!F169</f>
        <v>Xem chi tiết Hồ sơ đổi chủ nhiệm cấp Cơ sở</v>
      </c>
      <c r="H169" s="4" t="str">
        <f>'FSL Source'!G169</f>
        <v>Hiển thị thông tin tổng quan, dữ liệu chi tiết, tài liệu liên quan và trạng thái của Hồ sơ đổi chủ nhiệm cấp Cơ sở.</v>
      </c>
      <c r="I169" s="3" t="str">
        <f>'FSL Source'!H169</f>
        <v>Chủ nhiệm/Cán bộ KHCN</v>
      </c>
      <c r="J169" s="3" t="str">
        <f>'FSL Source'!I169</f>
        <v>Nghiệp vụ</v>
      </c>
      <c r="K169" s="3" t="str">
        <f>'FSL Source'!J169</f>
        <v>RD04.01</v>
      </c>
      <c r="L169" s="3" t="str">
        <f>'FSL Source'!K169</f>
        <v>CAP-14</v>
      </c>
      <c r="M169" s="3" t="str">
        <f>'FSL Source'!L169</f>
        <v>Must</v>
      </c>
      <c r="N169" s="3" t="str">
        <f>'FSL Source'!M169</f>
        <v>Pha 2</v>
      </c>
      <c r="O169" s="3" t="str">
        <f>'FSL Source'!N169</f>
        <v>Đề xuất trong phạm vi</v>
      </c>
      <c r="P169" s="4" t="str">
        <f>'FSL Source'!O169</f>
        <v>Hiệu chỉnh theo BRD 0.9</v>
      </c>
      <c r="Q169" s="4" t="str">
        <f>'FSL Source'!P169</f>
        <v>Thông tin hiển thị đúng phiên bản và quyền truy cập.</v>
      </c>
      <c r="R169" s="4">
        <f>'FSL Source'!Q169</f>
        <v>0</v>
      </c>
      <c r="S169" s="3"/>
      <c r="T169" s="3"/>
      <c r="U169" s="8"/>
      <c r="V169" s="8"/>
      <c r="W169" s="9"/>
      <c r="X169" s="9" t="str">
        <f t="shared" si="2"/>
        <v/>
      </c>
      <c r="Y169" s="3" t="s">
        <v>1860</v>
      </c>
      <c r="Z169" s="10">
        <v>0</v>
      </c>
      <c r="AA169" s="4"/>
    </row>
    <row r="170" spans="1:27" ht="38.25">
      <c r="A170" s="3" t="str">
        <f>B170&amp;"."&amp;TEXT(COUNTIF($B$5:B170,B170),"000")</f>
        <v>1.08.01.004</v>
      </c>
      <c r="B170" s="3" t="str">
        <f>IFERROR(INDEX('Work Packages'!$A$5:$A$200,MATCH(D170&amp;"|"&amp;E170,'Work Packages'!$P$5:$P$200,0)),"")</f>
        <v>1.08.01</v>
      </c>
      <c r="C170" s="3" t="str">
        <f>'FSL Source'!B170</f>
        <v>ADJ-RD04-004</v>
      </c>
      <c r="D170" s="3" t="str">
        <f>'FSL Source'!C170</f>
        <v>Điều chỉnh, Tạm dừng &amp; Dừng</v>
      </c>
      <c r="E170" s="3" t="str">
        <f>'FSL Source'!D170</f>
        <v>Điều chỉnh nhiệm vụ</v>
      </c>
      <c r="F170" s="4" t="str">
        <f>'FSL Source'!E170</f>
        <v>Hồ sơ đổi chủ nhiệm cấp Cơ sở</v>
      </c>
      <c r="G170" s="4" t="str">
        <f>'FSL Source'!F170</f>
        <v>Chỉnh sửa Hồ sơ đổi chủ nhiệm cấp Cơ sở</v>
      </c>
      <c r="H170" s="4" t="str">
        <f>'FSL Source'!G170</f>
        <v>Cập nhật Hồ sơ đổi chủ nhiệm cấp Cơ sở khi trạng thái và quyền người dùng cho phép; kiểm soát xung đột cập nhật.</v>
      </c>
      <c r="I170" s="3" t="str">
        <f>'FSL Source'!H170</f>
        <v>Chủ nhiệm/Cán bộ KHCN</v>
      </c>
      <c r="J170" s="3" t="str">
        <f>'FSL Source'!I170</f>
        <v>Nghiệp vụ</v>
      </c>
      <c r="K170" s="3" t="str">
        <f>'FSL Source'!J170</f>
        <v>RD04.01</v>
      </c>
      <c r="L170" s="3" t="str">
        <f>'FSL Source'!K170</f>
        <v>CAP-14</v>
      </c>
      <c r="M170" s="3" t="str">
        <f>'FSL Source'!L170</f>
        <v>Must</v>
      </c>
      <c r="N170" s="3" t="str">
        <f>'FSL Source'!M170</f>
        <v>Pha 2</v>
      </c>
      <c r="O170" s="3" t="str">
        <f>'FSL Source'!N170</f>
        <v>Đề xuất trong phạm vi</v>
      </c>
      <c r="P170" s="4" t="str">
        <f>'FSL Source'!O170</f>
        <v>Hiệu chỉnh theo BRD 0.9</v>
      </c>
      <c r="Q170" s="4" t="str">
        <f>'FSL Source'!P170</f>
        <v>Chỉ trường được phép sửa có hiệu lực và thay đổi được ghi lịch sử.</v>
      </c>
      <c r="R170" s="4">
        <f>'FSL Source'!Q170</f>
        <v>0</v>
      </c>
      <c r="S170" s="3"/>
      <c r="T170" s="3"/>
      <c r="U170" s="8"/>
      <c r="V170" s="8"/>
      <c r="W170" s="9"/>
      <c r="X170" s="9" t="str">
        <f t="shared" si="2"/>
        <v/>
      </c>
      <c r="Y170" s="3" t="s">
        <v>1860</v>
      </c>
      <c r="Z170" s="10">
        <v>0</v>
      </c>
      <c r="AA170" s="4"/>
    </row>
    <row r="171" spans="1:27" ht="25.5">
      <c r="A171" s="3" t="str">
        <f>B171&amp;"."&amp;TEXT(COUNTIF($B$5:B171,B171),"000")</f>
        <v>1.08.01.005</v>
      </c>
      <c r="B171" s="3" t="str">
        <f>IFERROR(INDEX('Work Packages'!$A$5:$A$200,MATCH(D171&amp;"|"&amp;E171,'Work Packages'!$P$5:$P$200,0)),"")</f>
        <v>1.08.01</v>
      </c>
      <c r="C171" s="3" t="str">
        <f>'FSL Source'!B171</f>
        <v>ADJ-RD04-005</v>
      </c>
      <c r="D171" s="3" t="str">
        <f>'FSL Source'!C171</f>
        <v>Điều chỉnh, Tạm dừng &amp; Dừng</v>
      </c>
      <c r="E171" s="3" t="str">
        <f>'FSL Source'!D171</f>
        <v>Điều chỉnh nhiệm vụ</v>
      </c>
      <c r="F171" s="4" t="str">
        <f>'FSL Source'!E171</f>
        <v>Hồ sơ đổi chủ nhiệm cấp Cơ sở</v>
      </c>
      <c r="G171" s="4" t="str">
        <f>'FSL Source'!F171</f>
        <v>Xóa/Ngừng sử dụng Hồ sơ đổi chủ nhiệm cấp Cơ sở</v>
      </c>
      <c r="H171" s="4" t="str">
        <f>'FSL Source'!G171</f>
        <v>Xóa logic hoặc ngừng sử dụng Hồ sơ đổi chủ nhiệm cấp Cơ sở sau khi kiểm tra ràng buộc tham chiếu.</v>
      </c>
      <c r="I171" s="3" t="str">
        <f>'FSL Source'!H171</f>
        <v>Quản trị/Cán bộ nghiệp vụ</v>
      </c>
      <c r="J171" s="3" t="str">
        <f>'FSL Source'!I171</f>
        <v>Nghiệp vụ</v>
      </c>
      <c r="K171" s="3" t="str">
        <f>'FSL Source'!J171</f>
        <v>RD04.01</v>
      </c>
      <c r="L171" s="3" t="str">
        <f>'FSL Source'!K171</f>
        <v>CAP-14</v>
      </c>
      <c r="M171" s="3" t="str">
        <f>'FSL Source'!L171</f>
        <v>Should</v>
      </c>
      <c r="N171" s="3" t="str">
        <f>'FSL Source'!M171</f>
        <v>Pha 2</v>
      </c>
      <c r="O171" s="3" t="str">
        <f>'FSL Source'!N171</f>
        <v>Đề xuất trong phạm vi</v>
      </c>
      <c r="P171" s="4" t="str">
        <f>'FSL Source'!O171</f>
        <v>Hiệu chỉnh theo BRD 0.9</v>
      </c>
      <c r="Q171" s="4" t="str">
        <f>'FSL Source'!P171</f>
        <v>Không xóa vật lý dữ liệu đã phát sinh giao dịch; cảnh báo rõ quan hệ phụ thuộc.</v>
      </c>
      <c r="R171" s="4">
        <f>'FSL Source'!Q171</f>
        <v>0</v>
      </c>
      <c r="S171" s="3"/>
      <c r="T171" s="3"/>
      <c r="U171" s="8"/>
      <c r="V171" s="8"/>
      <c r="W171" s="9"/>
      <c r="X171" s="9" t="str">
        <f t="shared" si="2"/>
        <v/>
      </c>
      <c r="Y171" s="3" t="s">
        <v>1860</v>
      </c>
      <c r="Z171" s="10">
        <v>0</v>
      </c>
      <c r="AA171" s="4"/>
    </row>
    <row r="172" spans="1:27" ht="38.25">
      <c r="A172" s="3" t="str">
        <f>B172&amp;"."&amp;TEXT(COUNTIF($B$5:B172,B172),"000")</f>
        <v>1.08.01.006</v>
      </c>
      <c r="B172" s="3" t="str">
        <f>IFERROR(INDEX('Work Packages'!$A$5:$A$200,MATCH(D172&amp;"|"&amp;E172,'Work Packages'!$P$5:$P$200,0)),"")</f>
        <v>1.08.01</v>
      </c>
      <c r="C172" s="3" t="str">
        <f>'FSL Source'!B172</f>
        <v>ADJ-RD04-006</v>
      </c>
      <c r="D172" s="3" t="str">
        <f>'FSL Source'!C172</f>
        <v>Điều chỉnh, Tạm dừng &amp; Dừng</v>
      </c>
      <c r="E172" s="3" t="str">
        <f>'FSL Source'!D172</f>
        <v>Điều chỉnh nhiệm vụ</v>
      </c>
      <c r="F172" s="4" t="str">
        <f>'FSL Source'!E172</f>
        <v>Hồ sơ đổi chủ nhiệm cấp Cơ sở</v>
      </c>
      <c r="G172" s="4" t="str">
        <f>'FSL Source'!F172</f>
        <v>Trình duyệt Hồ sơ đổi chủ nhiệm cấp Cơ sở</v>
      </c>
      <c r="H172" s="4" t="str">
        <f>'FSL Source'!G172</f>
        <v>Kiểm tra điều kiện, khóa phiên bản trình và khởi tạo/tiếp tục quy trình phê duyệt Hồ sơ đổi chủ nhiệm cấp Cơ sở.</v>
      </c>
      <c r="I172" s="3" t="str">
        <f>'FSL Source'!H172</f>
        <v>Người lập/Chủ nhiệm nhiệm vụ</v>
      </c>
      <c r="J172" s="3" t="str">
        <f>'FSL Source'!I172</f>
        <v>Workflow</v>
      </c>
      <c r="K172" s="3" t="str">
        <f>'FSL Source'!J172</f>
        <v>RD04.01</v>
      </c>
      <c r="L172" s="3" t="str">
        <f>'FSL Source'!K172</f>
        <v>CAP-14</v>
      </c>
      <c r="M172" s="3" t="str">
        <f>'FSL Source'!L172</f>
        <v>Must</v>
      </c>
      <c r="N172" s="3" t="str">
        <f>'FSL Source'!M172</f>
        <v>Pha 2</v>
      </c>
      <c r="O172" s="3" t="str">
        <f>'FSL Source'!N172</f>
        <v>Đề xuất trong phạm vi</v>
      </c>
      <c r="P172" s="4" t="str">
        <f>'FSL Source'!O172</f>
        <v>Hiệu chỉnh theo BRD 0.9</v>
      </c>
      <c r="Q172" s="4" t="str">
        <f>'FSL Source'!P172</f>
        <v>Tạo đúng process instance, business key và task đầu tiên; không submit trùng.</v>
      </c>
      <c r="R172" s="4">
        <f>'FSL Source'!Q172</f>
        <v>0</v>
      </c>
      <c r="S172" s="3"/>
      <c r="T172" s="3"/>
      <c r="U172" s="8"/>
      <c r="V172" s="8"/>
      <c r="W172" s="9"/>
      <c r="X172" s="9" t="str">
        <f t="shared" si="2"/>
        <v/>
      </c>
      <c r="Y172" s="3" t="s">
        <v>1860</v>
      </c>
      <c r="Z172" s="10">
        <v>0</v>
      </c>
      <c r="AA172" s="4"/>
    </row>
    <row r="173" spans="1:27" ht="38.25">
      <c r="A173" s="3" t="str">
        <f>B173&amp;"."&amp;TEXT(COUNTIF($B$5:B173,B173),"000")</f>
        <v>1.08.01.007</v>
      </c>
      <c r="B173" s="3" t="str">
        <f>IFERROR(INDEX('Work Packages'!$A$5:$A$200,MATCH(D173&amp;"|"&amp;E173,'Work Packages'!$P$5:$P$200,0)),"")</f>
        <v>1.08.01</v>
      </c>
      <c r="C173" s="3" t="str">
        <f>'FSL Source'!B173</f>
        <v>ADJ-RD04-007</v>
      </c>
      <c r="D173" s="3" t="str">
        <f>'FSL Source'!C173</f>
        <v>Điều chỉnh, Tạm dừng &amp; Dừng</v>
      </c>
      <c r="E173" s="3" t="str">
        <f>'FSL Source'!D173</f>
        <v>Điều chỉnh nhiệm vụ</v>
      </c>
      <c r="F173" s="4" t="str">
        <f>'FSL Source'!E173</f>
        <v>Hồ sơ đổi chủ nhiệm cấp Cơ sở</v>
      </c>
      <c r="G173" s="4" t="str">
        <f>'FSL Source'!F173</f>
        <v>Xem lịch sử Hồ sơ đổi chủ nhiệm cấp Cơ sở</v>
      </c>
      <c r="H173" s="4" t="str">
        <f>'FSL Source'!G173</f>
        <v>Theo dõi phiên bản, thay đổi dữ liệu, người thực hiện và lịch sử xử lý của Hồ sơ đổi chủ nhiệm cấp Cơ sở.</v>
      </c>
      <c r="I173" s="3" t="str">
        <f>'FSL Source'!H173</f>
        <v>Cán bộ nghiệp vụ/Quản trị</v>
      </c>
      <c r="J173" s="3" t="str">
        <f>'FSL Source'!I173</f>
        <v>Audit</v>
      </c>
      <c r="K173" s="3" t="str">
        <f>'FSL Source'!J173</f>
        <v>RD04.01</v>
      </c>
      <c r="L173" s="3" t="str">
        <f>'FSL Source'!K173</f>
        <v>CAP-14</v>
      </c>
      <c r="M173" s="3" t="str">
        <f>'FSL Source'!L173</f>
        <v>Must</v>
      </c>
      <c r="N173" s="3" t="str">
        <f>'FSL Source'!M173</f>
        <v>Pha 2</v>
      </c>
      <c r="O173" s="3" t="str">
        <f>'FSL Source'!N173</f>
        <v>Đề xuất trong phạm vi</v>
      </c>
      <c r="P173" s="4" t="str">
        <f>'FSL Source'!O173</f>
        <v>Hiệu chỉnh theo BRD 0.9</v>
      </c>
      <c r="Q173" s="4" t="str">
        <f>'FSL Source'!P173</f>
        <v>Lịch sử không thể sửa và truy vết được trước/sau của thay đổi quan trọng.</v>
      </c>
      <c r="R173" s="4">
        <f>'FSL Source'!Q173</f>
        <v>0</v>
      </c>
      <c r="S173" s="3"/>
      <c r="T173" s="3"/>
      <c r="U173" s="8"/>
      <c r="V173" s="8"/>
      <c r="W173" s="9"/>
      <c r="X173" s="9" t="str">
        <f t="shared" si="2"/>
        <v/>
      </c>
      <c r="Y173" s="3" t="s">
        <v>1860</v>
      </c>
      <c r="Z173" s="10">
        <v>0</v>
      </c>
      <c r="AA173" s="4"/>
    </row>
    <row r="174" spans="1:27" ht="38.25">
      <c r="A174" s="3" t="str">
        <f>B174&amp;"."&amp;TEXT(COUNTIF($B$5:B174,B174),"000")</f>
        <v>1.08.01.008</v>
      </c>
      <c r="B174" s="3" t="str">
        <f>IFERROR(INDEX('Work Packages'!$A$5:$A$200,MATCH(D174&amp;"|"&amp;E174,'Work Packages'!$P$5:$P$200,0)),"")</f>
        <v>1.08.01</v>
      </c>
      <c r="C174" s="3" t="str">
        <f>'FSL Source'!B174</f>
        <v>ADJ-RD04-008</v>
      </c>
      <c r="D174" s="3" t="str">
        <f>'FSL Source'!C174</f>
        <v>Điều chỉnh, Tạm dừng &amp; Dừng</v>
      </c>
      <c r="E174" s="3" t="str">
        <f>'FSL Source'!D174</f>
        <v>Điều chỉnh nhiệm vụ</v>
      </c>
      <c r="F174" s="4" t="str">
        <f>'FSL Source'!E174</f>
        <v>Hồ sơ điều chỉnh nội dung/dự toán không tăng tổng cấp Cơ sở</v>
      </c>
      <c r="G174" s="4" t="str">
        <f>'FSL Source'!F174</f>
        <v>Xem danh sách Hồ sơ điều chỉnh nội dung/dự toán không tăng tổng cấp Cơ sở</v>
      </c>
      <c r="H174" s="4" t="str">
        <f>'FSL Source'!G174</f>
        <v>Tra cứu danh sách, phân trang, sắp xếp và lọc Hồ sơ điều chỉnh nội dung/dự toán không tăng tổng cấp Cơ sở theo các tiêu chí nghiệp vụ.</v>
      </c>
      <c r="I174" s="3" t="str">
        <f>'FSL Source'!H174</f>
        <v>Chủ nhiệm/Cán bộ KHCN</v>
      </c>
      <c r="J174" s="3" t="str">
        <f>'FSL Source'!I174</f>
        <v>Nghiệp vụ</v>
      </c>
      <c r="K174" s="3" t="str">
        <f>'FSL Source'!J174</f>
        <v>RD04.02</v>
      </c>
      <c r="L174" s="3" t="str">
        <f>'FSL Source'!K174</f>
        <v>CAP-14</v>
      </c>
      <c r="M174" s="3" t="str">
        <f>'FSL Source'!L174</f>
        <v>Must</v>
      </c>
      <c r="N174" s="3" t="str">
        <f>'FSL Source'!M174</f>
        <v>Pha 2</v>
      </c>
      <c r="O174" s="3" t="str">
        <f>'FSL Source'!N174</f>
        <v>Đề xuất trong phạm vi</v>
      </c>
      <c r="P174" s="4" t="str">
        <f>'FSL Source'!O174</f>
        <v>Hiệu chỉnh theo BRD 0.9</v>
      </c>
      <c r="Q174" s="4" t="str">
        <f>'FSL Source'!P174</f>
        <v>Danh sách hiển thị đúng phạm vi dữ liệu và hỗ trợ lọc/xuất theo quyền.</v>
      </c>
      <c r="R174" s="4">
        <f>'FSL Source'!Q174</f>
        <v>0</v>
      </c>
      <c r="S174" s="3"/>
      <c r="T174" s="3"/>
      <c r="U174" s="8"/>
      <c r="V174" s="8"/>
      <c r="W174" s="9"/>
      <c r="X174" s="9" t="str">
        <f t="shared" si="2"/>
        <v/>
      </c>
      <c r="Y174" s="3" t="s">
        <v>1860</v>
      </c>
      <c r="Z174" s="10">
        <v>0</v>
      </c>
      <c r="AA174" s="4"/>
    </row>
    <row r="175" spans="1:27" ht="38.25">
      <c r="A175" s="3" t="str">
        <f>B175&amp;"."&amp;TEXT(COUNTIF($B$5:B175,B175),"000")</f>
        <v>1.08.01.009</v>
      </c>
      <c r="B175" s="3" t="str">
        <f>IFERROR(INDEX('Work Packages'!$A$5:$A$200,MATCH(D175&amp;"|"&amp;E175,'Work Packages'!$P$5:$P$200,0)),"")</f>
        <v>1.08.01</v>
      </c>
      <c r="C175" s="3" t="str">
        <f>'FSL Source'!B175</f>
        <v>ADJ-RD04-009</v>
      </c>
      <c r="D175" s="3" t="str">
        <f>'FSL Source'!C175</f>
        <v>Điều chỉnh, Tạm dừng &amp; Dừng</v>
      </c>
      <c r="E175" s="3" t="str">
        <f>'FSL Source'!D175</f>
        <v>Điều chỉnh nhiệm vụ</v>
      </c>
      <c r="F175" s="4" t="str">
        <f>'FSL Source'!E175</f>
        <v>Hồ sơ điều chỉnh nội dung/dự toán không tăng tổng cấp Cơ sở</v>
      </c>
      <c r="G175" s="4" t="str">
        <f>'FSL Source'!F175</f>
        <v>Tạo mới Hồ sơ điều chỉnh nội dung/dự toán không tăng tổng cấp Cơ sở</v>
      </c>
      <c r="H175" s="4" t="str">
        <f>'FSL Source'!G175</f>
        <v>Khởi tạo Hồ sơ điều chỉnh nội dung/dự toán không tăng tổng cấp Cơ sở, kiểm tra dữ liệu bắt buộc và lưu nháp trước khi hoàn tất.</v>
      </c>
      <c r="I175" s="3" t="str">
        <f>'FSL Source'!H175</f>
        <v>Chủ nhiệm/Cán bộ KHCN</v>
      </c>
      <c r="J175" s="3" t="str">
        <f>'FSL Source'!I175</f>
        <v>Nghiệp vụ</v>
      </c>
      <c r="K175" s="3" t="str">
        <f>'FSL Source'!J175</f>
        <v>RD04.02</v>
      </c>
      <c r="L175" s="3" t="str">
        <f>'FSL Source'!K175</f>
        <v>CAP-14</v>
      </c>
      <c r="M175" s="3" t="str">
        <f>'FSL Source'!L175</f>
        <v>Must</v>
      </c>
      <c r="N175" s="3" t="str">
        <f>'FSL Source'!M175</f>
        <v>Pha 2</v>
      </c>
      <c r="O175" s="3" t="str">
        <f>'FSL Source'!N175</f>
        <v>Đề xuất trong phạm vi</v>
      </c>
      <c r="P175" s="4" t="str">
        <f>'FSL Source'!O175</f>
        <v>Hiệu chỉnh theo BRD 0.9</v>
      </c>
      <c r="Q175" s="4" t="str">
        <f>'FSL Source'!P175</f>
        <v>Dữ liệu hợp lệ được lưu; lỗi validation hiển thị tại trường tương ứng.</v>
      </c>
      <c r="R175" s="4">
        <f>'FSL Source'!Q175</f>
        <v>0</v>
      </c>
      <c r="S175" s="3"/>
      <c r="T175" s="3"/>
      <c r="U175" s="8"/>
      <c r="V175" s="8"/>
      <c r="W175" s="9"/>
      <c r="X175" s="9" t="str">
        <f t="shared" si="2"/>
        <v/>
      </c>
      <c r="Y175" s="3" t="s">
        <v>1860</v>
      </c>
      <c r="Z175" s="10">
        <v>0</v>
      </c>
      <c r="AA175" s="4"/>
    </row>
    <row r="176" spans="1:27" ht="38.25">
      <c r="A176" s="3" t="str">
        <f>B176&amp;"."&amp;TEXT(COUNTIF($B$5:B176,B176),"000")</f>
        <v>1.08.01.010</v>
      </c>
      <c r="B176" s="3" t="str">
        <f>IFERROR(INDEX('Work Packages'!$A$5:$A$200,MATCH(D176&amp;"|"&amp;E176,'Work Packages'!$P$5:$P$200,0)),"")</f>
        <v>1.08.01</v>
      </c>
      <c r="C176" s="3" t="str">
        <f>'FSL Source'!B176</f>
        <v>ADJ-RD04-010</v>
      </c>
      <c r="D176" s="3" t="str">
        <f>'FSL Source'!C176</f>
        <v>Điều chỉnh, Tạm dừng &amp; Dừng</v>
      </c>
      <c r="E176" s="3" t="str">
        <f>'FSL Source'!D176</f>
        <v>Điều chỉnh nhiệm vụ</v>
      </c>
      <c r="F176" s="4" t="str">
        <f>'FSL Source'!E176</f>
        <v>Hồ sơ điều chỉnh nội dung/dự toán không tăng tổng cấp Cơ sở</v>
      </c>
      <c r="G176" s="4" t="str">
        <f>'FSL Source'!F176</f>
        <v>Xem chi tiết Hồ sơ điều chỉnh nội dung/dự toán không tăng tổng cấp Cơ sở</v>
      </c>
      <c r="H176" s="4" t="str">
        <f>'FSL Source'!G176</f>
        <v>Hiển thị thông tin tổng quan, dữ liệu chi tiết, tài liệu liên quan và trạng thái của Hồ sơ điều chỉnh nội dung/dự toán không tăng tổng cấp Cơ sở.</v>
      </c>
      <c r="I176" s="3" t="str">
        <f>'FSL Source'!H176</f>
        <v>Chủ nhiệm/Cán bộ KHCN</v>
      </c>
      <c r="J176" s="3" t="str">
        <f>'FSL Source'!I176</f>
        <v>Nghiệp vụ</v>
      </c>
      <c r="K176" s="3" t="str">
        <f>'FSL Source'!J176</f>
        <v>RD04.02</v>
      </c>
      <c r="L176" s="3" t="str">
        <f>'FSL Source'!K176</f>
        <v>CAP-14</v>
      </c>
      <c r="M176" s="3" t="str">
        <f>'FSL Source'!L176</f>
        <v>Must</v>
      </c>
      <c r="N176" s="3" t="str">
        <f>'FSL Source'!M176</f>
        <v>Pha 2</v>
      </c>
      <c r="O176" s="3" t="str">
        <f>'FSL Source'!N176</f>
        <v>Đề xuất trong phạm vi</v>
      </c>
      <c r="P176" s="4" t="str">
        <f>'FSL Source'!O176</f>
        <v>Hiệu chỉnh theo BRD 0.9</v>
      </c>
      <c r="Q176" s="4" t="str">
        <f>'FSL Source'!P176</f>
        <v>Thông tin hiển thị đúng phiên bản và quyền truy cập.</v>
      </c>
      <c r="R176" s="4">
        <f>'FSL Source'!Q176</f>
        <v>0</v>
      </c>
      <c r="S176" s="3"/>
      <c r="T176" s="3"/>
      <c r="U176" s="8"/>
      <c r="V176" s="8"/>
      <c r="W176" s="9"/>
      <c r="X176" s="9" t="str">
        <f t="shared" si="2"/>
        <v/>
      </c>
      <c r="Y176" s="3" t="s">
        <v>1860</v>
      </c>
      <c r="Z176" s="10">
        <v>0</v>
      </c>
      <c r="AA176" s="4"/>
    </row>
    <row r="177" spans="1:27" ht="38.25">
      <c r="A177" s="3" t="str">
        <f>B177&amp;"."&amp;TEXT(COUNTIF($B$5:B177,B177),"000")</f>
        <v>1.08.01.011</v>
      </c>
      <c r="B177" s="3" t="str">
        <f>IFERROR(INDEX('Work Packages'!$A$5:$A$200,MATCH(D177&amp;"|"&amp;E177,'Work Packages'!$P$5:$P$200,0)),"")</f>
        <v>1.08.01</v>
      </c>
      <c r="C177" s="3" t="str">
        <f>'FSL Source'!B177</f>
        <v>ADJ-RD04-011</v>
      </c>
      <c r="D177" s="3" t="str">
        <f>'FSL Source'!C177</f>
        <v>Điều chỉnh, Tạm dừng &amp; Dừng</v>
      </c>
      <c r="E177" s="3" t="str">
        <f>'FSL Source'!D177</f>
        <v>Điều chỉnh nhiệm vụ</v>
      </c>
      <c r="F177" s="4" t="str">
        <f>'FSL Source'!E177</f>
        <v>Hồ sơ điều chỉnh nội dung/dự toán không tăng tổng cấp Cơ sở</v>
      </c>
      <c r="G177" s="4" t="str">
        <f>'FSL Source'!F177</f>
        <v>Chỉnh sửa Hồ sơ điều chỉnh nội dung/dự toán không tăng tổng cấp Cơ sở</v>
      </c>
      <c r="H177" s="4" t="str">
        <f>'FSL Source'!G177</f>
        <v>Cập nhật Hồ sơ điều chỉnh nội dung/dự toán không tăng tổng cấp Cơ sở khi trạng thái và quyền người dùng cho phép; kiểm soát xung đột cập nhật.</v>
      </c>
      <c r="I177" s="3" t="str">
        <f>'FSL Source'!H177</f>
        <v>Chủ nhiệm/Cán bộ KHCN</v>
      </c>
      <c r="J177" s="3" t="str">
        <f>'FSL Source'!I177</f>
        <v>Nghiệp vụ</v>
      </c>
      <c r="K177" s="3" t="str">
        <f>'FSL Source'!J177</f>
        <v>RD04.02</v>
      </c>
      <c r="L177" s="3" t="str">
        <f>'FSL Source'!K177</f>
        <v>CAP-14</v>
      </c>
      <c r="M177" s="3" t="str">
        <f>'FSL Source'!L177</f>
        <v>Must</v>
      </c>
      <c r="N177" s="3" t="str">
        <f>'FSL Source'!M177</f>
        <v>Pha 2</v>
      </c>
      <c r="O177" s="3" t="str">
        <f>'FSL Source'!N177</f>
        <v>Đề xuất trong phạm vi</v>
      </c>
      <c r="P177" s="4" t="str">
        <f>'FSL Source'!O177</f>
        <v>Hiệu chỉnh theo BRD 0.9</v>
      </c>
      <c r="Q177" s="4" t="str">
        <f>'FSL Source'!P177</f>
        <v>Chỉ trường được phép sửa có hiệu lực và thay đổi được ghi lịch sử.</v>
      </c>
      <c r="R177" s="4">
        <f>'FSL Source'!Q177</f>
        <v>0</v>
      </c>
      <c r="S177" s="3"/>
      <c r="T177" s="3"/>
      <c r="U177" s="8"/>
      <c r="V177" s="8"/>
      <c r="W177" s="9"/>
      <c r="X177" s="9" t="str">
        <f t="shared" si="2"/>
        <v/>
      </c>
      <c r="Y177" s="3" t="s">
        <v>1860</v>
      </c>
      <c r="Z177" s="10">
        <v>0</v>
      </c>
      <c r="AA177" s="4"/>
    </row>
    <row r="178" spans="1:27" ht="38.25">
      <c r="A178" s="3" t="str">
        <f>B178&amp;"."&amp;TEXT(COUNTIF($B$5:B178,B178),"000")</f>
        <v>1.08.01.012</v>
      </c>
      <c r="B178" s="3" t="str">
        <f>IFERROR(INDEX('Work Packages'!$A$5:$A$200,MATCH(D178&amp;"|"&amp;E178,'Work Packages'!$P$5:$P$200,0)),"")</f>
        <v>1.08.01</v>
      </c>
      <c r="C178" s="3" t="str">
        <f>'FSL Source'!B178</f>
        <v>ADJ-RD04-012</v>
      </c>
      <c r="D178" s="3" t="str">
        <f>'FSL Source'!C178</f>
        <v>Điều chỉnh, Tạm dừng &amp; Dừng</v>
      </c>
      <c r="E178" s="3" t="str">
        <f>'FSL Source'!D178</f>
        <v>Điều chỉnh nhiệm vụ</v>
      </c>
      <c r="F178" s="4" t="str">
        <f>'FSL Source'!E178</f>
        <v>Hồ sơ điều chỉnh nội dung/dự toán không tăng tổng cấp Cơ sở</v>
      </c>
      <c r="G178" s="4" t="str">
        <f>'FSL Source'!F178</f>
        <v>Xóa/Ngừng sử dụng Hồ sơ điều chỉnh nội dung/dự toán không tăng tổng cấp Cơ sở</v>
      </c>
      <c r="H178" s="4" t="str">
        <f>'FSL Source'!G178</f>
        <v>Xóa logic hoặc ngừng sử dụng Hồ sơ điều chỉnh nội dung/dự toán không tăng tổng cấp Cơ sở sau khi kiểm tra ràng buộc tham chiếu.</v>
      </c>
      <c r="I178" s="3" t="str">
        <f>'FSL Source'!H178</f>
        <v>Quản trị/Cán bộ nghiệp vụ</v>
      </c>
      <c r="J178" s="3" t="str">
        <f>'FSL Source'!I178</f>
        <v>Nghiệp vụ</v>
      </c>
      <c r="K178" s="3" t="str">
        <f>'FSL Source'!J178</f>
        <v>RD04.02</v>
      </c>
      <c r="L178" s="3" t="str">
        <f>'FSL Source'!K178</f>
        <v>CAP-14</v>
      </c>
      <c r="M178" s="3" t="str">
        <f>'FSL Source'!L178</f>
        <v>Should</v>
      </c>
      <c r="N178" s="3" t="str">
        <f>'FSL Source'!M178</f>
        <v>Pha 2</v>
      </c>
      <c r="O178" s="3" t="str">
        <f>'FSL Source'!N178</f>
        <v>Đề xuất trong phạm vi</v>
      </c>
      <c r="P178" s="4" t="str">
        <f>'FSL Source'!O178</f>
        <v>Hiệu chỉnh theo BRD 0.9</v>
      </c>
      <c r="Q178" s="4" t="str">
        <f>'FSL Source'!P178</f>
        <v>Không xóa vật lý dữ liệu đã phát sinh giao dịch; cảnh báo rõ quan hệ phụ thuộc.</v>
      </c>
      <c r="R178" s="4">
        <f>'FSL Source'!Q178</f>
        <v>0</v>
      </c>
      <c r="S178" s="3"/>
      <c r="T178" s="3"/>
      <c r="U178" s="8"/>
      <c r="V178" s="8"/>
      <c r="W178" s="9"/>
      <c r="X178" s="9" t="str">
        <f t="shared" si="2"/>
        <v/>
      </c>
      <c r="Y178" s="3" t="s">
        <v>1860</v>
      </c>
      <c r="Z178" s="10">
        <v>0</v>
      </c>
      <c r="AA178" s="4"/>
    </row>
    <row r="179" spans="1:27" ht="38.25">
      <c r="A179" s="3" t="str">
        <f>B179&amp;"."&amp;TEXT(COUNTIF($B$5:B179,B179),"000")</f>
        <v>1.08.01.013</v>
      </c>
      <c r="B179" s="3" t="str">
        <f>IFERROR(INDEX('Work Packages'!$A$5:$A$200,MATCH(D179&amp;"|"&amp;E179,'Work Packages'!$P$5:$P$200,0)),"")</f>
        <v>1.08.01</v>
      </c>
      <c r="C179" s="3" t="str">
        <f>'FSL Source'!B179</f>
        <v>ADJ-RD04-013</v>
      </c>
      <c r="D179" s="3" t="str">
        <f>'FSL Source'!C179</f>
        <v>Điều chỉnh, Tạm dừng &amp; Dừng</v>
      </c>
      <c r="E179" s="3" t="str">
        <f>'FSL Source'!D179</f>
        <v>Điều chỉnh nhiệm vụ</v>
      </c>
      <c r="F179" s="4" t="str">
        <f>'FSL Source'!E179</f>
        <v>Hồ sơ điều chỉnh nội dung/dự toán không tăng tổng cấp Cơ sở</v>
      </c>
      <c r="G179" s="4" t="str">
        <f>'FSL Source'!F179</f>
        <v>Trình duyệt Hồ sơ điều chỉnh nội dung/dự toán không tăng tổng cấp Cơ sở</v>
      </c>
      <c r="H179" s="4" t="str">
        <f>'FSL Source'!G179</f>
        <v>Kiểm tra điều kiện, khóa phiên bản trình và khởi tạo/tiếp tục quy trình phê duyệt Hồ sơ điều chỉnh nội dung/dự toán không tăng tổng cấp Cơ sở.</v>
      </c>
      <c r="I179" s="3" t="str">
        <f>'FSL Source'!H179</f>
        <v>Người lập/Chủ nhiệm nhiệm vụ</v>
      </c>
      <c r="J179" s="3" t="str">
        <f>'FSL Source'!I179</f>
        <v>Workflow</v>
      </c>
      <c r="K179" s="3" t="str">
        <f>'FSL Source'!J179</f>
        <v>RD04.02</v>
      </c>
      <c r="L179" s="3" t="str">
        <f>'FSL Source'!K179</f>
        <v>CAP-14</v>
      </c>
      <c r="M179" s="3" t="str">
        <f>'FSL Source'!L179</f>
        <v>Must</v>
      </c>
      <c r="N179" s="3" t="str">
        <f>'FSL Source'!M179</f>
        <v>Pha 2</v>
      </c>
      <c r="O179" s="3" t="str">
        <f>'FSL Source'!N179</f>
        <v>Đề xuất trong phạm vi</v>
      </c>
      <c r="P179" s="4" t="str">
        <f>'FSL Source'!O179</f>
        <v>Hiệu chỉnh theo BRD 0.9</v>
      </c>
      <c r="Q179" s="4" t="str">
        <f>'FSL Source'!P179</f>
        <v>Tạo đúng process instance, business key và task đầu tiên; không submit trùng.</v>
      </c>
      <c r="R179" s="4">
        <f>'FSL Source'!Q179</f>
        <v>0</v>
      </c>
      <c r="S179" s="3"/>
      <c r="T179" s="3"/>
      <c r="U179" s="8"/>
      <c r="V179" s="8"/>
      <c r="W179" s="9"/>
      <c r="X179" s="9" t="str">
        <f t="shared" si="2"/>
        <v/>
      </c>
      <c r="Y179" s="3" t="s">
        <v>1860</v>
      </c>
      <c r="Z179" s="10">
        <v>0</v>
      </c>
      <c r="AA179" s="4"/>
    </row>
    <row r="180" spans="1:27" ht="38.25">
      <c r="A180" s="3" t="str">
        <f>B180&amp;"."&amp;TEXT(COUNTIF($B$5:B180,B180),"000")</f>
        <v>1.08.01.014</v>
      </c>
      <c r="B180" s="3" t="str">
        <f>IFERROR(INDEX('Work Packages'!$A$5:$A$200,MATCH(D180&amp;"|"&amp;E180,'Work Packages'!$P$5:$P$200,0)),"")</f>
        <v>1.08.01</v>
      </c>
      <c r="C180" s="3" t="str">
        <f>'FSL Source'!B180</f>
        <v>ADJ-RD04-014</v>
      </c>
      <c r="D180" s="3" t="str">
        <f>'FSL Source'!C180</f>
        <v>Điều chỉnh, Tạm dừng &amp; Dừng</v>
      </c>
      <c r="E180" s="3" t="str">
        <f>'FSL Source'!D180</f>
        <v>Điều chỉnh nhiệm vụ</v>
      </c>
      <c r="F180" s="4" t="str">
        <f>'FSL Source'!E180</f>
        <v>Hồ sơ điều chỉnh nội dung/dự toán không tăng tổng cấp Cơ sở</v>
      </c>
      <c r="G180" s="4" t="str">
        <f>'FSL Source'!F180</f>
        <v>Xem lịch sử Hồ sơ điều chỉnh nội dung/dự toán không tăng tổng cấp Cơ sở</v>
      </c>
      <c r="H180" s="4" t="str">
        <f>'FSL Source'!G180</f>
        <v>Theo dõi phiên bản, thay đổi dữ liệu, người thực hiện và lịch sử xử lý của Hồ sơ điều chỉnh nội dung/dự toán không tăng tổng cấp Cơ sở.</v>
      </c>
      <c r="I180" s="3" t="str">
        <f>'FSL Source'!H180</f>
        <v>Cán bộ nghiệp vụ/Quản trị</v>
      </c>
      <c r="J180" s="3" t="str">
        <f>'FSL Source'!I180</f>
        <v>Audit</v>
      </c>
      <c r="K180" s="3" t="str">
        <f>'FSL Source'!J180</f>
        <v>RD04.02</v>
      </c>
      <c r="L180" s="3" t="str">
        <f>'FSL Source'!K180</f>
        <v>CAP-14</v>
      </c>
      <c r="M180" s="3" t="str">
        <f>'FSL Source'!L180</f>
        <v>Must</v>
      </c>
      <c r="N180" s="3" t="str">
        <f>'FSL Source'!M180</f>
        <v>Pha 2</v>
      </c>
      <c r="O180" s="3" t="str">
        <f>'FSL Source'!N180</f>
        <v>Đề xuất trong phạm vi</v>
      </c>
      <c r="P180" s="4" t="str">
        <f>'FSL Source'!O180</f>
        <v>Hiệu chỉnh theo BRD 0.9</v>
      </c>
      <c r="Q180" s="4" t="str">
        <f>'FSL Source'!P180</f>
        <v>Lịch sử không thể sửa và truy vết được trước/sau của thay đổi quan trọng.</v>
      </c>
      <c r="R180" s="4">
        <f>'FSL Source'!Q180</f>
        <v>0</v>
      </c>
      <c r="S180" s="3"/>
      <c r="T180" s="3"/>
      <c r="U180" s="8"/>
      <c r="V180" s="8"/>
      <c r="W180" s="9"/>
      <c r="X180" s="9" t="str">
        <f t="shared" si="2"/>
        <v/>
      </c>
      <c r="Y180" s="3" t="s">
        <v>1860</v>
      </c>
      <c r="Z180" s="10">
        <v>0</v>
      </c>
      <c r="AA180" s="4"/>
    </row>
    <row r="181" spans="1:27" ht="51">
      <c r="A181" s="3" t="str">
        <f>B181&amp;"."&amp;TEXT(COUNTIF($B$5:B181,B181),"000")</f>
        <v>1.08.01.015</v>
      </c>
      <c r="B181" s="3" t="str">
        <f>IFERROR(INDEX('Work Packages'!$A$5:$A$200,MATCH(D181&amp;"|"&amp;E181,'Work Packages'!$P$5:$P$200,0)),"")</f>
        <v>1.08.01</v>
      </c>
      <c r="C181" s="3" t="str">
        <f>'FSL Source'!B181</f>
        <v>ADJ-RD04-015</v>
      </c>
      <c r="D181" s="3" t="str">
        <f>'FSL Source'!C181</f>
        <v>Điều chỉnh, Tạm dừng &amp; Dừng</v>
      </c>
      <c r="E181" s="3" t="str">
        <f>'FSL Source'!D181</f>
        <v>Điều chỉnh nhiệm vụ</v>
      </c>
      <c r="F181" s="4" t="str">
        <f>'FSL Source'!E181</f>
        <v>Hồ sơ điều chỉnh mục tiêu/tăng dự toán không vượt chủ trương cấp Cơ sở</v>
      </c>
      <c r="G181" s="4" t="str">
        <f>'FSL Source'!F181</f>
        <v>Xem danh sách Hồ sơ điều chỉnh mục tiêu/tăng dự toán không vượt chủ trương cấp Cơ sở</v>
      </c>
      <c r="H181" s="4" t="str">
        <f>'FSL Source'!G181</f>
        <v>Tra cứu danh sách, phân trang, sắp xếp và lọc Hồ sơ điều chỉnh mục tiêu/tăng dự toán không vượt chủ trương cấp Cơ sở theo các tiêu chí nghiệp vụ.</v>
      </c>
      <c r="I181" s="3" t="str">
        <f>'FSL Source'!H181</f>
        <v>Chủ nhiệm/Cán bộ KHCN</v>
      </c>
      <c r="J181" s="3" t="str">
        <f>'FSL Source'!I181</f>
        <v>Nghiệp vụ</v>
      </c>
      <c r="K181" s="3" t="str">
        <f>'FSL Source'!J181</f>
        <v>RD04.03</v>
      </c>
      <c r="L181" s="3" t="str">
        <f>'FSL Source'!K181</f>
        <v>CAP-14</v>
      </c>
      <c r="M181" s="3" t="str">
        <f>'FSL Source'!L181</f>
        <v>Must</v>
      </c>
      <c r="N181" s="3" t="str">
        <f>'FSL Source'!M181</f>
        <v>Pha 2</v>
      </c>
      <c r="O181" s="3" t="str">
        <f>'FSL Source'!N181</f>
        <v>Đề xuất trong phạm vi</v>
      </c>
      <c r="P181" s="4" t="str">
        <f>'FSL Source'!O181</f>
        <v>Hiệu chỉnh theo BRD 0.9</v>
      </c>
      <c r="Q181" s="4" t="str">
        <f>'FSL Source'!P181</f>
        <v>Danh sách hiển thị đúng phạm vi dữ liệu và hỗ trợ lọc/xuất theo quyền.</v>
      </c>
      <c r="R181" s="4">
        <f>'FSL Source'!Q181</f>
        <v>0</v>
      </c>
      <c r="S181" s="3"/>
      <c r="T181" s="3"/>
      <c r="U181" s="8"/>
      <c r="V181" s="8"/>
      <c r="W181" s="9"/>
      <c r="X181" s="9" t="str">
        <f t="shared" si="2"/>
        <v/>
      </c>
      <c r="Y181" s="3" t="s">
        <v>1860</v>
      </c>
      <c r="Z181" s="10">
        <v>0</v>
      </c>
      <c r="AA181" s="4"/>
    </row>
    <row r="182" spans="1:27" ht="51">
      <c r="A182" s="3" t="str">
        <f>B182&amp;"."&amp;TEXT(COUNTIF($B$5:B182,B182),"000")</f>
        <v>1.08.01.016</v>
      </c>
      <c r="B182" s="3" t="str">
        <f>IFERROR(INDEX('Work Packages'!$A$5:$A$200,MATCH(D182&amp;"|"&amp;E182,'Work Packages'!$P$5:$P$200,0)),"")</f>
        <v>1.08.01</v>
      </c>
      <c r="C182" s="3" t="str">
        <f>'FSL Source'!B182</f>
        <v>ADJ-RD04-016</v>
      </c>
      <c r="D182" s="3" t="str">
        <f>'FSL Source'!C182</f>
        <v>Điều chỉnh, Tạm dừng &amp; Dừng</v>
      </c>
      <c r="E182" s="3" t="str">
        <f>'FSL Source'!D182</f>
        <v>Điều chỉnh nhiệm vụ</v>
      </c>
      <c r="F182" s="4" t="str">
        <f>'FSL Source'!E182</f>
        <v>Hồ sơ điều chỉnh mục tiêu/tăng dự toán không vượt chủ trương cấp Cơ sở</v>
      </c>
      <c r="G182" s="4" t="str">
        <f>'FSL Source'!F182</f>
        <v>Tạo mới Hồ sơ điều chỉnh mục tiêu/tăng dự toán không vượt chủ trương cấp Cơ sở</v>
      </c>
      <c r="H182" s="4" t="str">
        <f>'FSL Source'!G182</f>
        <v>Khởi tạo Hồ sơ điều chỉnh mục tiêu/tăng dự toán không vượt chủ trương cấp Cơ sở, kiểm tra dữ liệu bắt buộc và lưu nháp trước khi hoàn tất.</v>
      </c>
      <c r="I182" s="3" t="str">
        <f>'FSL Source'!H182</f>
        <v>Chủ nhiệm/Cán bộ KHCN</v>
      </c>
      <c r="J182" s="3" t="str">
        <f>'FSL Source'!I182</f>
        <v>Nghiệp vụ</v>
      </c>
      <c r="K182" s="3" t="str">
        <f>'FSL Source'!J182</f>
        <v>RD04.03</v>
      </c>
      <c r="L182" s="3" t="str">
        <f>'FSL Source'!K182</f>
        <v>CAP-14</v>
      </c>
      <c r="M182" s="3" t="str">
        <f>'FSL Source'!L182</f>
        <v>Must</v>
      </c>
      <c r="N182" s="3" t="str">
        <f>'FSL Source'!M182</f>
        <v>Pha 2</v>
      </c>
      <c r="O182" s="3" t="str">
        <f>'FSL Source'!N182</f>
        <v>Đề xuất trong phạm vi</v>
      </c>
      <c r="P182" s="4" t="str">
        <f>'FSL Source'!O182</f>
        <v>Hiệu chỉnh theo BRD 0.9</v>
      </c>
      <c r="Q182" s="4" t="str">
        <f>'FSL Source'!P182</f>
        <v>Dữ liệu hợp lệ được lưu; lỗi validation hiển thị tại trường tương ứng.</v>
      </c>
      <c r="R182" s="4">
        <f>'FSL Source'!Q182</f>
        <v>0</v>
      </c>
      <c r="S182" s="3"/>
      <c r="T182" s="3"/>
      <c r="U182" s="8"/>
      <c r="V182" s="8"/>
      <c r="W182" s="9"/>
      <c r="X182" s="9" t="str">
        <f t="shared" si="2"/>
        <v/>
      </c>
      <c r="Y182" s="3" t="s">
        <v>1860</v>
      </c>
      <c r="Z182" s="10">
        <v>0</v>
      </c>
      <c r="AA182" s="4"/>
    </row>
    <row r="183" spans="1:27" ht="51">
      <c r="A183" s="3" t="str">
        <f>B183&amp;"."&amp;TEXT(COUNTIF($B$5:B183,B183),"000")</f>
        <v>1.08.01.017</v>
      </c>
      <c r="B183" s="3" t="str">
        <f>IFERROR(INDEX('Work Packages'!$A$5:$A$200,MATCH(D183&amp;"|"&amp;E183,'Work Packages'!$P$5:$P$200,0)),"")</f>
        <v>1.08.01</v>
      </c>
      <c r="C183" s="3" t="str">
        <f>'FSL Source'!B183</f>
        <v>ADJ-RD04-017</v>
      </c>
      <c r="D183" s="3" t="str">
        <f>'FSL Source'!C183</f>
        <v>Điều chỉnh, Tạm dừng &amp; Dừng</v>
      </c>
      <c r="E183" s="3" t="str">
        <f>'FSL Source'!D183</f>
        <v>Điều chỉnh nhiệm vụ</v>
      </c>
      <c r="F183" s="4" t="str">
        <f>'FSL Source'!E183</f>
        <v>Hồ sơ điều chỉnh mục tiêu/tăng dự toán không vượt chủ trương cấp Cơ sở</v>
      </c>
      <c r="G183" s="4" t="str">
        <f>'FSL Source'!F183</f>
        <v>Xem chi tiết Hồ sơ điều chỉnh mục tiêu/tăng dự toán không vượt chủ trương cấp Cơ sở</v>
      </c>
      <c r="H183" s="4" t="str">
        <f>'FSL Source'!G183</f>
        <v>Hiển thị thông tin tổng quan, dữ liệu chi tiết, tài liệu liên quan và trạng thái của Hồ sơ điều chỉnh mục tiêu/tăng dự toán không vượt chủ trương cấp Cơ sở.</v>
      </c>
      <c r="I183" s="3" t="str">
        <f>'FSL Source'!H183</f>
        <v>Chủ nhiệm/Cán bộ KHCN</v>
      </c>
      <c r="J183" s="3" t="str">
        <f>'FSL Source'!I183</f>
        <v>Nghiệp vụ</v>
      </c>
      <c r="K183" s="3" t="str">
        <f>'FSL Source'!J183</f>
        <v>RD04.03</v>
      </c>
      <c r="L183" s="3" t="str">
        <f>'FSL Source'!K183</f>
        <v>CAP-14</v>
      </c>
      <c r="M183" s="3" t="str">
        <f>'FSL Source'!L183</f>
        <v>Must</v>
      </c>
      <c r="N183" s="3" t="str">
        <f>'FSL Source'!M183</f>
        <v>Pha 2</v>
      </c>
      <c r="O183" s="3" t="str">
        <f>'FSL Source'!N183</f>
        <v>Đề xuất trong phạm vi</v>
      </c>
      <c r="P183" s="4" t="str">
        <f>'FSL Source'!O183</f>
        <v>Hiệu chỉnh theo BRD 0.9</v>
      </c>
      <c r="Q183" s="4" t="str">
        <f>'FSL Source'!P183</f>
        <v>Thông tin hiển thị đúng phiên bản và quyền truy cập.</v>
      </c>
      <c r="R183" s="4">
        <f>'FSL Source'!Q183</f>
        <v>0</v>
      </c>
      <c r="S183" s="3"/>
      <c r="T183" s="3"/>
      <c r="U183" s="8"/>
      <c r="V183" s="8"/>
      <c r="W183" s="9"/>
      <c r="X183" s="9" t="str">
        <f t="shared" si="2"/>
        <v/>
      </c>
      <c r="Y183" s="3" t="s">
        <v>1860</v>
      </c>
      <c r="Z183" s="10">
        <v>0</v>
      </c>
      <c r="AA183" s="4"/>
    </row>
    <row r="184" spans="1:27" ht="51">
      <c r="A184" s="3" t="str">
        <f>B184&amp;"."&amp;TEXT(COUNTIF($B$5:B184,B184),"000")</f>
        <v>1.08.01.018</v>
      </c>
      <c r="B184" s="3" t="str">
        <f>IFERROR(INDEX('Work Packages'!$A$5:$A$200,MATCH(D184&amp;"|"&amp;E184,'Work Packages'!$P$5:$P$200,0)),"")</f>
        <v>1.08.01</v>
      </c>
      <c r="C184" s="3" t="str">
        <f>'FSL Source'!B184</f>
        <v>ADJ-RD04-018</v>
      </c>
      <c r="D184" s="3" t="str">
        <f>'FSL Source'!C184</f>
        <v>Điều chỉnh, Tạm dừng &amp; Dừng</v>
      </c>
      <c r="E184" s="3" t="str">
        <f>'FSL Source'!D184</f>
        <v>Điều chỉnh nhiệm vụ</v>
      </c>
      <c r="F184" s="4" t="str">
        <f>'FSL Source'!E184</f>
        <v>Hồ sơ điều chỉnh mục tiêu/tăng dự toán không vượt chủ trương cấp Cơ sở</v>
      </c>
      <c r="G184" s="4" t="str">
        <f>'FSL Source'!F184</f>
        <v>Chỉnh sửa Hồ sơ điều chỉnh mục tiêu/tăng dự toán không vượt chủ trương cấp Cơ sở</v>
      </c>
      <c r="H184" s="4" t="str">
        <f>'FSL Source'!G184</f>
        <v>Cập nhật Hồ sơ điều chỉnh mục tiêu/tăng dự toán không vượt chủ trương cấp Cơ sở khi trạng thái và quyền người dùng cho phép; kiểm soát xung đột cập nhật.</v>
      </c>
      <c r="I184" s="3" t="str">
        <f>'FSL Source'!H184</f>
        <v>Chủ nhiệm/Cán bộ KHCN</v>
      </c>
      <c r="J184" s="3" t="str">
        <f>'FSL Source'!I184</f>
        <v>Nghiệp vụ</v>
      </c>
      <c r="K184" s="3" t="str">
        <f>'FSL Source'!J184</f>
        <v>RD04.03</v>
      </c>
      <c r="L184" s="3" t="str">
        <f>'FSL Source'!K184</f>
        <v>CAP-14</v>
      </c>
      <c r="M184" s="3" t="str">
        <f>'FSL Source'!L184</f>
        <v>Must</v>
      </c>
      <c r="N184" s="3" t="str">
        <f>'FSL Source'!M184</f>
        <v>Pha 2</v>
      </c>
      <c r="O184" s="3" t="str">
        <f>'FSL Source'!N184</f>
        <v>Đề xuất trong phạm vi</v>
      </c>
      <c r="P184" s="4" t="str">
        <f>'FSL Source'!O184</f>
        <v>Hiệu chỉnh theo BRD 0.9</v>
      </c>
      <c r="Q184" s="4" t="str">
        <f>'FSL Source'!P184</f>
        <v>Chỉ trường được phép sửa có hiệu lực và thay đổi được ghi lịch sử.</v>
      </c>
      <c r="R184" s="4">
        <f>'FSL Source'!Q184</f>
        <v>0</v>
      </c>
      <c r="S184" s="3"/>
      <c r="T184" s="3"/>
      <c r="U184" s="8"/>
      <c r="V184" s="8"/>
      <c r="W184" s="9"/>
      <c r="X184" s="9" t="str">
        <f t="shared" si="2"/>
        <v/>
      </c>
      <c r="Y184" s="3" t="s">
        <v>1860</v>
      </c>
      <c r="Z184" s="10">
        <v>0</v>
      </c>
      <c r="AA184" s="4"/>
    </row>
    <row r="185" spans="1:27" ht="51">
      <c r="A185" s="3" t="str">
        <f>B185&amp;"."&amp;TEXT(COUNTIF($B$5:B185,B185),"000")</f>
        <v>1.08.01.019</v>
      </c>
      <c r="B185" s="3" t="str">
        <f>IFERROR(INDEX('Work Packages'!$A$5:$A$200,MATCH(D185&amp;"|"&amp;E185,'Work Packages'!$P$5:$P$200,0)),"")</f>
        <v>1.08.01</v>
      </c>
      <c r="C185" s="3" t="str">
        <f>'FSL Source'!B185</f>
        <v>ADJ-RD04-019</v>
      </c>
      <c r="D185" s="3" t="str">
        <f>'FSL Source'!C185</f>
        <v>Điều chỉnh, Tạm dừng &amp; Dừng</v>
      </c>
      <c r="E185" s="3" t="str">
        <f>'FSL Source'!D185</f>
        <v>Điều chỉnh nhiệm vụ</v>
      </c>
      <c r="F185" s="4" t="str">
        <f>'FSL Source'!E185</f>
        <v>Hồ sơ điều chỉnh mục tiêu/tăng dự toán không vượt chủ trương cấp Cơ sở</v>
      </c>
      <c r="G185" s="4" t="str">
        <f>'FSL Source'!F185</f>
        <v>Xóa/Ngừng sử dụng Hồ sơ điều chỉnh mục tiêu/tăng dự toán không vượt chủ trương cấp Cơ sở</v>
      </c>
      <c r="H185" s="4" t="str">
        <f>'FSL Source'!G185</f>
        <v>Xóa logic hoặc ngừng sử dụng Hồ sơ điều chỉnh mục tiêu/tăng dự toán không vượt chủ trương cấp Cơ sở sau khi kiểm tra ràng buộc tham chiếu.</v>
      </c>
      <c r="I185" s="3" t="str">
        <f>'FSL Source'!H185</f>
        <v>Quản trị/Cán bộ nghiệp vụ</v>
      </c>
      <c r="J185" s="3" t="str">
        <f>'FSL Source'!I185</f>
        <v>Nghiệp vụ</v>
      </c>
      <c r="K185" s="3" t="str">
        <f>'FSL Source'!J185</f>
        <v>RD04.03</v>
      </c>
      <c r="L185" s="3" t="str">
        <f>'FSL Source'!K185</f>
        <v>CAP-14</v>
      </c>
      <c r="M185" s="3" t="str">
        <f>'FSL Source'!L185</f>
        <v>Should</v>
      </c>
      <c r="N185" s="3" t="str">
        <f>'FSL Source'!M185</f>
        <v>Pha 2</v>
      </c>
      <c r="O185" s="3" t="str">
        <f>'FSL Source'!N185</f>
        <v>Đề xuất trong phạm vi</v>
      </c>
      <c r="P185" s="4" t="str">
        <f>'FSL Source'!O185</f>
        <v>Hiệu chỉnh theo BRD 0.9</v>
      </c>
      <c r="Q185" s="4" t="str">
        <f>'FSL Source'!P185</f>
        <v>Không xóa vật lý dữ liệu đã phát sinh giao dịch; cảnh báo rõ quan hệ phụ thuộc.</v>
      </c>
      <c r="R185" s="4">
        <f>'FSL Source'!Q185</f>
        <v>0</v>
      </c>
      <c r="S185" s="3"/>
      <c r="T185" s="3"/>
      <c r="U185" s="8"/>
      <c r="V185" s="8"/>
      <c r="W185" s="9"/>
      <c r="X185" s="9" t="str">
        <f t="shared" si="2"/>
        <v/>
      </c>
      <c r="Y185" s="3" t="s">
        <v>1860</v>
      </c>
      <c r="Z185" s="10">
        <v>0</v>
      </c>
      <c r="AA185" s="4"/>
    </row>
    <row r="186" spans="1:27" ht="51">
      <c r="A186" s="3" t="str">
        <f>B186&amp;"."&amp;TEXT(COUNTIF($B$5:B186,B186),"000")</f>
        <v>1.08.01.020</v>
      </c>
      <c r="B186" s="3" t="str">
        <f>IFERROR(INDEX('Work Packages'!$A$5:$A$200,MATCH(D186&amp;"|"&amp;E186,'Work Packages'!$P$5:$P$200,0)),"")</f>
        <v>1.08.01</v>
      </c>
      <c r="C186" s="3" t="str">
        <f>'FSL Source'!B186</f>
        <v>ADJ-RD04-020</v>
      </c>
      <c r="D186" s="3" t="str">
        <f>'FSL Source'!C186</f>
        <v>Điều chỉnh, Tạm dừng &amp; Dừng</v>
      </c>
      <c r="E186" s="3" t="str">
        <f>'FSL Source'!D186</f>
        <v>Điều chỉnh nhiệm vụ</v>
      </c>
      <c r="F186" s="4" t="str">
        <f>'FSL Source'!E186</f>
        <v>Hồ sơ điều chỉnh mục tiêu/tăng dự toán không vượt chủ trương cấp Cơ sở</v>
      </c>
      <c r="G186" s="4" t="str">
        <f>'FSL Source'!F186</f>
        <v>Trình duyệt Hồ sơ điều chỉnh mục tiêu/tăng dự toán không vượt chủ trương cấp Cơ sở</v>
      </c>
      <c r="H186" s="4" t="str">
        <f>'FSL Source'!G186</f>
        <v>Kiểm tra điều kiện, khóa phiên bản trình và khởi tạo/tiếp tục quy trình phê duyệt Hồ sơ điều chỉnh mục tiêu/tăng dự toán không vượt chủ trương cấp Cơ sở.</v>
      </c>
      <c r="I186" s="3" t="str">
        <f>'FSL Source'!H186</f>
        <v>Người lập/Chủ nhiệm nhiệm vụ</v>
      </c>
      <c r="J186" s="3" t="str">
        <f>'FSL Source'!I186</f>
        <v>Workflow</v>
      </c>
      <c r="K186" s="3" t="str">
        <f>'FSL Source'!J186</f>
        <v>RD04.03</v>
      </c>
      <c r="L186" s="3" t="str">
        <f>'FSL Source'!K186</f>
        <v>CAP-14</v>
      </c>
      <c r="M186" s="3" t="str">
        <f>'FSL Source'!L186</f>
        <v>Must</v>
      </c>
      <c r="N186" s="3" t="str">
        <f>'FSL Source'!M186</f>
        <v>Pha 2</v>
      </c>
      <c r="O186" s="3" t="str">
        <f>'FSL Source'!N186</f>
        <v>Đề xuất trong phạm vi</v>
      </c>
      <c r="P186" s="4" t="str">
        <f>'FSL Source'!O186</f>
        <v>Hiệu chỉnh theo BRD 0.9</v>
      </c>
      <c r="Q186" s="4" t="str">
        <f>'FSL Source'!P186</f>
        <v>Tạo đúng process instance, business key và task đầu tiên; không submit trùng.</v>
      </c>
      <c r="R186" s="4">
        <f>'FSL Source'!Q186</f>
        <v>0</v>
      </c>
      <c r="S186" s="3"/>
      <c r="T186" s="3"/>
      <c r="U186" s="8"/>
      <c r="V186" s="8"/>
      <c r="W186" s="9"/>
      <c r="X186" s="9" t="str">
        <f t="shared" si="2"/>
        <v/>
      </c>
      <c r="Y186" s="3" t="s">
        <v>1860</v>
      </c>
      <c r="Z186" s="10">
        <v>0</v>
      </c>
      <c r="AA186" s="4"/>
    </row>
    <row r="187" spans="1:27" ht="51">
      <c r="A187" s="3" t="str">
        <f>B187&amp;"."&amp;TEXT(COUNTIF($B$5:B187,B187),"000")</f>
        <v>1.08.01.021</v>
      </c>
      <c r="B187" s="3" t="str">
        <f>IFERROR(INDEX('Work Packages'!$A$5:$A$200,MATCH(D187&amp;"|"&amp;E187,'Work Packages'!$P$5:$P$200,0)),"")</f>
        <v>1.08.01</v>
      </c>
      <c r="C187" s="3" t="str">
        <f>'FSL Source'!B187</f>
        <v>ADJ-RD04-021</v>
      </c>
      <c r="D187" s="3" t="str">
        <f>'FSL Source'!C187</f>
        <v>Điều chỉnh, Tạm dừng &amp; Dừng</v>
      </c>
      <c r="E187" s="3" t="str">
        <f>'FSL Source'!D187</f>
        <v>Điều chỉnh nhiệm vụ</v>
      </c>
      <c r="F187" s="4" t="str">
        <f>'FSL Source'!E187</f>
        <v>Hồ sơ điều chỉnh mục tiêu/tăng dự toán không vượt chủ trương cấp Cơ sở</v>
      </c>
      <c r="G187" s="4" t="str">
        <f>'FSL Source'!F187</f>
        <v>Xem lịch sử Hồ sơ điều chỉnh mục tiêu/tăng dự toán không vượt chủ trương cấp Cơ sở</v>
      </c>
      <c r="H187" s="4" t="str">
        <f>'FSL Source'!G187</f>
        <v>Theo dõi phiên bản, thay đổi dữ liệu, người thực hiện và lịch sử xử lý của Hồ sơ điều chỉnh mục tiêu/tăng dự toán không vượt chủ trương cấp Cơ sở.</v>
      </c>
      <c r="I187" s="3" t="str">
        <f>'FSL Source'!H187</f>
        <v>Cán bộ nghiệp vụ/Quản trị</v>
      </c>
      <c r="J187" s="3" t="str">
        <f>'FSL Source'!I187</f>
        <v>Audit</v>
      </c>
      <c r="K187" s="3" t="str">
        <f>'FSL Source'!J187</f>
        <v>RD04.03</v>
      </c>
      <c r="L187" s="3" t="str">
        <f>'FSL Source'!K187</f>
        <v>CAP-14</v>
      </c>
      <c r="M187" s="3" t="str">
        <f>'FSL Source'!L187</f>
        <v>Must</v>
      </c>
      <c r="N187" s="3" t="str">
        <f>'FSL Source'!M187</f>
        <v>Pha 2</v>
      </c>
      <c r="O187" s="3" t="str">
        <f>'FSL Source'!N187</f>
        <v>Đề xuất trong phạm vi</v>
      </c>
      <c r="P187" s="4" t="str">
        <f>'FSL Source'!O187</f>
        <v>Hiệu chỉnh theo BRD 0.9</v>
      </c>
      <c r="Q187" s="4" t="str">
        <f>'FSL Source'!P187</f>
        <v>Lịch sử không thể sửa và truy vết được trước/sau của thay đổi quan trọng.</v>
      </c>
      <c r="R187" s="4">
        <f>'FSL Source'!Q187</f>
        <v>0</v>
      </c>
      <c r="S187" s="3"/>
      <c r="T187" s="3"/>
      <c r="U187" s="8"/>
      <c r="V187" s="8"/>
      <c r="W187" s="9"/>
      <c r="X187" s="9" t="str">
        <f t="shared" si="2"/>
        <v/>
      </c>
      <c r="Y187" s="3" t="s">
        <v>1860</v>
      </c>
      <c r="Z187" s="10">
        <v>0</v>
      </c>
      <c r="AA187" s="4"/>
    </row>
    <row r="188" spans="1:27" ht="38.25">
      <c r="A188" s="3" t="str">
        <f>B188&amp;"."&amp;TEXT(COUNTIF($B$5:B188,B188),"000")</f>
        <v>1.08.01.022</v>
      </c>
      <c r="B188" s="3" t="str">
        <f>IFERROR(INDEX('Work Packages'!$A$5:$A$200,MATCH(D188&amp;"|"&amp;E188,'Work Packages'!$P$5:$P$200,0)),"")</f>
        <v>1.08.01</v>
      </c>
      <c r="C188" s="3" t="str">
        <f>'FSL Source'!B188</f>
        <v>ADJ-RD04-022</v>
      </c>
      <c r="D188" s="3" t="str">
        <f>'FSL Source'!C188</f>
        <v>Điều chỉnh, Tạm dừng &amp; Dừng</v>
      </c>
      <c r="E188" s="3" t="str">
        <f>'FSL Source'!D188</f>
        <v>Điều chỉnh nhiệm vụ</v>
      </c>
      <c r="F188" s="4" t="str">
        <f>'FSL Source'!E188</f>
        <v>Hồ sơ tạm dừng nhiệm vụ cấp Cơ sở</v>
      </c>
      <c r="G188" s="4" t="str">
        <f>'FSL Source'!F188</f>
        <v>Xem danh sách Hồ sơ tạm dừng nhiệm vụ cấp Cơ sở</v>
      </c>
      <c r="H188" s="4" t="str">
        <f>'FSL Source'!G188</f>
        <v>Tra cứu danh sách, phân trang, sắp xếp và lọc Hồ sơ tạm dừng nhiệm vụ cấp Cơ sở theo các tiêu chí nghiệp vụ.</v>
      </c>
      <c r="I188" s="3" t="str">
        <f>'FSL Source'!H188</f>
        <v>Chủ nhiệm/Cán bộ KHCN</v>
      </c>
      <c r="J188" s="3" t="str">
        <f>'FSL Source'!I188</f>
        <v>Nghiệp vụ</v>
      </c>
      <c r="K188" s="3" t="str">
        <f>'FSL Source'!J188</f>
        <v>RD04.04</v>
      </c>
      <c r="L188" s="3" t="str">
        <f>'FSL Source'!K188</f>
        <v>CAP-14</v>
      </c>
      <c r="M188" s="3" t="str">
        <f>'FSL Source'!L188</f>
        <v>Must</v>
      </c>
      <c r="N188" s="3" t="str">
        <f>'FSL Source'!M188</f>
        <v>Pha 2</v>
      </c>
      <c r="O188" s="3" t="str">
        <f>'FSL Source'!N188</f>
        <v>Đề xuất trong phạm vi</v>
      </c>
      <c r="P188" s="4" t="str">
        <f>'FSL Source'!O188</f>
        <v>Hiệu chỉnh theo BRD 0.9</v>
      </c>
      <c r="Q188" s="4" t="str">
        <f>'FSL Source'!P188</f>
        <v>Danh sách hiển thị đúng phạm vi dữ liệu và hỗ trợ lọc/xuất theo quyền.</v>
      </c>
      <c r="R188" s="4">
        <f>'FSL Source'!Q188</f>
        <v>0</v>
      </c>
      <c r="S188" s="3"/>
      <c r="T188" s="3"/>
      <c r="U188" s="8"/>
      <c r="V188" s="8"/>
      <c r="W188" s="9"/>
      <c r="X188" s="9" t="str">
        <f t="shared" si="2"/>
        <v/>
      </c>
      <c r="Y188" s="3" t="s">
        <v>1860</v>
      </c>
      <c r="Z188" s="10">
        <v>0</v>
      </c>
      <c r="AA188" s="4"/>
    </row>
    <row r="189" spans="1:27" ht="38.25">
      <c r="A189" s="3" t="str">
        <f>B189&amp;"."&amp;TEXT(COUNTIF($B$5:B189,B189),"000")</f>
        <v>1.08.01.023</v>
      </c>
      <c r="B189" s="3" t="str">
        <f>IFERROR(INDEX('Work Packages'!$A$5:$A$200,MATCH(D189&amp;"|"&amp;E189,'Work Packages'!$P$5:$P$200,0)),"")</f>
        <v>1.08.01</v>
      </c>
      <c r="C189" s="3" t="str">
        <f>'FSL Source'!B189</f>
        <v>ADJ-RD04-023</v>
      </c>
      <c r="D189" s="3" t="str">
        <f>'FSL Source'!C189</f>
        <v>Điều chỉnh, Tạm dừng &amp; Dừng</v>
      </c>
      <c r="E189" s="3" t="str">
        <f>'FSL Source'!D189</f>
        <v>Điều chỉnh nhiệm vụ</v>
      </c>
      <c r="F189" s="4" t="str">
        <f>'FSL Source'!E189</f>
        <v>Hồ sơ tạm dừng nhiệm vụ cấp Cơ sở</v>
      </c>
      <c r="G189" s="4" t="str">
        <f>'FSL Source'!F189</f>
        <v>Tạo mới Hồ sơ tạm dừng nhiệm vụ cấp Cơ sở</v>
      </c>
      <c r="H189" s="4" t="str">
        <f>'FSL Source'!G189</f>
        <v>Khởi tạo Hồ sơ tạm dừng nhiệm vụ cấp Cơ sở, kiểm tra dữ liệu bắt buộc và lưu nháp trước khi hoàn tất.</v>
      </c>
      <c r="I189" s="3" t="str">
        <f>'FSL Source'!H189</f>
        <v>Chủ nhiệm/Cán bộ KHCN</v>
      </c>
      <c r="J189" s="3" t="str">
        <f>'FSL Source'!I189</f>
        <v>Nghiệp vụ</v>
      </c>
      <c r="K189" s="3" t="str">
        <f>'FSL Source'!J189</f>
        <v>RD04.04</v>
      </c>
      <c r="L189" s="3" t="str">
        <f>'FSL Source'!K189</f>
        <v>CAP-14</v>
      </c>
      <c r="M189" s="3" t="str">
        <f>'FSL Source'!L189</f>
        <v>Must</v>
      </c>
      <c r="N189" s="3" t="str">
        <f>'FSL Source'!M189</f>
        <v>Pha 2</v>
      </c>
      <c r="O189" s="3" t="str">
        <f>'FSL Source'!N189</f>
        <v>Đề xuất trong phạm vi</v>
      </c>
      <c r="P189" s="4" t="str">
        <f>'FSL Source'!O189</f>
        <v>Hiệu chỉnh theo BRD 0.9</v>
      </c>
      <c r="Q189" s="4" t="str">
        <f>'FSL Source'!P189</f>
        <v>Dữ liệu hợp lệ được lưu; lỗi validation hiển thị tại trường tương ứng.</v>
      </c>
      <c r="R189" s="4">
        <f>'FSL Source'!Q189</f>
        <v>0</v>
      </c>
      <c r="S189" s="3"/>
      <c r="T189" s="3"/>
      <c r="U189" s="8"/>
      <c r="V189" s="8"/>
      <c r="W189" s="9"/>
      <c r="X189" s="9" t="str">
        <f t="shared" si="2"/>
        <v/>
      </c>
      <c r="Y189" s="3" t="s">
        <v>1860</v>
      </c>
      <c r="Z189" s="10">
        <v>0</v>
      </c>
      <c r="AA189" s="4"/>
    </row>
    <row r="190" spans="1:27" ht="38.25">
      <c r="A190" s="3" t="str">
        <f>B190&amp;"."&amp;TEXT(COUNTIF($B$5:B190,B190),"000")</f>
        <v>1.08.01.024</v>
      </c>
      <c r="B190" s="3" t="str">
        <f>IFERROR(INDEX('Work Packages'!$A$5:$A$200,MATCH(D190&amp;"|"&amp;E190,'Work Packages'!$P$5:$P$200,0)),"")</f>
        <v>1.08.01</v>
      </c>
      <c r="C190" s="3" t="str">
        <f>'FSL Source'!B190</f>
        <v>ADJ-RD04-024</v>
      </c>
      <c r="D190" s="3" t="str">
        <f>'FSL Source'!C190</f>
        <v>Điều chỉnh, Tạm dừng &amp; Dừng</v>
      </c>
      <c r="E190" s="3" t="str">
        <f>'FSL Source'!D190</f>
        <v>Điều chỉnh nhiệm vụ</v>
      </c>
      <c r="F190" s="4" t="str">
        <f>'FSL Source'!E190</f>
        <v>Hồ sơ tạm dừng nhiệm vụ cấp Cơ sở</v>
      </c>
      <c r="G190" s="4" t="str">
        <f>'FSL Source'!F190</f>
        <v>Xem chi tiết Hồ sơ tạm dừng nhiệm vụ cấp Cơ sở</v>
      </c>
      <c r="H190" s="4" t="str">
        <f>'FSL Source'!G190</f>
        <v>Hiển thị thông tin tổng quan, dữ liệu chi tiết, tài liệu liên quan và trạng thái của Hồ sơ tạm dừng nhiệm vụ cấp Cơ sở.</v>
      </c>
      <c r="I190" s="3" t="str">
        <f>'FSL Source'!H190</f>
        <v>Chủ nhiệm/Cán bộ KHCN</v>
      </c>
      <c r="J190" s="3" t="str">
        <f>'FSL Source'!I190</f>
        <v>Nghiệp vụ</v>
      </c>
      <c r="K190" s="3" t="str">
        <f>'FSL Source'!J190</f>
        <v>RD04.04</v>
      </c>
      <c r="L190" s="3" t="str">
        <f>'FSL Source'!K190</f>
        <v>CAP-14</v>
      </c>
      <c r="M190" s="3" t="str">
        <f>'FSL Source'!L190</f>
        <v>Must</v>
      </c>
      <c r="N190" s="3" t="str">
        <f>'FSL Source'!M190</f>
        <v>Pha 2</v>
      </c>
      <c r="O190" s="3" t="str">
        <f>'FSL Source'!N190</f>
        <v>Đề xuất trong phạm vi</v>
      </c>
      <c r="P190" s="4" t="str">
        <f>'FSL Source'!O190</f>
        <v>Hiệu chỉnh theo BRD 0.9</v>
      </c>
      <c r="Q190" s="4" t="str">
        <f>'FSL Source'!P190</f>
        <v>Thông tin hiển thị đúng phiên bản và quyền truy cập.</v>
      </c>
      <c r="R190" s="4">
        <f>'FSL Source'!Q190</f>
        <v>0</v>
      </c>
      <c r="S190" s="3"/>
      <c r="T190" s="3"/>
      <c r="U190" s="8"/>
      <c r="V190" s="8"/>
      <c r="W190" s="9"/>
      <c r="X190" s="9" t="str">
        <f t="shared" si="2"/>
        <v/>
      </c>
      <c r="Y190" s="3" t="s">
        <v>1860</v>
      </c>
      <c r="Z190" s="10">
        <v>0</v>
      </c>
      <c r="AA190" s="4"/>
    </row>
    <row r="191" spans="1:27" ht="38.25">
      <c r="A191" s="3" t="str">
        <f>B191&amp;"."&amp;TEXT(COUNTIF($B$5:B191,B191),"000")</f>
        <v>1.08.01.025</v>
      </c>
      <c r="B191" s="3" t="str">
        <f>IFERROR(INDEX('Work Packages'!$A$5:$A$200,MATCH(D191&amp;"|"&amp;E191,'Work Packages'!$P$5:$P$200,0)),"")</f>
        <v>1.08.01</v>
      </c>
      <c r="C191" s="3" t="str">
        <f>'FSL Source'!B191</f>
        <v>ADJ-RD04-025</v>
      </c>
      <c r="D191" s="3" t="str">
        <f>'FSL Source'!C191</f>
        <v>Điều chỉnh, Tạm dừng &amp; Dừng</v>
      </c>
      <c r="E191" s="3" t="str">
        <f>'FSL Source'!D191</f>
        <v>Điều chỉnh nhiệm vụ</v>
      </c>
      <c r="F191" s="4" t="str">
        <f>'FSL Source'!E191</f>
        <v>Hồ sơ tạm dừng nhiệm vụ cấp Cơ sở</v>
      </c>
      <c r="G191" s="4" t="str">
        <f>'FSL Source'!F191</f>
        <v>Chỉnh sửa Hồ sơ tạm dừng nhiệm vụ cấp Cơ sở</v>
      </c>
      <c r="H191" s="4" t="str">
        <f>'FSL Source'!G191</f>
        <v>Cập nhật Hồ sơ tạm dừng nhiệm vụ cấp Cơ sở khi trạng thái và quyền người dùng cho phép; kiểm soát xung đột cập nhật.</v>
      </c>
      <c r="I191" s="3" t="str">
        <f>'FSL Source'!H191</f>
        <v>Chủ nhiệm/Cán bộ KHCN</v>
      </c>
      <c r="J191" s="3" t="str">
        <f>'FSL Source'!I191</f>
        <v>Nghiệp vụ</v>
      </c>
      <c r="K191" s="3" t="str">
        <f>'FSL Source'!J191</f>
        <v>RD04.04</v>
      </c>
      <c r="L191" s="3" t="str">
        <f>'FSL Source'!K191</f>
        <v>CAP-14</v>
      </c>
      <c r="M191" s="3" t="str">
        <f>'FSL Source'!L191</f>
        <v>Must</v>
      </c>
      <c r="N191" s="3" t="str">
        <f>'FSL Source'!M191</f>
        <v>Pha 2</v>
      </c>
      <c r="O191" s="3" t="str">
        <f>'FSL Source'!N191</f>
        <v>Đề xuất trong phạm vi</v>
      </c>
      <c r="P191" s="4" t="str">
        <f>'FSL Source'!O191</f>
        <v>Hiệu chỉnh theo BRD 0.9</v>
      </c>
      <c r="Q191" s="4" t="str">
        <f>'FSL Source'!P191</f>
        <v>Chỉ trường được phép sửa có hiệu lực và thay đổi được ghi lịch sử.</v>
      </c>
      <c r="R191" s="4">
        <f>'FSL Source'!Q191</f>
        <v>0</v>
      </c>
      <c r="S191" s="3"/>
      <c r="T191" s="3"/>
      <c r="U191" s="8"/>
      <c r="V191" s="8"/>
      <c r="W191" s="9"/>
      <c r="X191" s="9" t="str">
        <f t="shared" si="2"/>
        <v/>
      </c>
      <c r="Y191" s="3" t="s">
        <v>1860</v>
      </c>
      <c r="Z191" s="10">
        <v>0</v>
      </c>
      <c r="AA191" s="4"/>
    </row>
    <row r="192" spans="1:27" ht="38.25">
      <c r="A192" s="3" t="str">
        <f>B192&amp;"."&amp;TEXT(COUNTIF($B$5:B192,B192),"000")</f>
        <v>1.08.01.026</v>
      </c>
      <c r="B192" s="3" t="str">
        <f>IFERROR(INDEX('Work Packages'!$A$5:$A$200,MATCH(D192&amp;"|"&amp;E192,'Work Packages'!$P$5:$P$200,0)),"")</f>
        <v>1.08.01</v>
      </c>
      <c r="C192" s="3" t="str">
        <f>'FSL Source'!B192</f>
        <v>ADJ-RD04-026</v>
      </c>
      <c r="D192" s="3" t="str">
        <f>'FSL Source'!C192</f>
        <v>Điều chỉnh, Tạm dừng &amp; Dừng</v>
      </c>
      <c r="E192" s="3" t="str">
        <f>'FSL Source'!D192</f>
        <v>Điều chỉnh nhiệm vụ</v>
      </c>
      <c r="F192" s="4" t="str">
        <f>'FSL Source'!E192</f>
        <v>Hồ sơ tạm dừng nhiệm vụ cấp Cơ sở</v>
      </c>
      <c r="G192" s="4" t="str">
        <f>'FSL Source'!F192</f>
        <v>Xóa/Ngừng sử dụng Hồ sơ tạm dừng nhiệm vụ cấp Cơ sở</v>
      </c>
      <c r="H192" s="4" t="str">
        <f>'FSL Source'!G192</f>
        <v>Xóa logic hoặc ngừng sử dụng Hồ sơ tạm dừng nhiệm vụ cấp Cơ sở sau khi kiểm tra ràng buộc tham chiếu.</v>
      </c>
      <c r="I192" s="3" t="str">
        <f>'FSL Source'!H192</f>
        <v>Quản trị/Cán bộ nghiệp vụ</v>
      </c>
      <c r="J192" s="3" t="str">
        <f>'FSL Source'!I192</f>
        <v>Nghiệp vụ</v>
      </c>
      <c r="K192" s="3" t="str">
        <f>'FSL Source'!J192</f>
        <v>RD04.04</v>
      </c>
      <c r="L192" s="3" t="str">
        <f>'FSL Source'!K192</f>
        <v>CAP-14</v>
      </c>
      <c r="M192" s="3" t="str">
        <f>'FSL Source'!L192</f>
        <v>Should</v>
      </c>
      <c r="N192" s="3" t="str">
        <f>'FSL Source'!M192</f>
        <v>Pha 2</v>
      </c>
      <c r="O192" s="3" t="str">
        <f>'FSL Source'!N192</f>
        <v>Đề xuất trong phạm vi</v>
      </c>
      <c r="P192" s="4" t="str">
        <f>'FSL Source'!O192</f>
        <v>Hiệu chỉnh theo BRD 0.9</v>
      </c>
      <c r="Q192" s="4" t="str">
        <f>'FSL Source'!P192</f>
        <v>Không xóa vật lý dữ liệu đã phát sinh giao dịch; cảnh báo rõ quan hệ phụ thuộc.</v>
      </c>
      <c r="R192" s="4">
        <f>'FSL Source'!Q192</f>
        <v>0</v>
      </c>
      <c r="S192" s="3"/>
      <c r="T192" s="3"/>
      <c r="U192" s="8"/>
      <c r="V192" s="8"/>
      <c r="W192" s="9"/>
      <c r="X192" s="9" t="str">
        <f t="shared" si="2"/>
        <v/>
      </c>
      <c r="Y192" s="3" t="s">
        <v>1860</v>
      </c>
      <c r="Z192" s="10">
        <v>0</v>
      </c>
      <c r="AA192" s="4"/>
    </row>
    <row r="193" spans="1:27" ht="38.25">
      <c r="A193" s="3" t="str">
        <f>B193&amp;"."&amp;TEXT(COUNTIF($B$5:B193,B193),"000")</f>
        <v>1.08.01.027</v>
      </c>
      <c r="B193" s="3" t="str">
        <f>IFERROR(INDEX('Work Packages'!$A$5:$A$200,MATCH(D193&amp;"|"&amp;E193,'Work Packages'!$P$5:$P$200,0)),"")</f>
        <v>1.08.01</v>
      </c>
      <c r="C193" s="3" t="str">
        <f>'FSL Source'!B193</f>
        <v>ADJ-RD04-027</v>
      </c>
      <c r="D193" s="3" t="str">
        <f>'FSL Source'!C193</f>
        <v>Điều chỉnh, Tạm dừng &amp; Dừng</v>
      </c>
      <c r="E193" s="3" t="str">
        <f>'FSL Source'!D193</f>
        <v>Điều chỉnh nhiệm vụ</v>
      </c>
      <c r="F193" s="4" t="str">
        <f>'FSL Source'!E193</f>
        <v>Hồ sơ tạm dừng nhiệm vụ cấp Cơ sở</v>
      </c>
      <c r="G193" s="4" t="str">
        <f>'FSL Source'!F193</f>
        <v>Trình duyệt Hồ sơ tạm dừng nhiệm vụ cấp Cơ sở</v>
      </c>
      <c r="H193" s="4" t="str">
        <f>'FSL Source'!G193</f>
        <v>Kiểm tra điều kiện, khóa phiên bản trình và khởi tạo/tiếp tục quy trình phê duyệt Hồ sơ tạm dừng nhiệm vụ cấp Cơ sở.</v>
      </c>
      <c r="I193" s="3" t="str">
        <f>'FSL Source'!H193</f>
        <v>Người lập/Chủ nhiệm nhiệm vụ</v>
      </c>
      <c r="J193" s="3" t="str">
        <f>'FSL Source'!I193</f>
        <v>Workflow</v>
      </c>
      <c r="K193" s="3" t="str">
        <f>'FSL Source'!J193</f>
        <v>RD04.04</v>
      </c>
      <c r="L193" s="3" t="str">
        <f>'FSL Source'!K193</f>
        <v>CAP-14</v>
      </c>
      <c r="M193" s="3" t="str">
        <f>'FSL Source'!L193</f>
        <v>Must</v>
      </c>
      <c r="N193" s="3" t="str">
        <f>'FSL Source'!M193</f>
        <v>Pha 2</v>
      </c>
      <c r="O193" s="3" t="str">
        <f>'FSL Source'!N193</f>
        <v>Đề xuất trong phạm vi</v>
      </c>
      <c r="P193" s="4" t="str">
        <f>'FSL Source'!O193</f>
        <v>Hiệu chỉnh theo BRD 0.9</v>
      </c>
      <c r="Q193" s="4" t="str">
        <f>'FSL Source'!P193</f>
        <v>Tạo đúng process instance, business key và task đầu tiên; không submit trùng.</v>
      </c>
      <c r="R193" s="4">
        <f>'FSL Source'!Q193</f>
        <v>0</v>
      </c>
      <c r="S193" s="3"/>
      <c r="T193" s="3"/>
      <c r="U193" s="8"/>
      <c r="V193" s="8"/>
      <c r="W193" s="9"/>
      <c r="X193" s="9" t="str">
        <f t="shared" si="2"/>
        <v/>
      </c>
      <c r="Y193" s="3" t="s">
        <v>1860</v>
      </c>
      <c r="Z193" s="10">
        <v>0</v>
      </c>
      <c r="AA193" s="4"/>
    </row>
    <row r="194" spans="1:27" ht="38.25">
      <c r="A194" s="3" t="str">
        <f>B194&amp;"."&amp;TEXT(COUNTIF($B$5:B194,B194),"000")</f>
        <v>1.08.01.028</v>
      </c>
      <c r="B194" s="3" t="str">
        <f>IFERROR(INDEX('Work Packages'!$A$5:$A$200,MATCH(D194&amp;"|"&amp;E194,'Work Packages'!$P$5:$P$200,0)),"")</f>
        <v>1.08.01</v>
      </c>
      <c r="C194" s="3" t="str">
        <f>'FSL Source'!B194</f>
        <v>ADJ-RD04-028</v>
      </c>
      <c r="D194" s="3" t="str">
        <f>'FSL Source'!C194</f>
        <v>Điều chỉnh, Tạm dừng &amp; Dừng</v>
      </c>
      <c r="E194" s="3" t="str">
        <f>'FSL Source'!D194</f>
        <v>Điều chỉnh nhiệm vụ</v>
      </c>
      <c r="F194" s="4" t="str">
        <f>'FSL Source'!E194</f>
        <v>Hồ sơ tạm dừng nhiệm vụ cấp Cơ sở</v>
      </c>
      <c r="G194" s="4" t="str">
        <f>'FSL Source'!F194</f>
        <v>Xem lịch sử Hồ sơ tạm dừng nhiệm vụ cấp Cơ sở</v>
      </c>
      <c r="H194" s="4" t="str">
        <f>'FSL Source'!G194</f>
        <v>Theo dõi phiên bản, thay đổi dữ liệu, người thực hiện và lịch sử xử lý của Hồ sơ tạm dừng nhiệm vụ cấp Cơ sở.</v>
      </c>
      <c r="I194" s="3" t="str">
        <f>'FSL Source'!H194</f>
        <v>Cán bộ nghiệp vụ/Quản trị</v>
      </c>
      <c r="J194" s="3" t="str">
        <f>'FSL Source'!I194</f>
        <v>Audit</v>
      </c>
      <c r="K194" s="3" t="str">
        <f>'FSL Source'!J194</f>
        <v>RD04.04</v>
      </c>
      <c r="L194" s="3" t="str">
        <f>'FSL Source'!K194</f>
        <v>CAP-14</v>
      </c>
      <c r="M194" s="3" t="str">
        <f>'FSL Source'!L194</f>
        <v>Must</v>
      </c>
      <c r="N194" s="3" t="str">
        <f>'FSL Source'!M194</f>
        <v>Pha 2</v>
      </c>
      <c r="O194" s="3" t="str">
        <f>'FSL Source'!N194</f>
        <v>Đề xuất trong phạm vi</v>
      </c>
      <c r="P194" s="4" t="str">
        <f>'FSL Source'!O194</f>
        <v>Hiệu chỉnh theo BRD 0.9</v>
      </c>
      <c r="Q194" s="4" t="str">
        <f>'FSL Source'!P194</f>
        <v>Lịch sử không thể sửa và truy vết được trước/sau của thay đổi quan trọng.</v>
      </c>
      <c r="R194" s="4">
        <f>'FSL Source'!Q194</f>
        <v>0</v>
      </c>
      <c r="S194" s="3"/>
      <c r="T194" s="3"/>
      <c r="U194" s="8"/>
      <c r="V194" s="8"/>
      <c r="W194" s="9"/>
      <c r="X194" s="9" t="str">
        <f t="shared" si="2"/>
        <v/>
      </c>
      <c r="Y194" s="3" t="s">
        <v>1860</v>
      </c>
      <c r="Z194" s="10">
        <v>0</v>
      </c>
      <c r="AA194" s="4"/>
    </row>
    <row r="195" spans="1:27" ht="38.25">
      <c r="A195" s="3" t="str">
        <f>B195&amp;"."&amp;TEXT(COUNTIF($B$5:B195,B195),"000")</f>
        <v>1.08.01.029</v>
      </c>
      <c r="B195" s="3" t="str">
        <f>IFERROR(INDEX('Work Packages'!$A$5:$A$200,MATCH(D195&amp;"|"&amp;E195,'Work Packages'!$P$5:$P$200,0)),"")</f>
        <v>1.08.01</v>
      </c>
      <c r="C195" s="3" t="str">
        <f>'FSL Source'!B195</f>
        <v>ADJ-RD04-029</v>
      </c>
      <c r="D195" s="3" t="str">
        <f>'FSL Source'!C195</f>
        <v>Điều chỉnh, Tạm dừng &amp; Dừng</v>
      </c>
      <c r="E195" s="3" t="str">
        <f>'FSL Source'!D195</f>
        <v>Điều chỉnh nhiệm vụ</v>
      </c>
      <c r="F195" s="4" t="str">
        <f>'FSL Source'!E195</f>
        <v>Hồ sơ dừng nhiệm vụ cấp Cơ sở</v>
      </c>
      <c r="G195" s="4" t="str">
        <f>'FSL Source'!F195</f>
        <v>Xem danh sách Hồ sơ dừng nhiệm vụ cấp Cơ sở</v>
      </c>
      <c r="H195" s="4" t="str">
        <f>'FSL Source'!G195</f>
        <v>Tra cứu danh sách, phân trang, sắp xếp và lọc Hồ sơ dừng nhiệm vụ cấp Cơ sở theo các tiêu chí nghiệp vụ.</v>
      </c>
      <c r="I195" s="3" t="str">
        <f>'FSL Source'!H195</f>
        <v>Chủ nhiệm/Cán bộ KHCN</v>
      </c>
      <c r="J195" s="3" t="str">
        <f>'FSL Source'!I195</f>
        <v>Nghiệp vụ</v>
      </c>
      <c r="K195" s="3" t="str">
        <f>'FSL Source'!J195</f>
        <v>RD04.05</v>
      </c>
      <c r="L195" s="3" t="str">
        <f>'FSL Source'!K195</f>
        <v>CAP-14</v>
      </c>
      <c r="M195" s="3" t="str">
        <f>'FSL Source'!L195</f>
        <v>Must</v>
      </c>
      <c r="N195" s="3" t="str">
        <f>'FSL Source'!M195</f>
        <v>Pha 2</v>
      </c>
      <c r="O195" s="3" t="str">
        <f>'FSL Source'!N195</f>
        <v>Đề xuất trong phạm vi</v>
      </c>
      <c r="P195" s="4" t="str">
        <f>'FSL Source'!O195</f>
        <v>Hiệu chỉnh theo BRD 0.9</v>
      </c>
      <c r="Q195" s="4" t="str">
        <f>'FSL Source'!P195</f>
        <v>Danh sách hiển thị đúng phạm vi dữ liệu và hỗ trợ lọc/xuất theo quyền.</v>
      </c>
      <c r="R195" s="4">
        <f>'FSL Source'!Q195</f>
        <v>0</v>
      </c>
      <c r="S195" s="3"/>
      <c r="T195" s="3"/>
      <c r="U195" s="8"/>
      <c r="V195" s="8"/>
      <c r="W195" s="9"/>
      <c r="X195" s="9" t="str">
        <f t="shared" si="2"/>
        <v/>
      </c>
      <c r="Y195" s="3" t="s">
        <v>1860</v>
      </c>
      <c r="Z195" s="10">
        <v>0</v>
      </c>
      <c r="AA195" s="4"/>
    </row>
    <row r="196" spans="1:27" ht="25.5">
      <c r="A196" s="3" t="str">
        <f>B196&amp;"."&amp;TEXT(COUNTIF($B$5:B196,B196),"000")</f>
        <v>1.08.01.030</v>
      </c>
      <c r="B196" s="3" t="str">
        <f>IFERROR(INDEX('Work Packages'!$A$5:$A$200,MATCH(D196&amp;"|"&amp;E196,'Work Packages'!$P$5:$P$200,0)),"")</f>
        <v>1.08.01</v>
      </c>
      <c r="C196" s="3" t="str">
        <f>'FSL Source'!B196</f>
        <v>ADJ-RD04-030</v>
      </c>
      <c r="D196" s="3" t="str">
        <f>'FSL Source'!C196</f>
        <v>Điều chỉnh, Tạm dừng &amp; Dừng</v>
      </c>
      <c r="E196" s="3" t="str">
        <f>'FSL Source'!D196</f>
        <v>Điều chỉnh nhiệm vụ</v>
      </c>
      <c r="F196" s="4" t="str">
        <f>'FSL Source'!E196</f>
        <v>Hồ sơ dừng nhiệm vụ cấp Cơ sở</v>
      </c>
      <c r="G196" s="4" t="str">
        <f>'FSL Source'!F196</f>
        <v>Tạo mới Hồ sơ dừng nhiệm vụ cấp Cơ sở</v>
      </c>
      <c r="H196" s="4" t="str">
        <f>'FSL Source'!G196</f>
        <v>Khởi tạo Hồ sơ dừng nhiệm vụ cấp Cơ sở, kiểm tra dữ liệu bắt buộc và lưu nháp trước khi hoàn tất.</v>
      </c>
      <c r="I196" s="3" t="str">
        <f>'FSL Source'!H196</f>
        <v>Chủ nhiệm/Cán bộ KHCN</v>
      </c>
      <c r="J196" s="3" t="str">
        <f>'FSL Source'!I196</f>
        <v>Nghiệp vụ</v>
      </c>
      <c r="K196" s="3" t="str">
        <f>'FSL Source'!J196</f>
        <v>RD04.05</v>
      </c>
      <c r="L196" s="3" t="str">
        <f>'FSL Source'!K196</f>
        <v>CAP-14</v>
      </c>
      <c r="M196" s="3" t="str">
        <f>'FSL Source'!L196</f>
        <v>Must</v>
      </c>
      <c r="N196" s="3" t="str">
        <f>'FSL Source'!M196</f>
        <v>Pha 2</v>
      </c>
      <c r="O196" s="3" t="str">
        <f>'FSL Source'!N196</f>
        <v>Đề xuất trong phạm vi</v>
      </c>
      <c r="P196" s="4" t="str">
        <f>'FSL Source'!O196</f>
        <v>Hiệu chỉnh theo BRD 0.9</v>
      </c>
      <c r="Q196" s="4" t="str">
        <f>'FSL Source'!P196</f>
        <v>Dữ liệu hợp lệ được lưu; lỗi validation hiển thị tại trường tương ứng.</v>
      </c>
      <c r="R196" s="4">
        <f>'FSL Source'!Q196</f>
        <v>0</v>
      </c>
      <c r="S196" s="3"/>
      <c r="T196" s="3"/>
      <c r="U196" s="8"/>
      <c r="V196" s="8"/>
      <c r="W196" s="9"/>
      <c r="X196" s="9" t="str">
        <f t="shared" si="2"/>
        <v/>
      </c>
      <c r="Y196" s="3" t="s">
        <v>1860</v>
      </c>
      <c r="Z196" s="10">
        <v>0</v>
      </c>
      <c r="AA196" s="4"/>
    </row>
    <row r="197" spans="1:27" ht="38.25">
      <c r="A197" s="3" t="str">
        <f>B197&amp;"."&amp;TEXT(COUNTIF($B$5:B197,B197),"000")</f>
        <v>1.08.01.031</v>
      </c>
      <c r="B197" s="3" t="str">
        <f>IFERROR(INDEX('Work Packages'!$A$5:$A$200,MATCH(D197&amp;"|"&amp;E197,'Work Packages'!$P$5:$P$200,0)),"")</f>
        <v>1.08.01</v>
      </c>
      <c r="C197" s="3" t="str">
        <f>'FSL Source'!B197</f>
        <v>ADJ-RD04-031</v>
      </c>
      <c r="D197" s="3" t="str">
        <f>'FSL Source'!C197</f>
        <v>Điều chỉnh, Tạm dừng &amp; Dừng</v>
      </c>
      <c r="E197" s="3" t="str">
        <f>'FSL Source'!D197</f>
        <v>Điều chỉnh nhiệm vụ</v>
      </c>
      <c r="F197" s="4" t="str">
        <f>'FSL Source'!E197</f>
        <v>Hồ sơ dừng nhiệm vụ cấp Cơ sở</v>
      </c>
      <c r="G197" s="4" t="str">
        <f>'FSL Source'!F197</f>
        <v>Xem chi tiết Hồ sơ dừng nhiệm vụ cấp Cơ sở</v>
      </c>
      <c r="H197" s="4" t="str">
        <f>'FSL Source'!G197</f>
        <v>Hiển thị thông tin tổng quan, dữ liệu chi tiết, tài liệu liên quan và trạng thái của Hồ sơ dừng nhiệm vụ cấp Cơ sở.</v>
      </c>
      <c r="I197" s="3" t="str">
        <f>'FSL Source'!H197</f>
        <v>Chủ nhiệm/Cán bộ KHCN</v>
      </c>
      <c r="J197" s="3" t="str">
        <f>'FSL Source'!I197</f>
        <v>Nghiệp vụ</v>
      </c>
      <c r="K197" s="3" t="str">
        <f>'FSL Source'!J197</f>
        <v>RD04.05</v>
      </c>
      <c r="L197" s="3" t="str">
        <f>'FSL Source'!K197</f>
        <v>CAP-14</v>
      </c>
      <c r="M197" s="3" t="str">
        <f>'FSL Source'!L197</f>
        <v>Must</v>
      </c>
      <c r="N197" s="3" t="str">
        <f>'FSL Source'!M197</f>
        <v>Pha 2</v>
      </c>
      <c r="O197" s="3" t="str">
        <f>'FSL Source'!N197</f>
        <v>Đề xuất trong phạm vi</v>
      </c>
      <c r="P197" s="4" t="str">
        <f>'FSL Source'!O197</f>
        <v>Hiệu chỉnh theo BRD 0.9</v>
      </c>
      <c r="Q197" s="4" t="str">
        <f>'FSL Source'!P197</f>
        <v>Thông tin hiển thị đúng phiên bản và quyền truy cập.</v>
      </c>
      <c r="R197" s="4">
        <f>'FSL Source'!Q197</f>
        <v>0</v>
      </c>
      <c r="S197" s="3"/>
      <c r="T197" s="3"/>
      <c r="U197" s="8"/>
      <c r="V197" s="8"/>
      <c r="W197" s="9"/>
      <c r="X197" s="9" t="str">
        <f t="shared" ref="X197:X260" si="3">IF(OR(W197="",V197=""),"",WORKDAY(W197,V197-1))</f>
        <v/>
      </c>
      <c r="Y197" s="3" t="s">
        <v>1860</v>
      </c>
      <c r="Z197" s="10">
        <v>0</v>
      </c>
      <c r="AA197" s="4"/>
    </row>
    <row r="198" spans="1:27" ht="38.25">
      <c r="A198" s="3" t="str">
        <f>B198&amp;"."&amp;TEXT(COUNTIF($B$5:B198,B198),"000")</f>
        <v>1.08.01.032</v>
      </c>
      <c r="B198" s="3" t="str">
        <f>IFERROR(INDEX('Work Packages'!$A$5:$A$200,MATCH(D198&amp;"|"&amp;E198,'Work Packages'!$P$5:$P$200,0)),"")</f>
        <v>1.08.01</v>
      </c>
      <c r="C198" s="3" t="str">
        <f>'FSL Source'!B198</f>
        <v>ADJ-RD04-032</v>
      </c>
      <c r="D198" s="3" t="str">
        <f>'FSL Source'!C198</f>
        <v>Điều chỉnh, Tạm dừng &amp; Dừng</v>
      </c>
      <c r="E198" s="3" t="str">
        <f>'FSL Source'!D198</f>
        <v>Điều chỉnh nhiệm vụ</v>
      </c>
      <c r="F198" s="4" t="str">
        <f>'FSL Source'!E198</f>
        <v>Hồ sơ dừng nhiệm vụ cấp Cơ sở</v>
      </c>
      <c r="G198" s="4" t="str">
        <f>'FSL Source'!F198</f>
        <v>Chỉnh sửa Hồ sơ dừng nhiệm vụ cấp Cơ sở</v>
      </c>
      <c r="H198" s="4" t="str">
        <f>'FSL Source'!G198</f>
        <v>Cập nhật Hồ sơ dừng nhiệm vụ cấp Cơ sở khi trạng thái và quyền người dùng cho phép; kiểm soát xung đột cập nhật.</v>
      </c>
      <c r="I198" s="3" t="str">
        <f>'FSL Source'!H198</f>
        <v>Chủ nhiệm/Cán bộ KHCN</v>
      </c>
      <c r="J198" s="3" t="str">
        <f>'FSL Source'!I198</f>
        <v>Nghiệp vụ</v>
      </c>
      <c r="K198" s="3" t="str">
        <f>'FSL Source'!J198</f>
        <v>RD04.05</v>
      </c>
      <c r="L198" s="3" t="str">
        <f>'FSL Source'!K198</f>
        <v>CAP-14</v>
      </c>
      <c r="M198" s="3" t="str">
        <f>'FSL Source'!L198</f>
        <v>Must</v>
      </c>
      <c r="N198" s="3" t="str">
        <f>'FSL Source'!M198</f>
        <v>Pha 2</v>
      </c>
      <c r="O198" s="3" t="str">
        <f>'FSL Source'!N198</f>
        <v>Đề xuất trong phạm vi</v>
      </c>
      <c r="P198" s="4" t="str">
        <f>'FSL Source'!O198</f>
        <v>Hiệu chỉnh theo BRD 0.9</v>
      </c>
      <c r="Q198" s="4" t="str">
        <f>'FSL Source'!P198</f>
        <v>Chỉ trường được phép sửa có hiệu lực và thay đổi được ghi lịch sử.</v>
      </c>
      <c r="R198" s="4">
        <f>'FSL Source'!Q198</f>
        <v>0</v>
      </c>
      <c r="S198" s="3"/>
      <c r="T198" s="3"/>
      <c r="U198" s="8"/>
      <c r="V198" s="8"/>
      <c r="W198" s="9"/>
      <c r="X198" s="9" t="str">
        <f t="shared" si="3"/>
        <v/>
      </c>
      <c r="Y198" s="3" t="s">
        <v>1860</v>
      </c>
      <c r="Z198" s="10">
        <v>0</v>
      </c>
      <c r="AA198" s="4"/>
    </row>
    <row r="199" spans="1:27" ht="38.25">
      <c r="A199" s="3" t="str">
        <f>B199&amp;"."&amp;TEXT(COUNTIF($B$5:B199,B199),"000")</f>
        <v>1.08.01.033</v>
      </c>
      <c r="B199" s="3" t="str">
        <f>IFERROR(INDEX('Work Packages'!$A$5:$A$200,MATCH(D199&amp;"|"&amp;E199,'Work Packages'!$P$5:$P$200,0)),"")</f>
        <v>1.08.01</v>
      </c>
      <c r="C199" s="3" t="str">
        <f>'FSL Source'!B199</f>
        <v>ADJ-RD04-033</v>
      </c>
      <c r="D199" s="3" t="str">
        <f>'FSL Source'!C199</f>
        <v>Điều chỉnh, Tạm dừng &amp; Dừng</v>
      </c>
      <c r="E199" s="3" t="str">
        <f>'FSL Source'!D199</f>
        <v>Điều chỉnh nhiệm vụ</v>
      </c>
      <c r="F199" s="4" t="str">
        <f>'FSL Source'!E199</f>
        <v>Hồ sơ dừng nhiệm vụ cấp Cơ sở</v>
      </c>
      <c r="G199" s="4" t="str">
        <f>'FSL Source'!F199</f>
        <v>Xóa/Ngừng sử dụng Hồ sơ dừng nhiệm vụ cấp Cơ sở</v>
      </c>
      <c r="H199" s="4" t="str">
        <f>'FSL Source'!G199</f>
        <v>Xóa logic hoặc ngừng sử dụng Hồ sơ dừng nhiệm vụ cấp Cơ sở sau khi kiểm tra ràng buộc tham chiếu.</v>
      </c>
      <c r="I199" s="3" t="str">
        <f>'FSL Source'!H199</f>
        <v>Quản trị/Cán bộ nghiệp vụ</v>
      </c>
      <c r="J199" s="3" t="str">
        <f>'FSL Source'!I199</f>
        <v>Nghiệp vụ</v>
      </c>
      <c r="K199" s="3" t="str">
        <f>'FSL Source'!J199</f>
        <v>RD04.05</v>
      </c>
      <c r="L199" s="3" t="str">
        <f>'FSL Source'!K199</f>
        <v>CAP-14</v>
      </c>
      <c r="M199" s="3" t="str">
        <f>'FSL Source'!L199</f>
        <v>Should</v>
      </c>
      <c r="N199" s="3" t="str">
        <f>'FSL Source'!M199</f>
        <v>Pha 2</v>
      </c>
      <c r="O199" s="3" t="str">
        <f>'FSL Source'!N199</f>
        <v>Đề xuất trong phạm vi</v>
      </c>
      <c r="P199" s="4" t="str">
        <f>'FSL Source'!O199</f>
        <v>Hiệu chỉnh theo BRD 0.9</v>
      </c>
      <c r="Q199" s="4" t="str">
        <f>'FSL Source'!P199</f>
        <v>Không xóa vật lý dữ liệu đã phát sinh giao dịch; cảnh báo rõ quan hệ phụ thuộc.</v>
      </c>
      <c r="R199" s="4">
        <f>'FSL Source'!Q199</f>
        <v>0</v>
      </c>
      <c r="S199" s="3"/>
      <c r="T199" s="3"/>
      <c r="U199" s="8"/>
      <c r="V199" s="8"/>
      <c r="W199" s="9"/>
      <c r="X199" s="9" t="str">
        <f t="shared" si="3"/>
        <v/>
      </c>
      <c r="Y199" s="3" t="s">
        <v>1860</v>
      </c>
      <c r="Z199" s="10">
        <v>0</v>
      </c>
      <c r="AA199" s="4"/>
    </row>
    <row r="200" spans="1:27" ht="38.25">
      <c r="A200" s="3" t="str">
        <f>B200&amp;"."&amp;TEXT(COUNTIF($B$5:B200,B200),"000")</f>
        <v>1.08.01.034</v>
      </c>
      <c r="B200" s="3" t="str">
        <f>IFERROR(INDEX('Work Packages'!$A$5:$A$200,MATCH(D200&amp;"|"&amp;E200,'Work Packages'!$P$5:$P$200,0)),"")</f>
        <v>1.08.01</v>
      </c>
      <c r="C200" s="3" t="str">
        <f>'FSL Source'!B200</f>
        <v>ADJ-RD04-034</v>
      </c>
      <c r="D200" s="3" t="str">
        <f>'FSL Source'!C200</f>
        <v>Điều chỉnh, Tạm dừng &amp; Dừng</v>
      </c>
      <c r="E200" s="3" t="str">
        <f>'FSL Source'!D200</f>
        <v>Điều chỉnh nhiệm vụ</v>
      </c>
      <c r="F200" s="4" t="str">
        <f>'FSL Source'!E200</f>
        <v>Hồ sơ dừng nhiệm vụ cấp Cơ sở</v>
      </c>
      <c r="G200" s="4" t="str">
        <f>'FSL Source'!F200</f>
        <v>Trình duyệt Hồ sơ dừng nhiệm vụ cấp Cơ sở</v>
      </c>
      <c r="H200" s="4" t="str">
        <f>'FSL Source'!G200</f>
        <v>Kiểm tra điều kiện, khóa phiên bản trình và khởi tạo/tiếp tục quy trình phê duyệt Hồ sơ dừng nhiệm vụ cấp Cơ sở.</v>
      </c>
      <c r="I200" s="3" t="str">
        <f>'FSL Source'!H200</f>
        <v>Người lập/Chủ nhiệm nhiệm vụ</v>
      </c>
      <c r="J200" s="3" t="str">
        <f>'FSL Source'!I200</f>
        <v>Workflow</v>
      </c>
      <c r="K200" s="3" t="str">
        <f>'FSL Source'!J200</f>
        <v>RD04.05</v>
      </c>
      <c r="L200" s="3" t="str">
        <f>'FSL Source'!K200</f>
        <v>CAP-14</v>
      </c>
      <c r="M200" s="3" t="str">
        <f>'FSL Source'!L200</f>
        <v>Must</v>
      </c>
      <c r="N200" s="3" t="str">
        <f>'FSL Source'!M200</f>
        <v>Pha 2</v>
      </c>
      <c r="O200" s="3" t="str">
        <f>'FSL Source'!N200</f>
        <v>Đề xuất trong phạm vi</v>
      </c>
      <c r="P200" s="4" t="str">
        <f>'FSL Source'!O200</f>
        <v>Hiệu chỉnh theo BRD 0.9</v>
      </c>
      <c r="Q200" s="4" t="str">
        <f>'FSL Source'!P200</f>
        <v>Tạo đúng process instance, business key và task đầu tiên; không submit trùng.</v>
      </c>
      <c r="R200" s="4">
        <f>'FSL Source'!Q200</f>
        <v>0</v>
      </c>
      <c r="S200" s="3"/>
      <c r="T200" s="3"/>
      <c r="U200" s="8"/>
      <c r="V200" s="8"/>
      <c r="W200" s="9"/>
      <c r="X200" s="9" t="str">
        <f t="shared" si="3"/>
        <v/>
      </c>
      <c r="Y200" s="3" t="s">
        <v>1860</v>
      </c>
      <c r="Z200" s="10">
        <v>0</v>
      </c>
      <c r="AA200" s="4"/>
    </row>
    <row r="201" spans="1:27" ht="38.25">
      <c r="A201" s="3" t="str">
        <f>B201&amp;"."&amp;TEXT(COUNTIF($B$5:B201,B201),"000")</f>
        <v>1.08.01.035</v>
      </c>
      <c r="B201" s="3" t="str">
        <f>IFERROR(INDEX('Work Packages'!$A$5:$A$200,MATCH(D201&amp;"|"&amp;E201,'Work Packages'!$P$5:$P$200,0)),"")</f>
        <v>1.08.01</v>
      </c>
      <c r="C201" s="3" t="str">
        <f>'FSL Source'!B201</f>
        <v>ADJ-RD04-035</v>
      </c>
      <c r="D201" s="3" t="str">
        <f>'FSL Source'!C201</f>
        <v>Điều chỉnh, Tạm dừng &amp; Dừng</v>
      </c>
      <c r="E201" s="3" t="str">
        <f>'FSL Source'!D201</f>
        <v>Điều chỉnh nhiệm vụ</v>
      </c>
      <c r="F201" s="4" t="str">
        <f>'FSL Source'!E201</f>
        <v>Hồ sơ dừng nhiệm vụ cấp Cơ sở</v>
      </c>
      <c r="G201" s="4" t="str">
        <f>'FSL Source'!F201</f>
        <v>Xem lịch sử Hồ sơ dừng nhiệm vụ cấp Cơ sở</v>
      </c>
      <c r="H201" s="4" t="str">
        <f>'FSL Source'!G201</f>
        <v>Theo dõi phiên bản, thay đổi dữ liệu, người thực hiện và lịch sử xử lý của Hồ sơ dừng nhiệm vụ cấp Cơ sở.</v>
      </c>
      <c r="I201" s="3" t="str">
        <f>'FSL Source'!H201</f>
        <v>Cán bộ nghiệp vụ/Quản trị</v>
      </c>
      <c r="J201" s="3" t="str">
        <f>'FSL Source'!I201</f>
        <v>Audit</v>
      </c>
      <c r="K201" s="3" t="str">
        <f>'FSL Source'!J201</f>
        <v>RD04.05</v>
      </c>
      <c r="L201" s="3" t="str">
        <f>'FSL Source'!K201</f>
        <v>CAP-14</v>
      </c>
      <c r="M201" s="3" t="str">
        <f>'FSL Source'!L201</f>
        <v>Must</v>
      </c>
      <c r="N201" s="3" t="str">
        <f>'FSL Source'!M201</f>
        <v>Pha 2</v>
      </c>
      <c r="O201" s="3" t="str">
        <f>'FSL Source'!N201</f>
        <v>Đề xuất trong phạm vi</v>
      </c>
      <c r="P201" s="4" t="str">
        <f>'FSL Source'!O201</f>
        <v>Hiệu chỉnh theo BRD 0.9</v>
      </c>
      <c r="Q201" s="4" t="str">
        <f>'FSL Source'!P201</f>
        <v>Lịch sử không thể sửa và truy vết được trước/sau của thay đổi quan trọng.</v>
      </c>
      <c r="R201" s="4">
        <f>'FSL Source'!Q201</f>
        <v>0</v>
      </c>
      <c r="S201" s="3"/>
      <c r="T201" s="3"/>
      <c r="U201" s="8"/>
      <c r="V201" s="8"/>
      <c r="W201" s="9"/>
      <c r="X201" s="9" t="str">
        <f t="shared" si="3"/>
        <v/>
      </c>
      <c r="Y201" s="3" t="s">
        <v>1860</v>
      </c>
      <c r="Z201" s="10">
        <v>0</v>
      </c>
      <c r="AA201" s="4"/>
    </row>
    <row r="202" spans="1:27" ht="38.25">
      <c r="A202" s="3" t="str">
        <f>B202&amp;"."&amp;TEXT(COUNTIF($B$5:B202,B202),"000")</f>
        <v>1.08.01.036</v>
      </c>
      <c r="B202" s="3" t="str">
        <f>IFERROR(INDEX('Work Packages'!$A$5:$A$200,MATCH(D202&amp;"|"&amp;E202,'Work Packages'!$P$5:$P$200,0)),"")</f>
        <v>1.08.01</v>
      </c>
      <c r="C202" s="3" t="str">
        <f>'FSL Source'!B202</f>
        <v>ADJ-RD04-036</v>
      </c>
      <c r="D202" s="3" t="str">
        <f>'FSL Source'!C202</f>
        <v>Điều chỉnh, Tạm dừng &amp; Dừng</v>
      </c>
      <c r="E202" s="3" t="str">
        <f>'FSL Source'!D202</f>
        <v>Điều chỉnh nhiệm vụ</v>
      </c>
      <c r="F202" s="4" t="str">
        <f>'FSL Source'!E202</f>
        <v>Hồ sơ đổi chủ nhiệm cấp Tập đoàn</v>
      </c>
      <c r="G202" s="4" t="str">
        <f>'FSL Source'!F202</f>
        <v>Xem danh sách Hồ sơ đổi chủ nhiệm cấp Tập đoàn</v>
      </c>
      <c r="H202" s="4" t="str">
        <f>'FSL Source'!G202</f>
        <v>Tra cứu danh sách, phân trang, sắp xếp và lọc Hồ sơ đổi chủ nhiệm cấp Tập đoàn theo các tiêu chí nghiệp vụ.</v>
      </c>
      <c r="I202" s="3" t="str">
        <f>'FSL Source'!H202</f>
        <v>Chủ nhiệm/Cán bộ KHCN</v>
      </c>
      <c r="J202" s="3" t="str">
        <f>'FSL Source'!I202</f>
        <v>Nghiệp vụ</v>
      </c>
      <c r="K202" s="3" t="str">
        <f>'FSL Source'!J202</f>
        <v>RD04.06</v>
      </c>
      <c r="L202" s="3" t="str">
        <f>'FSL Source'!K202</f>
        <v>CAP-14</v>
      </c>
      <c r="M202" s="3" t="str">
        <f>'FSL Source'!L202</f>
        <v>Must</v>
      </c>
      <c r="N202" s="3" t="str">
        <f>'FSL Source'!M202</f>
        <v>Pha 2</v>
      </c>
      <c r="O202" s="3" t="str">
        <f>'FSL Source'!N202</f>
        <v>Đề xuất trong phạm vi</v>
      </c>
      <c r="P202" s="4" t="str">
        <f>'FSL Source'!O202</f>
        <v>Hiệu chỉnh theo BRD 0.9</v>
      </c>
      <c r="Q202" s="4" t="str">
        <f>'FSL Source'!P202</f>
        <v>Danh sách hiển thị đúng phạm vi dữ liệu và hỗ trợ lọc/xuất theo quyền.</v>
      </c>
      <c r="R202" s="4">
        <f>'FSL Source'!Q202</f>
        <v>0</v>
      </c>
      <c r="S202" s="3"/>
      <c r="T202" s="3"/>
      <c r="U202" s="8"/>
      <c r="V202" s="8"/>
      <c r="W202" s="9"/>
      <c r="X202" s="9" t="str">
        <f t="shared" si="3"/>
        <v/>
      </c>
      <c r="Y202" s="3" t="s">
        <v>1860</v>
      </c>
      <c r="Z202" s="10">
        <v>0</v>
      </c>
      <c r="AA202" s="4"/>
    </row>
    <row r="203" spans="1:27" ht="25.5">
      <c r="A203" s="3" t="str">
        <f>B203&amp;"."&amp;TEXT(COUNTIF($B$5:B203,B203),"000")</f>
        <v>1.08.01.037</v>
      </c>
      <c r="B203" s="3" t="str">
        <f>IFERROR(INDEX('Work Packages'!$A$5:$A$200,MATCH(D203&amp;"|"&amp;E203,'Work Packages'!$P$5:$P$200,0)),"")</f>
        <v>1.08.01</v>
      </c>
      <c r="C203" s="3" t="str">
        <f>'FSL Source'!B203</f>
        <v>ADJ-RD04-037</v>
      </c>
      <c r="D203" s="3" t="str">
        <f>'FSL Source'!C203</f>
        <v>Điều chỉnh, Tạm dừng &amp; Dừng</v>
      </c>
      <c r="E203" s="3" t="str">
        <f>'FSL Source'!D203</f>
        <v>Điều chỉnh nhiệm vụ</v>
      </c>
      <c r="F203" s="4" t="str">
        <f>'FSL Source'!E203</f>
        <v>Hồ sơ đổi chủ nhiệm cấp Tập đoàn</v>
      </c>
      <c r="G203" s="4" t="str">
        <f>'FSL Source'!F203</f>
        <v>Tạo mới Hồ sơ đổi chủ nhiệm cấp Tập đoàn</v>
      </c>
      <c r="H203" s="4" t="str">
        <f>'FSL Source'!G203</f>
        <v>Khởi tạo Hồ sơ đổi chủ nhiệm cấp Tập đoàn, kiểm tra dữ liệu bắt buộc và lưu nháp trước khi hoàn tất.</v>
      </c>
      <c r="I203" s="3" t="str">
        <f>'FSL Source'!H203</f>
        <v>Chủ nhiệm/Cán bộ KHCN</v>
      </c>
      <c r="J203" s="3" t="str">
        <f>'FSL Source'!I203</f>
        <v>Nghiệp vụ</v>
      </c>
      <c r="K203" s="3" t="str">
        <f>'FSL Source'!J203</f>
        <v>RD04.06</v>
      </c>
      <c r="L203" s="3" t="str">
        <f>'FSL Source'!K203</f>
        <v>CAP-14</v>
      </c>
      <c r="M203" s="3" t="str">
        <f>'FSL Source'!L203</f>
        <v>Must</v>
      </c>
      <c r="N203" s="3" t="str">
        <f>'FSL Source'!M203</f>
        <v>Pha 2</v>
      </c>
      <c r="O203" s="3" t="str">
        <f>'FSL Source'!N203</f>
        <v>Đề xuất trong phạm vi</v>
      </c>
      <c r="P203" s="4" t="str">
        <f>'FSL Source'!O203</f>
        <v>Hiệu chỉnh theo BRD 0.9</v>
      </c>
      <c r="Q203" s="4" t="str">
        <f>'FSL Source'!P203</f>
        <v>Dữ liệu hợp lệ được lưu; lỗi validation hiển thị tại trường tương ứng.</v>
      </c>
      <c r="R203" s="4">
        <f>'FSL Source'!Q203</f>
        <v>0</v>
      </c>
      <c r="S203" s="3"/>
      <c r="T203" s="3"/>
      <c r="U203" s="8"/>
      <c r="V203" s="8"/>
      <c r="W203" s="9"/>
      <c r="X203" s="9" t="str">
        <f t="shared" si="3"/>
        <v/>
      </c>
      <c r="Y203" s="3" t="s">
        <v>1860</v>
      </c>
      <c r="Z203" s="10">
        <v>0</v>
      </c>
      <c r="AA203" s="4"/>
    </row>
    <row r="204" spans="1:27" ht="38.25">
      <c r="A204" s="3" t="str">
        <f>B204&amp;"."&amp;TEXT(COUNTIF($B$5:B204,B204),"000")</f>
        <v>1.08.01.038</v>
      </c>
      <c r="B204" s="3" t="str">
        <f>IFERROR(INDEX('Work Packages'!$A$5:$A$200,MATCH(D204&amp;"|"&amp;E204,'Work Packages'!$P$5:$P$200,0)),"")</f>
        <v>1.08.01</v>
      </c>
      <c r="C204" s="3" t="str">
        <f>'FSL Source'!B204</f>
        <v>ADJ-RD04-038</v>
      </c>
      <c r="D204" s="3" t="str">
        <f>'FSL Source'!C204</f>
        <v>Điều chỉnh, Tạm dừng &amp; Dừng</v>
      </c>
      <c r="E204" s="3" t="str">
        <f>'FSL Source'!D204</f>
        <v>Điều chỉnh nhiệm vụ</v>
      </c>
      <c r="F204" s="4" t="str">
        <f>'FSL Source'!E204</f>
        <v>Hồ sơ đổi chủ nhiệm cấp Tập đoàn</v>
      </c>
      <c r="G204" s="4" t="str">
        <f>'FSL Source'!F204</f>
        <v>Xem chi tiết Hồ sơ đổi chủ nhiệm cấp Tập đoàn</v>
      </c>
      <c r="H204" s="4" t="str">
        <f>'FSL Source'!G204</f>
        <v>Hiển thị thông tin tổng quan, dữ liệu chi tiết, tài liệu liên quan và trạng thái của Hồ sơ đổi chủ nhiệm cấp Tập đoàn.</v>
      </c>
      <c r="I204" s="3" t="str">
        <f>'FSL Source'!H204</f>
        <v>Chủ nhiệm/Cán bộ KHCN</v>
      </c>
      <c r="J204" s="3" t="str">
        <f>'FSL Source'!I204</f>
        <v>Nghiệp vụ</v>
      </c>
      <c r="K204" s="3" t="str">
        <f>'FSL Source'!J204</f>
        <v>RD04.06</v>
      </c>
      <c r="L204" s="3" t="str">
        <f>'FSL Source'!K204</f>
        <v>CAP-14</v>
      </c>
      <c r="M204" s="3" t="str">
        <f>'FSL Source'!L204</f>
        <v>Must</v>
      </c>
      <c r="N204" s="3" t="str">
        <f>'FSL Source'!M204</f>
        <v>Pha 2</v>
      </c>
      <c r="O204" s="3" t="str">
        <f>'FSL Source'!N204</f>
        <v>Đề xuất trong phạm vi</v>
      </c>
      <c r="P204" s="4" t="str">
        <f>'FSL Source'!O204</f>
        <v>Hiệu chỉnh theo BRD 0.9</v>
      </c>
      <c r="Q204" s="4" t="str">
        <f>'FSL Source'!P204</f>
        <v>Thông tin hiển thị đúng phiên bản và quyền truy cập.</v>
      </c>
      <c r="R204" s="4">
        <f>'FSL Source'!Q204</f>
        <v>0</v>
      </c>
      <c r="S204" s="3"/>
      <c r="T204" s="3"/>
      <c r="U204" s="8"/>
      <c r="V204" s="8"/>
      <c r="W204" s="9"/>
      <c r="X204" s="9" t="str">
        <f t="shared" si="3"/>
        <v/>
      </c>
      <c r="Y204" s="3" t="s">
        <v>1860</v>
      </c>
      <c r="Z204" s="10">
        <v>0</v>
      </c>
      <c r="AA204" s="4"/>
    </row>
    <row r="205" spans="1:27" ht="38.25">
      <c r="A205" s="3" t="str">
        <f>B205&amp;"."&amp;TEXT(COUNTIF($B$5:B205,B205),"000")</f>
        <v>1.08.01.039</v>
      </c>
      <c r="B205" s="3" t="str">
        <f>IFERROR(INDEX('Work Packages'!$A$5:$A$200,MATCH(D205&amp;"|"&amp;E205,'Work Packages'!$P$5:$P$200,0)),"")</f>
        <v>1.08.01</v>
      </c>
      <c r="C205" s="3" t="str">
        <f>'FSL Source'!B205</f>
        <v>ADJ-RD04-039</v>
      </c>
      <c r="D205" s="3" t="str">
        <f>'FSL Source'!C205</f>
        <v>Điều chỉnh, Tạm dừng &amp; Dừng</v>
      </c>
      <c r="E205" s="3" t="str">
        <f>'FSL Source'!D205</f>
        <v>Điều chỉnh nhiệm vụ</v>
      </c>
      <c r="F205" s="4" t="str">
        <f>'FSL Source'!E205</f>
        <v>Hồ sơ đổi chủ nhiệm cấp Tập đoàn</v>
      </c>
      <c r="G205" s="4" t="str">
        <f>'FSL Source'!F205</f>
        <v>Chỉnh sửa Hồ sơ đổi chủ nhiệm cấp Tập đoàn</v>
      </c>
      <c r="H205" s="4" t="str">
        <f>'FSL Source'!G205</f>
        <v>Cập nhật Hồ sơ đổi chủ nhiệm cấp Tập đoàn khi trạng thái và quyền người dùng cho phép; kiểm soát xung đột cập nhật.</v>
      </c>
      <c r="I205" s="3" t="str">
        <f>'FSL Source'!H205</f>
        <v>Chủ nhiệm/Cán bộ KHCN</v>
      </c>
      <c r="J205" s="3" t="str">
        <f>'FSL Source'!I205</f>
        <v>Nghiệp vụ</v>
      </c>
      <c r="K205" s="3" t="str">
        <f>'FSL Source'!J205</f>
        <v>RD04.06</v>
      </c>
      <c r="L205" s="3" t="str">
        <f>'FSL Source'!K205</f>
        <v>CAP-14</v>
      </c>
      <c r="M205" s="3" t="str">
        <f>'FSL Source'!L205</f>
        <v>Must</v>
      </c>
      <c r="N205" s="3" t="str">
        <f>'FSL Source'!M205</f>
        <v>Pha 2</v>
      </c>
      <c r="O205" s="3" t="str">
        <f>'FSL Source'!N205</f>
        <v>Đề xuất trong phạm vi</v>
      </c>
      <c r="P205" s="4" t="str">
        <f>'FSL Source'!O205</f>
        <v>Hiệu chỉnh theo BRD 0.9</v>
      </c>
      <c r="Q205" s="4" t="str">
        <f>'FSL Source'!P205</f>
        <v>Chỉ trường được phép sửa có hiệu lực và thay đổi được ghi lịch sử.</v>
      </c>
      <c r="R205" s="4">
        <f>'FSL Source'!Q205</f>
        <v>0</v>
      </c>
      <c r="S205" s="3"/>
      <c r="T205" s="3"/>
      <c r="U205" s="8"/>
      <c r="V205" s="8"/>
      <c r="W205" s="9"/>
      <c r="X205" s="9" t="str">
        <f t="shared" si="3"/>
        <v/>
      </c>
      <c r="Y205" s="3" t="s">
        <v>1860</v>
      </c>
      <c r="Z205" s="10">
        <v>0</v>
      </c>
      <c r="AA205" s="4"/>
    </row>
    <row r="206" spans="1:27" ht="38.25">
      <c r="A206" s="3" t="str">
        <f>B206&amp;"."&amp;TEXT(COUNTIF($B$5:B206,B206),"000")</f>
        <v>1.08.01.040</v>
      </c>
      <c r="B206" s="3" t="str">
        <f>IFERROR(INDEX('Work Packages'!$A$5:$A$200,MATCH(D206&amp;"|"&amp;E206,'Work Packages'!$P$5:$P$200,0)),"")</f>
        <v>1.08.01</v>
      </c>
      <c r="C206" s="3" t="str">
        <f>'FSL Source'!B206</f>
        <v>ADJ-RD04-040</v>
      </c>
      <c r="D206" s="3" t="str">
        <f>'FSL Source'!C206</f>
        <v>Điều chỉnh, Tạm dừng &amp; Dừng</v>
      </c>
      <c r="E206" s="3" t="str">
        <f>'FSL Source'!D206</f>
        <v>Điều chỉnh nhiệm vụ</v>
      </c>
      <c r="F206" s="4" t="str">
        <f>'FSL Source'!E206</f>
        <v>Hồ sơ đổi chủ nhiệm cấp Tập đoàn</v>
      </c>
      <c r="G206" s="4" t="str">
        <f>'FSL Source'!F206</f>
        <v>Xóa/Ngừng sử dụng Hồ sơ đổi chủ nhiệm cấp Tập đoàn</v>
      </c>
      <c r="H206" s="4" t="str">
        <f>'FSL Source'!G206</f>
        <v>Xóa logic hoặc ngừng sử dụng Hồ sơ đổi chủ nhiệm cấp Tập đoàn sau khi kiểm tra ràng buộc tham chiếu.</v>
      </c>
      <c r="I206" s="3" t="str">
        <f>'FSL Source'!H206</f>
        <v>Quản trị/Cán bộ nghiệp vụ</v>
      </c>
      <c r="J206" s="3" t="str">
        <f>'FSL Source'!I206</f>
        <v>Nghiệp vụ</v>
      </c>
      <c r="K206" s="3" t="str">
        <f>'FSL Source'!J206</f>
        <v>RD04.06</v>
      </c>
      <c r="L206" s="3" t="str">
        <f>'FSL Source'!K206</f>
        <v>CAP-14</v>
      </c>
      <c r="M206" s="3" t="str">
        <f>'FSL Source'!L206</f>
        <v>Should</v>
      </c>
      <c r="N206" s="3" t="str">
        <f>'FSL Source'!M206</f>
        <v>Pha 2</v>
      </c>
      <c r="O206" s="3" t="str">
        <f>'FSL Source'!N206</f>
        <v>Đề xuất trong phạm vi</v>
      </c>
      <c r="P206" s="4" t="str">
        <f>'FSL Source'!O206</f>
        <v>Hiệu chỉnh theo BRD 0.9</v>
      </c>
      <c r="Q206" s="4" t="str">
        <f>'FSL Source'!P206</f>
        <v>Không xóa vật lý dữ liệu đã phát sinh giao dịch; cảnh báo rõ quan hệ phụ thuộc.</v>
      </c>
      <c r="R206" s="4">
        <f>'FSL Source'!Q206</f>
        <v>0</v>
      </c>
      <c r="S206" s="3"/>
      <c r="T206" s="3"/>
      <c r="U206" s="8"/>
      <c r="V206" s="8"/>
      <c r="W206" s="9"/>
      <c r="X206" s="9" t="str">
        <f t="shared" si="3"/>
        <v/>
      </c>
      <c r="Y206" s="3" t="s">
        <v>1860</v>
      </c>
      <c r="Z206" s="10">
        <v>0</v>
      </c>
      <c r="AA206" s="4"/>
    </row>
    <row r="207" spans="1:27" ht="38.25">
      <c r="A207" s="3" t="str">
        <f>B207&amp;"."&amp;TEXT(COUNTIF($B$5:B207,B207),"000")</f>
        <v>1.08.01.041</v>
      </c>
      <c r="B207" s="3" t="str">
        <f>IFERROR(INDEX('Work Packages'!$A$5:$A$200,MATCH(D207&amp;"|"&amp;E207,'Work Packages'!$P$5:$P$200,0)),"")</f>
        <v>1.08.01</v>
      </c>
      <c r="C207" s="3" t="str">
        <f>'FSL Source'!B207</f>
        <v>ADJ-RD04-041</v>
      </c>
      <c r="D207" s="3" t="str">
        <f>'FSL Source'!C207</f>
        <v>Điều chỉnh, Tạm dừng &amp; Dừng</v>
      </c>
      <c r="E207" s="3" t="str">
        <f>'FSL Source'!D207</f>
        <v>Điều chỉnh nhiệm vụ</v>
      </c>
      <c r="F207" s="4" t="str">
        <f>'FSL Source'!E207</f>
        <v>Hồ sơ đổi chủ nhiệm cấp Tập đoàn</v>
      </c>
      <c r="G207" s="4" t="str">
        <f>'FSL Source'!F207</f>
        <v>Trình duyệt Hồ sơ đổi chủ nhiệm cấp Tập đoàn</v>
      </c>
      <c r="H207" s="4" t="str">
        <f>'FSL Source'!G207</f>
        <v>Kiểm tra điều kiện, khóa phiên bản trình và khởi tạo/tiếp tục quy trình phê duyệt Hồ sơ đổi chủ nhiệm cấp Tập đoàn.</v>
      </c>
      <c r="I207" s="3" t="str">
        <f>'FSL Source'!H207</f>
        <v>Người lập/Chủ nhiệm nhiệm vụ</v>
      </c>
      <c r="J207" s="3" t="str">
        <f>'FSL Source'!I207</f>
        <v>Workflow</v>
      </c>
      <c r="K207" s="3" t="str">
        <f>'FSL Source'!J207</f>
        <v>RD04.06</v>
      </c>
      <c r="L207" s="3" t="str">
        <f>'FSL Source'!K207</f>
        <v>CAP-14</v>
      </c>
      <c r="M207" s="3" t="str">
        <f>'FSL Source'!L207</f>
        <v>Must</v>
      </c>
      <c r="N207" s="3" t="str">
        <f>'FSL Source'!M207</f>
        <v>Pha 2</v>
      </c>
      <c r="O207" s="3" t="str">
        <f>'FSL Source'!N207</f>
        <v>Đề xuất trong phạm vi</v>
      </c>
      <c r="P207" s="4" t="str">
        <f>'FSL Source'!O207</f>
        <v>Hiệu chỉnh theo BRD 0.9</v>
      </c>
      <c r="Q207" s="4" t="str">
        <f>'FSL Source'!P207</f>
        <v>Tạo đúng process instance, business key và task đầu tiên; không submit trùng.</v>
      </c>
      <c r="R207" s="4">
        <f>'FSL Source'!Q207</f>
        <v>0</v>
      </c>
      <c r="S207" s="3"/>
      <c r="T207" s="3"/>
      <c r="U207" s="8"/>
      <c r="V207" s="8"/>
      <c r="W207" s="9"/>
      <c r="X207" s="9" t="str">
        <f t="shared" si="3"/>
        <v/>
      </c>
      <c r="Y207" s="3" t="s">
        <v>1860</v>
      </c>
      <c r="Z207" s="10">
        <v>0</v>
      </c>
      <c r="AA207" s="4"/>
    </row>
    <row r="208" spans="1:27" ht="38.25">
      <c r="A208" s="3" t="str">
        <f>B208&amp;"."&amp;TEXT(COUNTIF($B$5:B208,B208),"000")</f>
        <v>1.08.01.042</v>
      </c>
      <c r="B208" s="3" t="str">
        <f>IFERROR(INDEX('Work Packages'!$A$5:$A$200,MATCH(D208&amp;"|"&amp;E208,'Work Packages'!$P$5:$P$200,0)),"")</f>
        <v>1.08.01</v>
      </c>
      <c r="C208" s="3" t="str">
        <f>'FSL Source'!B208</f>
        <v>ADJ-RD04-042</v>
      </c>
      <c r="D208" s="3" t="str">
        <f>'FSL Source'!C208</f>
        <v>Điều chỉnh, Tạm dừng &amp; Dừng</v>
      </c>
      <c r="E208" s="3" t="str">
        <f>'FSL Source'!D208</f>
        <v>Điều chỉnh nhiệm vụ</v>
      </c>
      <c r="F208" s="4" t="str">
        <f>'FSL Source'!E208</f>
        <v>Hồ sơ đổi chủ nhiệm cấp Tập đoàn</v>
      </c>
      <c r="G208" s="4" t="str">
        <f>'FSL Source'!F208</f>
        <v>Xem lịch sử Hồ sơ đổi chủ nhiệm cấp Tập đoàn</v>
      </c>
      <c r="H208" s="4" t="str">
        <f>'FSL Source'!G208</f>
        <v>Theo dõi phiên bản, thay đổi dữ liệu, người thực hiện và lịch sử xử lý của Hồ sơ đổi chủ nhiệm cấp Tập đoàn.</v>
      </c>
      <c r="I208" s="3" t="str">
        <f>'FSL Source'!H208</f>
        <v>Cán bộ nghiệp vụ/Quản trị</v>
      </c>
      <c r="J208" s="3" t="str">
        <f>'FSL Source'!I208</f>
        <v>Audit</v>
      </c>
      <c r="K208" s="3" t="str">
        <f>'FSL Source'!J208</f>
        <v>RD04.06</v>
      </c>
      <c r="L208" s="3" t="str">
        <f>'FSL Source'!K208</f>
        <v>CAP-14</v>
      </c>
      <c r="M208" s="3" t="str">
        <f>'FSL Source'!L208</f>
        <v>Must</v>
      </c>
      <c r="N208" s="3" t="str">
        <f>'FSL Source'!M208</f>
        <v>Pha 2</v>
      </c>
      <c r="O208" s="3" t="str">
        <f>'FSL Source'!N208</f>
        <v>Đề xuất trong phạm vi</v>
      </c>
      <c r="P208" s="4" t="str">
        <f>'FSL Source'!O208</f>
        <v>Hiệu chỉnh theo BRD 0.9</v>
      </c>
      <c r="Q208" s="4" t="str">
        <f>'FSL Source'!P208</f>
        <v>Lịch sử không thể sửa và truy vết được trước/sau của thay đổi quan trọng.</v>
      </c>
      <c r="R208" s="4">
        <f>'FSL Source'!Q208</f>
        <v>0</v>
      </c>
      <c r="S208" s="3"/>
      <c r="T208" s="3"/>
      <c r="U208" s="8"/>
      <c r="V208" s="8"/>
      <c r="W208" s="9"/>
      <c r="X208" s="9" t="str">
        <f t="shared" si="3"/>
        <v/>
      </c>
      <c r="Y208" s="3" t="s">
        <v>1860</v>
      </c>
      <c r="Z208" s="10">
        <v>0</v>
      </c>
      <c r="AA208" s="4"/>
    </row>
    <row r="209" spans="1:27" ht="38.25">
      <c r="A209" s="3" t="str">
        <f>B209&amp;"."&amp;TEXT(COUNTIF($B$5:B209,B209),"000")</f>
        <v>1.08.01.043</v>
      </c>
      <c r="B209" s="3" t="str">
        <f>IFERROR(INDEX('Work Packages'!$A$5:$A$200,MATCH(D209&amp;"|"&amp;E209,'Work Packages'!$P$5:$P$200,0)),"")</f>
        <v>1.08.01</v>
      </c>
      <c r="C209" s="3" t="str">
        <f>'FSL Source'!B209</f>
        <v>ADJ-RD04-043</v>
      </c>
      <c r="D209" s="3" t="str">
        <f>'FSL Source'!C209</f>
        <v>Điều chỉnh, Tạm dừng &amp; Dừng</v>
      </c>
      <c r="E209" s="3" t="str">
        <f>'FSL Source'!D209</f>
        <v>Điều chỉnh nhiệm vụ</v>
      </c>
      <c r="F209" s="4" t="str">
        <f>'FSL Source'!E209</f>
        <v>Hồ sơ điều chỉnh nội dung/dự toán không tăng tổng cấp Tập đoàn</v>
      </c>
      <c r="G209" s="4" t="str">
        <f>'FSL Source'!F209</f>
        <v>Xem danh sách Hồ sơ điều chỉnh nội dung/dự toán không tăng tổng cấp Tập đoàn</v>
      </c>
      <c r="H209" s="4" t="str">
        <f>'FSL Source'!G209</f>
        <v>Tra cứu danh sách, phân trang, sắp xếp và lọc Hồ sơ điều chỉnh nội dung/dự toán không tăng tổng cấp Tập đoàn theo các tiêu chí nghiệp vụ.</v>
      </c>
      <c r="I209" s="3" t="str">
        <f>'FSL Source'!H209</f>
        <v>Chủ nhiệm/Cán bộ KHCN</v>
      </c>
      <c r="J209" s="3" t="str">
        <f>'FSL Source'!I209</f>
        <v>Nghiệp vụ</v>
      </c>
      <c r="K209" s="3" t="str">
        <f>'FSL Source'!J209</f>
        <v>RD04.07</v>
      </c>
      <c r="L209" s="3" t="str">
        <f>'FSL Source'!K209</f>
        <v>CAP-14</v>
      </c>
      <c r="M209" s="3" t="str">
        <f>'FSL Source'!L209</f>
        <v>Must</v>
      </c>
      <c r="N209" s="3" t="str">
        <f>'FSL Source'!M209</f>
        <v>Pha 2</v>
      </c>
      <c r="O209" s="3" t="str">
        <f>'FSL Source'!N209</f>
        <v>Đề xuất trong phạm vi</v>
      </c>
      <c r="P209" s="4" t="str">
        <f>'FSL Source'!O209</f>
        <v>Hiệu chỉnh theo BRD 0.9</v>
      </c>
      <c r="Q209" s="4" t="str">
        <f>'FSL Source'!P209</f>
        <v>Danh sách hiển thị đúng phạm vi dữ liệu và hỗ trợ lọc/xuất theo quyền.</v>
      </c>
      <c r="R209" s="4">
        <f>'FSL Source'!Q209</f>
        <v>0</v>
      </c>
      <c r="S209" s="3"/>
      <c r="T209" s="3"/>
      <c r="U209" s="8"/>
      <c r="V209" s="8"/>
      <c r="W209" s="9"/>
      <c r="X209" s="9" t="str">
        <f t="shared" si="3"/>
        <v/>
      </c>
      <c r="Y209" s="3" t="s">
        <v>1860</v>
      </c>
      <c r="Z209" s="10">
        <v>0</v>
      </c>
      <c r="AA209" s="4"/>
    </row>
    <row r="210" spans="1:27" ht="38.25">
      <c r="A210" s="3" t="str">
        <f>B210&amp;"."&amp;TEXT(COUNTIF($B$5:B210,B210),"000")</f>
        <v>1.08.01.044</v>
      </c>
      <c r="B210" s="3" t="str">
        <f>IFERROR(INDEX('Work Packages'!$A$5:$A$200,MATCH(D210&amp;"|"&amp;E210,'Work Packages'!$P$5:$P$200,0)),"")</f>
        <v>1.08.01</v>
      </c>
      <c r="C210" s="3" t="str">
        <f>'FSL Source'!B210</f>
        <v>ADJ-RD04-044</v>
      </c>
      <c r="D210" s="3" t="str">
        <f>'FSL Source'!C210</f>
        <v>Điều chỉnh, Tạm dừng &amp; Dừng</v>
      </c>
      <c r="E210" s="3" t="str">
        <f>'FSL Source'!D210</f>
        <v>Điều chỉnh nhiệm vụ</v>
      </c>
      <c r="F210" s="4" t="str">
        <f>'FSL Source'!E210</f>
        <v>Hồ sơ điều chỉnh nội dung/dự toán không tăng tổng cấp Tập đoàn</v>
      </c>
      <c r="G210" s="4" t="str">
        <f>'FSL Source'!F210</f>
        <v>Tạo mới Hồ sơ điều chỉnh nội dung/dự toán không tăng tổng cấp Tập đoàn</v>
      </c>
      <c r="H210" s="4" t="str">
        <f>'FSL Source'!G210</f>
        <v>Khởi tạo Hồ sơ điều chỉnh nội dung/dự toán không tăng tổng cấp Tập đoàn, kiểm tra dữ liệu bắt buộc và lưu nháp trước khi hoàn tất.</v>
      </c>
      <c r="I210" s="3" t="str">
        <f>'FSL Source'!H210</f>
        <v>Chủ nhiệm/Cán bộ KHCN</v>
      </c>
      <c r="J210" s="3" t="str">
        <f>'FSL Source'!I210</f>
        <v>Nghiệp vụ</v>
      </c>
      <c r="K210" s="3" t="str">
        <f>'FSL Source'!J210</f>
        <v>RD04.07</v>
      </c>
      <c r="L210" s="3" t="str">
        <f>'FSL Source'!K210</f>
        <v>CAP-14</v>
      </c>
      <c r="M210" s="3" t="str">
        <f>'FSL Source'!L210</f>
        <v>Must</v>
      </c>
      <c r="N210" s="3" t="str">
        <f>'FSL Source'!M210</f>
        <v>Pha 2</v>
      </c>
      <c r="O210" s="3" t="str">
        <f>'FSL Source'!N210</f>
        <v>Đề xuất trong phạm vi</v>
      </c>
      <c r="P210" s="4" t="str">
        <f>'FSL Source'!O210</f>
        <v>Hiệu chỉnh theo BRD 0.9</v>
      </c>
      <c r="Q210" s="4" t="str">
        <f>'FSL Source'!P210</f>
        <v>Dữ liệu hợp lệ được lưu; lỗi validation hiển thị tại trường tương ứng.</v>
      </c>
      <c r="R210" s="4">
        <f>'FSL Source'!Q210</f>
        <v>0</v>
      </c>
      <c r="S210" s="3"/>
      <c r="T210" s="3"/>
      <c r="U210" s="8"/>
      <c r="V210" s="8"/>
      <c r="W210" s="9"/>
      <c r="X210" s="9" t="str">
        <f t="shared" si="3"/>
        <v/>
      </c>
      <c r="Y210" s="3" t="s">
        <v>1860</v>
      </c>
      <c r="Z210" s="10">
        <v>0</v>
      </c>
      <c r="AA210" s="4"/>
    </row>
    <row r="211" spans="1:27" ht="38.25">
      <c r="A211" s="3" t="str">
        <f>B211&amp;"."&amp;TEXT(COUNTIF($B$5:B211,B211),"000")</f>
        <v>1.08.01.045</v>
      </c>
      <c r="B211" s="3" t="str">
        <f>IFERROR(INDEX('Work Packages'!$A$5:$A$200,MATCH(D211&amp;"|"&amp;E211,'Work Packages'!$P$5:$P$200,0)),"")</f>
        <v>1.08.01</v>
      </c>
      <c r="C211" s="3" t="str">
        <f>'FSL Source'!B211</f>
        <v>ADJ-RD04-045</v>
      </c>
      <c r="D211" s="3" t="str">
        <f>'FSL Source'!C211</f>
        <v>Điều chỉnh, Tạm dừng &amp; Dừng</v>
      </c>
      <c r="E211" s="3" t="str">
        <f>'FSL Source'!D211</f>
        <v>Điều chỉnh nhiệm vụ</v>
      </c>
      <c r="F211" s="4" t="str">
        <f>'FSL Source'!E211</f>
        <v>Hồ sơ điều chỉnh nội dung/dự toán không tăng tổng cấp Tập đoàn</v>
      </c>
      <c r="G211" s="4" t="str">
        <f>'FSL Source'!F211</f>
        <v>Xem chi tiết Hồ sơ điều chỉnh nội dung/dự toán không tăng tổng cấp Tập đoàn</v>
      </c>
      <c r="H211" s="4" t="str">
        <f>'FSL Source'!G211</f>
        <v>Hiển thị thông tin tổng quan, dữ liệu chi tiết, tài liệu liên quan và trạng thái của Hồ sơ điều chỉnh nội dung/dự toán không tăng tổng cấp Tập đoàn.</v>
      </c>
      <c r="I211" s="3" t="str">
        <f>'FSL Source'!H211</f>
        <v>Chủ nhiệm/Cán bộ KHCN</v>
      </c>
      <c r="J211" s="3" t="str">
        <f>'FSL Source'!I211</f>
        <v>Nghiệp vụ</v>
      </c>
      <c r="K211" s="3" t="str">
        <f>'FSL Source'!J211</f>
        <v>RD04.07</v>
      </c>
      <c r="L211" s="3" t="str">
        <f>'FSL Source'!K211</f>
        <v>CAP-14</v>
      </c>
      <c r="M211" s="3" t="str">
        <f>'FSL Source'!L211</f>
        <v>Must</v>
      </c>
      <c r="N211" s="3" t="str">
        <f>'FSL Source'!M211</f>
        <v>Pha 2</v>
      </c>
      <c r="O211" s="3" t="str">
        <f>'FSL Source'!N211</f>
        <v>Đề xuất trong phạm vi</v>
      </c>
      <c r="P211" s="4" t="str">
        <f>'FSL Source'!O211</f>
        <v>Hiệu chỉnh theo BRD 0.9</v>
      </c>
      <c r="Q211" s="4" t="str">
        <f>'FSL Source'!P211</f>
        <v>Thông tin hiển thị đúng phiên bản và quyền truy cập.</v>
      </c>
      <c r="R211" s="4">
        <f>'FSL Source'!Q211</f>
        <v>0</v>
      </c>
      <c r="S211" s="3"/>
      <c r="T211" s="3"/>
      <c r="U211" s="8"/>
      <c r="V211" s="8"/>
      <c r="W211" s="9"/>
      <c r="X211" s="9" t="str">
        <f t="shared" si="3"/>
        <v/>
      </c>
      <c r="Y211" s="3" t="s">
        <v>1860</v>
      </c>
      <c r="Z211" s="10">
        <v>0</v>
      </c>
      <c r="AA211" s="4"/>
    </row>
    <row r="212" spans="1:27" ht="38.25">
      <c r="A212" s="3" t="str">
        <f>B212&amp;"."&amp;TEXT(COUNTIF($B$5:B212,B212),"000")</f>
        <v>1.08.01.046</v>
      </c>
      <c r="B212" s="3" t="str">
        <f>IFERROR(INDEX('Work Packages'!$A$5:$A$200,MATCH(D212&amp;"|"&amp;E212,'Work Packages'!$P$5:$P$200,0)),"")</f>
        <v>1.08.01</v>
      </c>
      <c r="C212" s="3" t="str">
        <f>'FSL Source'!B212</f>
        <v>ADJ-RD04-046</v>
      </c>
      <c r="D212" s="3" t="str">
        <f>'FSL Source'!C212</f>
        <v>Điều chỉnh, Tạm dừng &amp; Dừng</v>
      </c>
      <c r="E212" s="3" t="str">
        <f>'FSL Source'!D212</f>
        <v>Điều chỉnh nhiệm vụ</v>
      </c>
      <c r="F212" s="4" t="str">
        <f>'FSL Source'!E212</f>
        <v>Hồ sơ điều chỉnh nội dung/dự toán không tăng tổng cấp Tập đoàn</v>
      </c>
      <c r="G212" s="4" t="str">
        <f>'FSL Source'!F212</f>
        <v>Chỉnh sửa Hồ sơ điều chỉnh nội dung/dự toán không tăng tổng cấp Tập đoàn</v>
      </c>
      <c r="H212" s="4" t="str">
        <f>'FSL Source'!G212</f>
        <v>Cập nhật Hồ sơ điều chỉnh nội dung/dự toán không tăng tổng cấp Tập đoàn khi trạng thái và quyền người dùng cho phép; kiểm soát xung đột cập nhật.</v>
      </c>
      <c r="I212" s="3" t="str">
        <f>'FSL Source'!H212</f>
        <v>Chủ nhiệm/Cán bộ KHCN</v>
      </c>
      <c r="J212" s="3" t="str">
        <f>'FSL Source'!I212</f>
        <v>Nghiệp vụ</v>
      </c>
      <c r="K212" s="3" t="str">
        <f>'FSL Source'!J212</f>
        <v>RD04.07</v>
      </c>
      <c r="L212" s="3" t="str">
        <f>'FSL Source'!K212</f>
        <v>CAP-14</v>
      </c>
      <c r="M212" s="3" t="str">
        <f>'FSL Source'!L212</f>
        <v>Must</v>
      </c>
      <c r="N212" s="3" t="str">
        <f>'FSL Source'!M212</f>
        <v>Pha 2</v>
      </c>
      <c r="O212" s="3" t="str">
        <f>'FSL Source'!N212</f>
        <v>Đề xuất trong phạm vi</v>
      </c>
      <c r="P212" s="4" t="str">
        <f>'FSL Source'!O212</f>
        <v>Hiệu chỉnh theo BRD 0.9</v>
      </c>
      <c r="Q212" s="4" t="str">
        <f>'FSL Source'!P212</f>
        <v>Chỉ trường được phép sửa có hiệu lực và thay đổi được ghi lịch sử.</v>
      </c>
      <c r="R212" s="4">
        <f>'FSL Source'!Q212</f>
        <v>0</v>
      </c>
      <c r="S212" s="3"/>
      <c r="T212" s="3"/>
      <c r="U212" s="8"/>
      <c r="V212" s="8"/>
      <c r="W212" s="9"/>
      <c r="X212" s="9" t="str">
        <f t="shared" si="3"/>
        <v/>
      </c>
      <c r="Y212" s="3" t="s">
        <v>1860</v>
      </c>
      <c r="Z212" s="10">
        <v>0</v>
      </c>
      <c r="AA212" s="4"/>
    </row>
    <row r="213" spans="1:27" ht="38.25">
      <c r="A213" s="3" t="str">
        <f>B213&amp;"."&amp;TEXT(COUNTIF($B$5:B213,B213),"000")</f>
        <v>1.08.01.047</v>
      </c>
      <c r="B213" s="3" t="str">
        <f>IFERROR(INDEX('Work Packages'!$A$5:$A$200,MATCH(D213&amp;"|"&amp;E213,'Work Packages'!$P$5:$P$200,0)),"")</f>
        <v>1.08.01</v>
      </c>
      <c r="C213" s="3" t="str">
        <f>'FSL Source'!B213</f>
        <v>ADJ-RD04-047</v>
      </c>
      <c r="D213" s="3" t="str">
        <f>'FSL Source'!C213</f>
        <v>Điều chỉnh, Tạm dừng &amp; Dừng</v>
      </c>
      <c r="E213" s="3" t="str">
        <f>'FSL Source'!D213</f>
        <v>Điều chỉnh nhiệm vụ</v>
      </c>
      <c r="F213" s="4" t="str">
        <f>'FSL Source'!E213</f>
        <v>Hồ sơ điều chỉnh nội dung/dự toán không tăng tổng cấp Tập đoàn</v>
      </c>
      <c r="G213" s="4" t="str">
        <f>'FSL Source'!F213</f>
        <v>Xóa/Ngừng sử dụng Hồ sơ điều chỉnh nội dung/dự toán không tăng tổng cấp Tập đoàn</v>
      </c>
      <c r="H213" s="4" t="str">
        <f>'FSL Source'!G213</f>
        <v>Xóa logic hoặc ngừng sử dụng Hồ sơ điều chỉnh nội dung/dự toán không tăng tổng cấp Tập đoàn sau khi kiểm tra ràng buộc tham chiếu.</v>
      </c>
      <c r="I213" s="3" t="str">
        <f>'FSL Source'!H213</f>
        <v>Quản trị/Cán bộ nghiệp vụ</v>
      </c>
      <c r="J213" s="3" t="str">
        <f>'FSL Source'!I213</f>
        <v>Nghiệp vụ</v>
      </c>
      <c r="K213" s="3" t="str">
        <f>'FSL Source'!J213</f>
        <v>RD04.07</v>
      </c>
      <c r="L213" s="3" t="str">
        <f>'FSL Source'!K213</f>
        <v>CAP-14</v>
      </c>
      <c r="M213" s="3" t="str">
        <f>'FSL Source'!L213</f>
        <v>Should</v>
      </c>
      <c r="N213" s="3" t="str">
        <f>'FSL Source'!M213</f>
        <v>Pha 2</v>
      </c>
      <c r="O213" s="3" t="str">
        <f>'FSL Source'!N213</f>
        <v>Đề xuất trong phạm vi</v>
      </c>
      <c r="P213" s="4" t="str">
        <f>'FSL Source'!O213</f>
        <v>Hiệu chỉnh theo BRD 0.9</v>
      </c>
      <c r="Q213" s="4" t="str">
        <f>'FSL Source'!P213</f>
        <v>Không xóa vật lý dữ liệu đã phát sinh giao dịch; cảnh báo rõ quan hệ phụ thuộc.</v>
      </c>
      <c r="R213" s="4">
        <f>'FSL Source'!Q213</f>
        <v>0</v>
      </c>
      <c r="S213" s="3"/>
      <c r="T213" s="3"/>
      <c r="U213" s="8"/>
      <c r="V213" s="8"/>
      <c r="W213" s="9"/>
      <c r="X213" s="9" t="str">
        <f t="shared" si="3"/>
        <v/>
      </c>
      <c r="Y213" s="3" t="s">
        <v>1860</v>
      </c>
      <c r="Z213" s="10">
        <v>0</v>
      </c>
      <c r="AA213" s="4"/>
    </row>
    <row r="214" spans="1:27" ht="38.25">
      <c r="A214" s="3" t="str">
        <f>B214&amp;"."&amp;TEXT(COUNTIF($B$5:B214,B214),"000")</f>
        <v>1.08.01.048</v>
      </c>
      <c r="B214" s="3" t="str">
        <f>IFERROR(INDEX('Work Packages'!$A$5:$A$200,MATCH(D214&amp;"|"&amp;E214,'Work Packages'!$P$5:$P$200,0)),"")</f>
        <v>1.08.01</v>
      </c>
      <c r="C214" s="3" t="str">
        <f>'FSL Source'!B214</f>
        <v>ADJ-RD04-048</v>
      </c>
      <c r="D214" s="3" t="str">
        <f>'FSL Source'!C214</f>
        <v>Điều chỉnh, Tạm dừng &amp; Dừng</v>
      </c>
      <c r="E214" s="3" t="str">
        <f>'FSL Source'!D214</f>
        <v>Điều chỉnh nhiệm vụ</v>
      </c>
      <c r="F214" s="4" t="str">
        <f>'FSL Source'!E214</f>
        <v>Hồ sơ điều chỉnh nội dung/dự toán không tăng tổng cấp Tập đoàn</v>
      </c>
      <c r="G214" s="4" t="str">
        <f>'FSL Source'!F214</f>
        <v>Trình duyệt Hồ sơ điều chỉnh nội dung/dự toán không tăng tổng cấp Tập đoàn</v>
      </c>
      <c r="H214" s="4" t="str">
        <f>'FSL Source'!G214</f>
        <v>Kiểm tra điều kiện, khóa phiên bản trình và khởi tạo/tiếp tục quy trình phê duyệt Hồ sơ điều chỉnh nội dung/dự toán không tăng tổng cấp Tập đoàn.</v>
      </c>
      <c r="I214" s="3" t="str">
        <f>'FSL Source'!H214</f>
        <v>Người lập/Chủ nhiệm nhiệm vụ</v>
      </c>
      <c r="J214" s="3" t="str">
        <f>'FSL Source'!I214</f>
        <v>Workflow</v>
      </c>
      <c r="K214" s="3" t="str">
        <f>'FSL Source'!J214</f>
        <v>RD04.07</v>
      </c>
      <c r="L214" s="3" t="str">
        <f>'FSL Source'!K214</f>
        <v>CAP-14</v>
      </c>
      <c r="M214" s="3" t="str">
        <f>'FSL Source'!L214</f>
        <v>Must</v>
      </c>
      <c r="N214" s="3" t="str">
        <f>'FSL Source'!M214</f>
        <v>Pha 2</v>
      </c>
      <c r="O214" s="3" t="str">
        <f>'FSL Source'!N214</f>
        <v>Đề xuất trong phạm vi</v>
      </c>
      <c r="P214" s="4" t="str">
        <f>'FSL Source'!O214</f>
        <v>Hiệu chỉnh theo BRD 0.9</v>
      </c>
      <c r="Q214" s="4" t="str">
        <f>'FSL Source'!P214</f>
        <v>Tạo đúng process instance, business key và task đầu tiên; không submit trùng.</v>
      </c>
      <c r="R214" s="4">
        <f>'FSL Source'!Q214</f>
        <v>0</v>
      </c>
      <c r="S214" s="3"/>
      <c r="T214" s="3"/>
      <c r="U214" s="8"/>
      <c r="V214" s="8"/>
      <c r="W214" s="9"/>
      <c r="X214" s="9" t="str">
        <f t="shared" si="3"/>
        <v/>
      </c>
      <c r="Y214" s="3" t="s">
        <v>1860</v>
      </c>
      <c r="Z214" s="10">
        <v>0</v>
      </c>
      <c r="AA214" s="4"/>
    </row>
    <row r="215" spans="1:27" ht="38.25">
      <c r="A215" s="3" t="str">
        <f>B215&amp;"."&amp;TEXT(COUNTIF($B$5:B215,B215),"000")</f>
        <v>1.08.01.049</v>
      </c>
      <c r="B215" s="3" t="str">
        <f>IFERROR(INDEX('Work Packages'!$A$5:$A$200,MATCH(D215&amp;"|"&amp;E215,'Work Packages'!$P$5:$P$200,0)),"")</f>
        <v>1.08.01</v>
      </c>
      <c r="C215" s="3" t="str">
        <f>'FSL Source'!B215</f>
        <v>ADJ-RD04-049</v>
      </c>
      <c r="D215" s="3" t="str">
        <f>'FSL Source'!C215</f>
        <v>Điều chỉnh, Tạm dừng &amp; Dừng</v>
      </c>
      <c r="E215" s="3" t="str">
        <f>'FSL Source'!D215</f>
        <v>Điều chỉnh nhiệm vụ</v>
      </c>
      <c r="F215" s="4" t="str">
        <f>'FSL Source'!E215</f>
        <v>Hồ sơ điều chỉnh nội dung/dự toán không tăng tổng cấp Tập đoàn</v>
      </c>
      <c r="G215" s="4" t="str">
        <f>'FSL Source'!F215</f>
        <v>Xem lịch sử Hồ sơ điều chỉnh nội dung/dự toán không tăng tổng cấp Tập đoàn</v>
      </c>
      <c r="H215" s="4" t="str">
        <f>'FSL Source'!G215</f>
        <v>Theo dõi phiên bản, thay đổi dữ liệu, người thực hiện và lịch sử xử lý của Hồ sơ điều chỉnh nội dung/dự toán không tăng tổng cấp Tập đoàn.</v>
      </c>
      <c r="I215" s="3" t="str">
        <f>'FSL Source'!H215</f>
        <v>Cán bộ nghiệp vụ/Quản trị</v>
      </c>
      <c r="J215" s="3" t="str">
        <f>'FSL Source'!I215</f>
        <v>Audit</v>
      </c>
      <c r="K215" s="3" t="str">
        <f>'FSL Source'!J215</f>
        <v>RD04.07</v>
      </c>
      <c r="L215" s="3" t="str">
        <f>'FSL Source'!K215</f>
        <v>CAP-14</v>
      </c>
      <c r="M215" s="3" t="str">
        <f>'FSL Source'!L215</f>
        <v>Must</v>
      </c>
      <c r="N215" s="3" t="str">
        <f>'FSL Source'!M215</f>
        <v>Pha 2</v>
      </c>
      <c r="O215" s="3" t="str">
        <f>'FSL Source'!N215</f>
        <v>Đề xuất trong phạm vi</v>
      </c>
      <c r="P215" s="4" t="str">
        <f>'FSL Source'!O215</f>
        <v>Hiệu chỉnh theo BRD 0.9</v>
      </c>
      <c r="Q215" s="4" t="str">
        <f>'FSL Source'!P215</f>
        <v>Lịch sử không thể sửa và truy vết được trước/sau của thay đổi quan trọng.</v>
      </c>
      <c r="R215" s="4">
        <f>'FSL Source'!Q215</f>
        <v>0</v>
      </c>
      <c r="S215" s="3"/>
      <c r="T215" s="3"/>
      <c r="U215" s="8"/>
      <c r="V215" s="8"/>
      <c r="W215" s="9"/>
      <c r="X215" s="9" t="str">
        <f t="shared" si="3"/>
        <v/>
      </c>
      <c r="Y215" s="3" t="s">
        <v>1860</v>
      </c>
      <c r="Z215" s="10">
        <v>0</v>
      </c>
      <c r="AA215" s="4"/>
    </row>
    <row r="216" spans="1:27" ht="51">
      <c r="A216" s="3" t="str">
        <f>B216&amp;"."&amp;TEXT(COUNTIF($B$5:B216,B216),"000")</f>
        <v>1.08.01.050</v>
      </c>
      <c r="B216" s="3" t="str">
        <f>IFERROR(INDEX('Work Packages'!$A$5:$A$200,MATCH(D216&amp;"|"&amp;E216,'Work Packages'!$P$5:$P$200,0)),"")</f>
        <v>1.08.01</v>
      </c>
      <c r="C216" s="3" t="str">
        <f>'FSL Source'!B216</f>
        <v>ADJ-RD04-050</v>
      </c>
      <c r="D216" s="3" t="str">
        <f>'FSL Source'!C216</f>
        <v>Điều chỉnh, Tạm dừng &amp; Dừng</v>
      </c>
      <c r="E216" s="3" t="str">
        <f>'FSL Source'!D216</f>
        <v>Điều chỉnh nhiệm vụ</v>
      </c>
      <c r="F216" s="4" t="str">
        <f>'FSL Source'!E216</f>
        <v>Hồ sơ điều chỉnh mục tiêu/tăng dự toán không vượt chủ trương cấp Tập đoàn</v>
      </c>
      <c r="G216" s="4" t="str">
        <f>'FSL Source'!F216</f>
        <v>Xem danh sách Hồ sơ điều chỉnh mục tiêu/tăng dự toán không vượt chủ trương cấp Tập đoàn</v>
      </c>
      <c r="H216" s="4" t="str">
        <f>'FSL Source'!G216</f>
        <v>Tra cứu danh sách, phân trang, sắp xếp và lọc Hồ sơ điều chỉnh mục tiêu/tăng dự toán không vượt chủ trương cấp Tập đoàn theo các tiêu chí nghiệp vụ.</v>
      </c>
      <c r="I216" s="3" t="str">
        <f>'FSL Source'!H216</f>
        <v>Chủ nhiệm/Cán bộ KHCN</v>
      </c>
      <c r="J216" s="3" t="str">
        <f>'FSL Source'!I216</f>
        <v>Nghiệp vụ</v>
      </c>
      <c r="K216" s="3" t="str">
        <f>'FSL Source'!J216</f>
        <v>RD04.08</v>
      </c>
      <c r="L216" s="3" t="str">
        <f>'FSL Source'!K216</f>
        <v>CAP-14</v>
      </c>
      <c r="M216" s="3" t="str">
        <f>'FSL Source'!L216</f>
        <v>Must</v>
      </c>
      <c r="N216" s="3" t="str">
        <f>'FSL Source'!M216</f>
        <v>Pha 2</v>
      </c>
      <c r="O216" s="3" t="str">
        <f>'FSL Source'!N216</f>
        <v>Đề xuất trong phạm vi</v>
      </c>
      <c r="P216" s="4" t="str">
        <f>'FSL Source'!O216</f>
        <v>Hiệu chỉnh theo BRD 0.9</v>
      </c>
      <c r="Q216" s="4" t="str">
        <f>'FSL Source'!P216</f>
        <v>Danh sách hiển thị đúng phạm vi dữ liệu và hỗ trợ lọc/xuất theo quyền.</v>
      </c>
      <c r="R216" s="4">
        <f>'FSL Source'!Q216</f>
        <v>0</v>
      </c>
      <c r="S216" s="3"/>
      <c r="T216" s="3"/>
      <c r="U216" s="8"/>
      <c r="V216" s="8"/>
      <c r="W216" s="9"/>
      <c r="X216" s="9" t="str">
        <f t="shared" si="3"/>
        <v/>
      </c>
      <c r="Y216" s="3" t="s">
        <v>1860</v>
      </c>
      <c r="Z216" s="10">
        <v>0</v>
      </c>
      <c r="AA216" s="4"/>
    </row>
    <row r="217" spans="1:27" ht="51">
      <c r="A217" s="3" t="str">
        <f>B217&amp;"."&amp;TEXT(COUNTIF($B$5:B217,B217),"000")</f>
        <v>1.08.01.051</v>
      </c>
      <c r="B217" s="3" t="str">
        <f>IFERROR(INDEX('Work Packages'!$A$5:$A$200,MATCH(D217&amp;"|"&amp;E217,'Work Packages'!$P$5:$P$200,0)),"")</f>
        <v>1.08.01</v>
      </c>
      <c r="C217" s="3" t="str">
        <f>'FSL Source'!B217</f>
        <v>ADJ-RD04-051</v>
      </c>
      <c r="D217" s="3" t="str">
        <f>'FSL Source'!C217</f>
        <v>Điều chỉnh, Tạm dừng &amp; Dừng</v>
      </c>
      <c r="E217" s="3" t="str">
        <f>'FSL Source'!D217</f>
        <v>Điều chỉnh nhiệm vụ</v>
      </c>
      <c r="F217" s="4" t="str">
        <f>'FSL Source'!E217</f>
        <v>Hồ sơ điều chỉnh mục tiêu/tăng dự toán không vượt chủ trương cấp Tập đoàn</v>
      </c>
      <c r="G217" s="4" t="str">
        <f>'FSL Source'!F217</f>
        <v>Tạo mới Hồ sơ điều chỉnh mục tiêu/tăng dự toán không vượt chủ trương cấp Tập đoàn</v>
      </c>
      <c r="H217" s="4" t="str">
        <f>'FSL Source'!G217</f>
        <v>Khởi tạo Hồ sơ điều chỉnh mục tiêu/tăng dự toán không vượt chủ trương cấp Tập đoàn, kiểm tra dữ liệu bắt buộc và lưu nháp trước khi hoàn tất.</v>
      </c>
      <c r="I217" s="3" t="str">
        <f>'FSL Source'!H217</f>
        <v>Chủ nhiệm/Cán bộ KHCN</v>
      </c>
      <c r="J217" s="3" t="str">
        <f>'FSL Source'!I217</f>
        <v>Nghiệp vụ</v>
      </c>
      <c r="K217" s="3" t="str">
        <f>'FSL Source'!J217</f>
        <v>RD04.08</v>
      </c>
      <c r="L217" s="3" t="str">
        <f>'FSL Source'!K217</f>
        <v>CAP-14</v>
      </c>
      <c r="M217" s="3" t="str">
        <f>'FSL Source'!L217</f>
        <v>Must</v>
      </c>
      <c r="N217" s="3" t="str">
        <f>'FSL Source'!M217</f>
        <v>Pha 2</v>
      </c>
      <c r="O217" s="3" t="str">
        <f>'FSL Source'!N217</f>
        <v>Đề xuất trong phạm vi</v>
      </c>
      <c r="P217" s="4" t="str">
        <f>'FSL Source'!O217</f>
        <v>Hiệu chỉnh theo BRD 0.9</v>
      </c>
      <c r="Q217" s="4" t="str">
        <f>'FSL Source'!P217</f>
        <v>Dữ liệu hợp lệ được lưu; lỗi validation hiển thị tại trường tương ứng.</v>
      </c>
      <c r="R217" s="4">
        <f>'FSL Source'!Q217</f>
        <v>0</v>
      </c>
      <c r="S217" s="3"/>
      <c r="T217" s="3"/>
      <c r="U217" s="8"/>
      <c r="V217" s="8"/>
      <c r="W217" s="9"/>
      <c r="X217" s="9" t="str">
        <f t="shared" si="3"/>
        <v/>
      </c>
      <c r="Y217" s="3" t="s">
        <v>1860</v>
      </c>
      <c r="Z217" s="10">
        <v>0</v>
      </c>
      <c r="AA217" s="4"/>
    </row>
    <row r="218" spans="1:27" ht="51">
      <c r="A218" s="3" t="str">
        <f>B218&amp;"."&amp;TEXT(COUNTIF($B$5:B218,B218),"000")</f>
        <v>1.08.01.052</v>
      </c>
      <c r="B218" s="3" t="str">
        <f>IFERROR(INDEX('Work Packages'!$A$5:$A$200,MATCH(D218&amp;"|"&amp;E218,'Work Packages'!$P$5:$P$200,0)),"")</f>
        <v>1.08.01</v>
      </c>
      <c r="C218" s="3" t="str">
        <f>'FSL Source'!B218</f>
        <v>ADJ-RD04-052</v>
      </c>
      <c r="D218" s="3" t="str">
        <f>'FSL Source'!C218</f>
        <v>Điều chỉnh, Tạm dừng &amp; Dừng</v>
      </c>
      <c r="E218" s="3" t="str">
        <f>'FSL Source'!D218</f>
        <v>Điều chỉnh nhiệm vụ</v>
      </c>
      <c r="F218" s="4" t="str">
        <f>'FSL Source'!E218</f>
        <v>Hồ sơ điều chỉnh mục tiêu/tăng dự toán không vượt chủ trương cấp Tập đoàn</v>
      </c>
      <c r="G218" s="4" t="str">
        <f>'FSL Source'!F218</f>
        <v>Xem chi tiết Hồ sơ điều chỉnh mục tiêu/tăng dự toán không vượt chủ trương cấp Tập đoàn</v>
      </c>
      <c r="H218" s="4" t="str">
        <f>'FSL Source'!G218</f>
        <v>Hiển thị thông tin tổng quan, dữ liệu chi tiết, tài liệu liên quan và trạng thái của Hồ sơ điều chỉnh mục tiêu/tăng dự toán không vượt chủ trương cấp Tập đoàn.</v>
      </c>
      <c r="I218" s="3" t="str">
        <f>'FSL Source'!H218</f>
        <v>Chủ nhiệm/Cán bộ KHCN</v>
      </c>
      <c r="J218" s="3" t="str">
        <f>'FSL Source'!I218</f>
        <v>Nghiệp vụ</v>
      </c>
      <c r="K218" s="3" t="str">
        <f>'FSL Source'!J218</f>
        <v>RD04.08</v>
      </c>
      <c r="L218" s="3" t="str">
        <f>'FSL Source'!K218</f>
        <v>CAP-14</v>
      </c>
      <c r="M218" s="3" t="str">
        <f>'FSL Source'!L218</f>
        <v>Must</v>
      </c>
      <c r="N218" s="3" t="str">
        <f>'FSL Source'!M218</f>
        <v>Pha 2</v>
      </c>
      <c r="O218" s="3" t="str">
        <f>'FSL Source'!N218</f>
        <v>Đề xuất trong phạm vi</v>
      </c>
      <c r="P218" s="4" t="str">
        <f>'FSL Source'!O218</f>
        <v>Hiệu chỉnh theo BRD 0.9</v>
      </c>
      <c r="Q218" s="4" t="str">
        <f>'FSL Source'!P218</f>
        <v>Thông tin hiển thị đúng phiên bản và quyền truy cập.</v>
      </c>
      <c r="R218" s="4">
        <f>'FSL Source'!Q218</f>
        <v>0</v>
      </c>
      <c r="S218" s="3"/>
      <c r="T218" s="3"/>
      <c r="U218" s="8"/>
      <c r="V218" s="8"/>
      <c r="W218" s="9"/>
      <c r="X218" s="9" t="str">
        <f t="shared" si="3"/>
        <v/>
      </c>
      <c r="Y218" s="3" t="s">
        <v>1860</v>
      </c>
      <c r="Z218" s="10">
        <v>0</v>
      </c>
      <c r="AA218" s="4"/>
    </row>
    <row r="219" spans="1:27" ht="51">
      <c r="A219" s="3" t="str">
        <f>B219&amp;"."&amp;TEXT(COUNTIF($B$5:B219,B219),"000")</f>
        <v>1.08.01.053</v>
      </c>
      <c r="B219" s="3" t="str">
        <f>IFERROR(INDEX('Work Packages'!$A$5:$A$200,MATCH(D219&amp;"|"&amp;E219,'Work Packages'!$P$5:$P$200,0)),"")</f>
        <v>1.08.01</v>
      </c>
      <c r="C219" s="3" t="str">
        <f>'FSL Source'!B219</f>
        <v>ADJ-RD04-053</v>
      </c>
      <c r="D219" s="3" t="str">
        <f>'FSL Source'!C219</f>
        <v>Điều chỉnh, Tạm dừng &amp; Dừng</v>
      </c>
      <c r="E219" s="3" t="str">
        <f>'FSL Source'!D219</f>
        <v>Điều chỉnh nhiệm vụ</v>
      </c>
      <c r="F219" s="4" t="str">
        <f>'FSL Source'!E219</f>
        <v>Hồ sơ điều chỉnh mục tiêu/tăng dự toán không vượt chủ trương cấp Tập đoàn</v>
      </c>
      <c r="G219" s="4" t="str">
        <f>'FSL Source'!F219</f>
        <v>Chỉnh sửa Hồ sơ điều chỉnh mục tiêu/tăng dự toán không vượt chủ trương cấp Tập đoàn</v>
      </c>
      <c r="H219" s="4" t="str">
        <f>'FSL Source'!G219</f>
        <v>Cập nhật Hồ sơ điều chỉnh mục tiêu/tăng dự toán không vượt chủ trương cấp Tập đoàn khi trạng thái và quyền người dùng cho phép; kiểm soát xung đột cập nhật.</v>
      </c>
      <c r="I219" s="3" t="str">
        <f>'FSL Source'!H219</f>
        <v>Chủ nhiệm/Cán bộ KHCN</v>
      </c>
      <c r="J219" s="3" t="str">
        <f>'FSL Source'!I219</f>
        <v>Nghiệp vụ</v>
      </c>
      <c r="K219" s="3" t="str">
        <f>'FSL Source'!J219</f>
        <v>RD04.08</v>
      </c>
      <c r="L219" s="3" t="str">
        <f>'FSL Source'!K219</f>
        <v>CAP-14</v>
      </c>
      <c r="M219" s="3" t="str">
        <f>'FSL Source'!L219</f>
        <v>Must</v>
      </c>
      <c r="N219" s="3" t="str">
        <f>'FSL Source'!M219</f>
        <v>Pha 2</v>
      </c>
      <c r="O219" s="3" t="str">
        <f>'FSL Source'!N219</f>
        <v>Đề xuất trong phạm vi</v>
      </c>
      <c r="P219" s="4" t="str">
        <f>'FSL Source'!O219</f>
        <v>Hiệu chỉnh theo BRD 0.9</v>
      </c>
      <c r="Q219" s="4" t="str">
        <f>'FSL Source'!P219</f>
        <v>Chỉ trường được phép sửa có hiệu lực và thay đổi được ghi lịch sử.</v>
      </c>
      <c r="R219" s="4">
        <f>'FSL Source'!Q219</f>
        <v>0</v>
      </c>
      <c r="S219" s="3"/>
      <c r="T219" s="3"/>
      <c r="U219" s="8"/>
      <c r="V219" s="8"/>
      <c r="W219" s="9"/>
      <c r="X219" s="9" t="str">
        <f t="shared" si="3"/>
        <v/>
      </c>
      <c r="Y219" s="3" t="s">
        <v>1860</v>
      </c>
      <c r="Z219" s="10">
        <v>0</v>
      </c>
      <c r="AA219" s="4"/>
    </row>
    <row r="220" spans="1:27" ht="51">
      <c r="A220" s="3" t="str">
        <f>B220&amp;"."&amp;TEXT(COUNTIF($B$5:B220,B220),"000")</f>
        <v>1.08.01.054</v>
      </c>
      <c r="B220" s="3" t="str">
        <f>IFERROR(INDEX('Work Packages'!$A$5:$A$200,MATCH(D220&amp;"|"&amp;E220,'Work Packages'!$P$5:$P$200,0)),"")</f>
        <v>1.08.01</v>
      </c>
      <c r="C220" s="3" t="str">
        <f>'FSL Source'!B220</f>
        <v>ADJ-RD04-054</v>
      </c>
      <c r="D220" s="3" t="str">
        <f>'FSL Source'!C220</f>
        <v>Điều chỉnh, Tạm dừng &amp; Dừng</v>
      </c>
      <c r="E220" s="3" t="str">
        <f>'FSL Source'!D220</f>
        <v>Điều chỉnh nhiệm vụ</v>
      </c>
      <c r="F220" s="4" t="str">
        <f>'FSL Source'!E220</f>
        <v>Hồ sơ điều chỉnh mục tiêu/tăng dự toán không vượt chủ trương cấp Tập đoàn</v>
      </c>
      <c r="G220" s="4" t="str">
        <f>'FSL Source'!F220</f>
        <v>Xóa/Ngừng sử dụng Hồ sơ điều chỉnh mục tiêu/tăng dự toán không vượt chủ trương cấp Tập đoàn</v>
      </c>
      <c r="H220" s="4" t="str">
        <f>'FSL Source'!G220</f>
        <v>Xóa logic hoặc ngừng sử dụng Hồ sơ điều chỉnh mục tiêu/tăng dự toán không vượt chủ trương cấp Tập đoàn sau khi kiểm tra ràng buộc tham chiếu.</v>
      </c>
      <c r="I220" s="3" t="str">
        <f>'FSL Source'!H220</f>
        <v>Quản trị/Cán bộ nghiệp vụ</v>
      </c>
      <c r="J220" s="3" t="str">
        <f>'FSL Source'!I220</f>
        <v>Nghiệp vụ</v>
      </c>
      <c r="K220" s="3" t="str">
        <f>'FSL Source'!J220</f>
        <v>RD04.08</v>
      </c>
      <c r="L220" s="3" t="str">
        <f>'FSL Source'!K220</f>
        <v>CAP-14</v>
      </c>
      <c r="M220" s="3" t="str">
        <f>'FSL Source'!L220</f>
        <v>Should</v>
      </c>
      <c r="N220" s="3" t="str">
        <f>'FSL Source'!M220</f>
        <v>Pha 2</v>
      </c>
      <c r="O220" s="3" t="str">
        <f>'FSL Source'!N220</f>
        <v>Đề xuất trong phạm vi</v>
      </c>
      <c r="P220" s="4" t="str">
        <f>'FSL Source'!O220</f>
        <v>Hiệu chỉnh theo BRD 0.9</v>
      </c>
      <c r="Q220" s="4" t="str">
        <f>'FSL Source'!P220</f>
        <v>Không xóa vật lý dữ liệu đã phát sinh giao dịch; cảnh báo rõ quan hệ phụ thuộc.</v>
      </c>
      <c r="R220" s="4">
        <f>'FSL Source'!Q220</f>
        <v>0</v>
      </c>
      <c r="S220" s="3"/>
      <c r="T220" s="3"/>
      <c r="U220" s="8"/>
      <c r="V220" s="8"/>
      <c r="W220" s="9"/>
      <c r="X220" s="9" t="str">
        <f t="shared" si="3"/>
        <v/>
      </c>
      <c r="Y220" s="3" t="s">
        <v>1860</v>
      </c>
      <c r="Z220" s="10">
        <v>0</v>
      </c>
      <c r="AA220" s="4"/>
    </row>
    <row r="221" spans="1:27" ht="51">
      <c r="A221" s="3" t="str">
        <f>B221&amp;"."&amp;TEXT(COUNTIF($B$5:B221,B221),"000")</f>
        <v>1.08.01.055</v>
      </c>
      <c r="B221" s="3" t="str">
        <f>IFERROR(INDEX('Work Packages'!$A$5:$A$200,MATCH(D221&amp;"|"&amp;E221,'Work Packages'!$P$5:$P$200,0)),"")</f>
        <v>1.08.01</v>
      </c>
      <c r="C221" s="3" t="str">
        <f>'FSL Source'!B221</f>
        <v>ADJ-RD04-055</v>
      </c>
      <c r="D221" s="3" t="str">
        <f>'FSL Source'!C221</f>
        <v>Điều chỉnh, Tạm dừng &amp; Dừng</v>
      </c>
      <c r="E221" s="3" t="str">
        <f>'FSL Source'!D221</f>
        <v>Điều chỉnh nhiệm vụ</v>
      </c>
      <c r="F221" s="4" t="str">
        <f>'FSL Source'!E221</f>
        <v>Hồ sơ điều chỉnh mục tiêu/tăng dự toán không vượt chủ trương cấp Tập đoàn</v>
      </c>
      <c r="G221" s="4" t="str">
        <f>'FSL Source'!F221</f>
        <v>Trình duyệt Hồ sơ điều chỉnh mục tiêu/tăng dự toán không vượt chủ trương cấp Tập đoàn</v>
      </c>
      <c r="H221" s="4" t="str">
        <f>'FSL Source'!G221</f>
        <v>Kiểm tra điều kiện, khóa phiên bản trình và khởi tạo/tiếp tục quy trình phê duyệt Hồ sơ điều chỉnh mục tiêu/tăng dự toán không vượt chủ trương cấp Tập đoàn.</v>
      </c>
      <c r="I221" s="3" t="str">
        <f>'FSL Source'!H221</f>
        <v>Người lập/Chủ nhiệm nhiệm vụ</v>
      </c>
      <c r="J221" s="3" t="str">
        <f>'FSL Source'!I221</f>
        <v>Workflow</v>
      </c>
      <c r="K221" s="3" t="str">
        <f>'FSL Source'!J221</f>
        <v>RD04.08</v>
      </c>
      <c r="L221" s="3" t="str">
        <f>'FSL Source'!K221</f>
        <v>CAP-14</v>
      </c>
      <c r="M221" s="3" t="str">
        <f>'FSL Source'!L221</f>
        <v>Must</v>
      </c>
      <c r="N221" s="3" t="str">
        <f>'FSL Source'!M221</f>
        <v>Pha 2</v>
      </c>
      <c r="O221" s="3" t="str">
        <f>'FSL Source'!N221</f>
        <v>Đề xuất trong phạm vi</v>
      </c>
      <c r="P221" s="4" t="str">
        <f>'FSL Source'!O221</f>
        <v>Hiệu chỉnh theo BRD 0.9</v>
      </c>
      <c r="Q221" s="4" t="str">
        <f>'FSL Source'!P221</f>
        <v>Tạo đúng process instance, business key và task đầu tiên; không submit trùng.</v>
      </c>
      <c r="R221" s="4">
        <f>'FSL Source'!Q221</f>
        <v>0</v>
      </c>
      <c r="S221" s="3"/>
      <c r="T221" s="3"/>
      <c r="U221" s="8"/>
      <c r="V221" s="8"/>
      <c r="W221" s="9"/>
      <c r="X221" s="9" t="str">
        <f t="shared" si="3"/>
        <v/>
      </c>
      <c r="Y221" s="3" t="s">
        <v>1860</v>
      </c>
      <c r="Z221" s="10">
        <v>0</v>
      </c>
      <c r="AA221" s="4"/>
    </row>
    <row r="222" spans="1:27" ht="51">
      <c r="A222" s="3" t="str">
        <f>B222&amp;"."&amp;TEXT(COUNTIF($B$5:B222,B222),"000")</f>
        <v>1.08.01.056</v>
      </c>
      <c r="B222" s="3" t="str">
        <f>IFERROR(INDEX('Work Packages'!$A$5:$A$200,MATCH(D222&amp;"|"&amp;E222,'Work Packages'!$P$5:$P$200,0)),"")</f>
        <v>1.08.01</v>
      </c>
      <c r="C222" s="3" t="str">
        <f>'FSL Source'!B222</f>
        <v>ADJ-RD04-056</v>
      </c>
      <c r="D222" s="3" t="str">
        <f>'FSL Source'!C222</f>
        <v>Điều chỉnh, Tạm dừng &amp; Dừng</v>
      </c>
      <c r="E222" s="3" t="str">
        <f>'FSL Source'!D222</f>
        <v>Điều chỉnh nhiệm vụ</v>
      </c>
      <c r="F222" s="4" t="str">
        <f>'FSL Source'!E222</f>
        <v>Hồ sơ điều chỉnh mục tiêu/tăng dự toán không vượt chủ trương cấp Tập đoàn</v>
      </c>
      <c r="G222" s="4" t="str">
        <f>'FSL Source'!F222</f>
        <v>Xem lịch sử Hồ sơ điều chỉnh mục tiêu/tăng dự toán không vượt chủ trương cấp Tập đoàn</v>
      </c>
      <c r="H222" s="4" t="str">
        <f>'FSL Source'!G222</f>
        <v>Theo dõi phiên bản, thay đổi dữ liệu, người thực hiện và lịch sử xử lý của Hồ sơ điều chỉnh mục tiêu/tăng dự toán không vượt chủ trương cấp Tập đoàn.</v>
      </c>
      <c r="I222" s="3" t="str">
        <f>'FSL Source'!H222</f>
        <v>Cán bộ nghiệp vụ/Quản trị</v>
      </c>
      <c r="J222" s="3" t="str">
        <f>'FSL Source'!I222</f>
        <v>Audit</v>
      </c>
      <c r="K222" s="3" t="str">
        <f>'FSL Source'!J222</f>
        <v>RD04.08</v>
      </c>
      <c r="L222" s="3" t="str">
        <f>'FSL Source'!K222</f>
        <v>CAP-14</v>
      </c>
      <c r="M222" s="3" t="str">
        <f>'FSL Source'!L222</f>
        <v>Must</v>
      </c>
      <c r="N222" s="3" t="str">
        <f>'FSL Source'!M222</f>
        <v>Pha 2</v>
      </c>
      <c r="O222" s="3" t="str">
        <f>'FSL Source'!N222</f>
        <v>Đề xuất trong phạm vi</v>
      </c>
      <c r="P222" s="4" t="str">
        <f>'FSL Source'!O222</f>
        <v>Hiệu chỉnh theo BRD 0.9</v>
      </c>
      <c r="Q222" s="4" t="str">
        <f>'FSL Source'!P222</f>
        <v>Lịch sử không thể sửa và truy vết được trước/sau của thay đổi quan trọng.</v>
      </c>
      <c r="R222" s="4">
        <f>'FSL Source'!Q222</f>
        <v>0</v>
      </c>
      <c r="S222" s="3"/>
      <c r="T222" s="3"/>
      <c r="U222" s="8"/>
      <c r="V222" s="8"/>
      <c r="W222" s="9"/>
      <c r="X222" s="9" t="str">
        <f t="shared" si="3"/>
        <v/>
      </c>
      <c r="Y222" s="3" t="s">
        <v>1860</v>
      </c>
      <c r="Z222" s="10">
        <v>0</v>
      </c>
      <c r="AA222" s="4"/>
    </row>
    <row r="223" spans="1:27" ht="38.25">
      <c r="A223" s="3" t="str">
        <f>B223&amp;"."&amp;TEXT(COUNTIF($B$5:B223,B223),"000")</f>
        <v>1.08.01.057</v>
      </c>
      <c r="B223" s="3" t="str">
        <f>IFERROR(INDEX('Work Packages'!$A$5:$A$200,MATCH(D223&amp;"|"&amp;E223,'Work Packages'!$P$5:$P$200,0)),"")</f>
        <v>1.08.01</v>
      </c>
      <c r="C223" s="3" t="str">
        <f>'FSL Source'!B223</f>
        <v>ADJ-RD04-057</v>
      </c>
      <c r="D223" s="3" t="str">
        <f>'FSL Source'!C223</f>
        <v>Điều chỉnh, Tạm dừng &amp; Dừng</v>
      </c>
      <c r="E223" s="3" t="str">
        <f>'FSL Source'!D223</f>
        <v>Điều chỉnh nhiệm vụ</v>
      </c>
      <c r="F223" s="4" t="str">
        <f>'FSL Source'!E223</f>
        <v>Hồ sơ tạm dừng nhiệm vụ cấp Tập đoàn</v>
      </c>
      <c r="G223" s="4" t="str">
        <f>'FSL Source'!F223</f>
        <v>Xem danh sách Hồ sơ tạm dừng nhiệm vụ cấp Tập đoàn</v>
      </c>
      <c r="H223" s="4" t="str">
        <f>'FSL Source'!G223</f>
        <v>Tra cứu danh sách, phân trang, sắp xếp và lọc Hồ sơ tạm dừng nhiệm vụ cấp Tập đoàn theo các tiêu chí nghiệp vụ.</v>
      </c>
      <c r="I223" s="3" t="str">
        <f>'FSL Source'!H223</f>
        <v>Chủ nhiệm/Cán bộ KHCN</v>
      </c>
      <c r="J223" s="3" t="str">
        <f>'FSL Source'!I223</f>
        <v>Nghiệp vụ</v>
      </c>
      <c r="K223" s="3" t="str">
        <f>'FSL Source'!J223</f>
        <v>RD04.09</v>
      </c>
      <c r="L223" s="3" t="str">
        <f>'FSL Source'!K223</f>
        <v>CAP-14</v>
      </c>
      <c r="M223" s="3" t="str">
        <f>'FSL Source'!L223</f>
        <v>Must</v>
      </c>
      <c r="N223" s="3" t="str">
        <f>'FSL Source'!M223</f>
        <v>Pha 2</v>
      </c>
      <c r="O223" s="3" t="str">
        <f>'FSL Source'!N223</f>
        <v>Đề xuất trong phạm vi</v>
      </c>
      <c r="P223" s="4" t="str">
        <f>'FSL Source'!O223</f>
        <v>Hiệu chỉnh theo BRD 0.9</v>
      </c>
      <c r="Q223" s="4" t="str">
        <f>'FSL Source'!P223</f>
        <v>Danh sách hiển thị đúng phạm vi dữ liệu và hỗ trợ lọc/xuất theo quyền.</v>
      </c>
      <c r="R223" s="4">
        <f>'FSL Source'!Q223</f>
        <v>0</v>
      </c>
      <c r="S223" s="3"/>
      <c r="T223" s="3"/>
      <c r="U223" s="8"/>
      <c r="V223" s="8"/>
      <c r="W223" s="9"/>
      <c r="X223" s="9" t="str">
        <f t="shared" si="3"/>
        <v/>
      </c>
      <c r="Y223" s="3" t="s">
        <v>1860</v>
      </c>
      <c r="Z223" s="10">
        <v>0</v>
      </c>
      <c r="AA223" s="4"/>
    </row>
    <row r="224" spans="1:27" ht="38.25">
      <c r="A224" s="3" t="str">
        <f>B224&amp;"."&amp;TEXT(COUNTIF($B$5:B224,B224),"000")</f>
        <v>1.08.01.058</v>
      </c>
      <c r="B224" s="3" t="str">
        <f>IFERROR(INDEX('Work Packages'!$A$5:$A$200,MATCH(D224&amp;"|"&amp;E224,'Work Packages'!$P$5:$P$200,0)),"")</f>
        <v>1.08.01</v>
      </c>
      <c r="C224" s="3" t="str">
        <f>'FSL Source'!B224</f>
        <v>ADJ-RD04-058</v>
      </c>
      <c r="D224" s="3" t="str">
        <f>'FSL Source'!C224</f>
        <v>Điều chỉnh, Tạm dừng &amp; Dừng</v>
      </c>
      <c r="E224" s="3" t="str">
        <f>'FSL Source'!D224</f>
        <v>Điều chỉnh nhiệm vụ</v>
      </c>
      <c r="F224" s="4" t="str">
        <f>'FSL Source'!E224</f>
        <v>Hồ sơ tạm dừng nhiệm vụ cấp Tập đoàn</v>
      </c>
      <c r="G224" s="4" t="str">
        <f>'FSL Source'!F224</f>
        <v>Tạo mới Hồ sơ tạm dừng nhiệm vụ cấp Tập đoàn</v>
      </c>
      <c r="H224" s="4" t="str">
        <f>'FSL Source'!G224</f>
        <v>Khởi tạo Hồ sơ tạm dừng nhiệm vụ cấp Tập đoàn, kiểm tra dữ liệu bắt buộc và lưu nháp trước khi hoàn tất.</v>
      </c>
      <c r="I224" s="3" t="str">
        <f>'FSL Source'!H224</f>
        <v>Chủ nhiệm/Cán bộ KHCN</v>
      </c>
      <c r="J224" s="3" t="str">
        <f>'FSL Source'!I224</f>
        <v>Nghiệp vụ</v>
      </c>
      <c r="K224" s="3" t="str">
        <f>'FSL Source'!J224</f>
        <v>RD04.09</v>
      </c>
      <c r="L224" s="3" t="str">
        <f>'FSL Source'!K224</f>
        <v>CAP-14</v>
      </c>
      <c r="M224" s="3" t="str">
        <f>'FSL Source'!L224</f>
        <v>Must</v>
      </c>
      <c r="N224" s="3" t="str">
        <f>'FSL Source'!M224</f>
        <v>Pha 2</v>
      </c>
      <c r="O224" s="3" t="str">
        <f>'FSL Source'!N224</f>
        <v>Đề xuất trong phạm vi</v>
      </c>
      <c r="P224" s="4" t="str">
        <f>'FSL Source'!O224</f>
        <v>Hiệu chỉnh theo BRD 0.9</v>
      </c>
      <c r="Q224" s="4" t="str">
        <f>'FSL Source'!P224</f>
        <v>Dữ liệu hợp lệ được lưu; lỗi validation hiển thị tại trường tương ứng.</v>
      </c>
      <c r="R224" s="4">
        <f>'FSL Source'!Q224</f>
        <v>0</v>
      </c>
      <c r="S224" s="3"/>
      <c r="T224" s="3"/>
      <c r="U224" s="8"/>
      <c r="V224" s="8"/>
      <c r="W224" s="9"/>
      <c r="X224" s="9" t="str">
        <f t="shared" si="3"/>
        <v/>
      </c>
      <c r="Y224" s="3" t="s">
        <v>1860</v>
      </c>
      <c r="Z224" s="10">
        <v>0</v>
      </c>
      <c r="AA224" s="4"/>
    </row>
    <row r="225" spans="1:27" ht="38.25">
      <c r="A225" s="3" t="str">
        <f>B225&amp;"."&amp;TEXT(COUNTIF($B$5:B225,B225),"000")</f>
        <v>1.08.01.059</v>
      </c>
      <c r="B225" s="3" t="str">
        <f>IFERROR(INDEX('Work Packages'!$A$5:$A$200,MATCH(D225&amp;"|"&amp;E225,'Work Packages'!$P$5:$P$200,0)),"")</f>
        <v>1.08.01</v>
      </c>
      <c r="C225" s="3" t="str">
        <f>'FSL Source'!B225</f>
        <v>ADJ-RD04-059</v>
      </c>
      <c r="D225" s="3" t="str">
        <f>'FSL Source'!C225</f>
        <v>Điều chỉnh, Tạm dừng &amp; Dừng</v>
      </c>
      <c r="E225" s="3" t="str">
        <f>'FSL Source'!D225</f>
        <v>Điều chỉnh nhiệm vụ</v>
      </c>
      <c r="F225" s="4" t="str">
        <f>'FSL Source'!E225</f>
        <v>Hồ sơ tạm dừng nhiệm vụ cấp Tập đoàn</v>
      </c>
      <c r="G225" s="4" t="str">
        <f>'FSL Source'!F225</f>
        <v>Xem chi tiết Hồ sơ tạm dừng nhiệm vụ cấp Tập đoàn</v>
      </c>
      <c r="H225" s="4" t="str">
        <f>'FSL Source'!G225</f>
        <v>Hiển thị thông tin tổng quan, dữ liệu chi tiết, tài liệu liên quan và trạng thái của Hồ sơ tạm dừng nhiệm vụ cấp Tập đoàn.</v>
      </c>
      <c r="I225" s="3" t="str">
        <f>'FSL Source'!H225</f>
        <v>Chủ nhiệm/Cán bộ KHCN</v>
      </c>
      <c r="J225" s="3" t="str">
        <f>'FSL Source'!I225</f>
        <v>Nghiệp vụ</v>
      </c>
      <c r="K225" s="3" t="str">
        <f>'FSL Source'!J225</f>
        <v>RD04.09</v>
      </c>
      <c r="L225" s="3" t="str">
        <f>'FSL Source'!K225</f>
        <v>CAP-14</v>
      </c>
      <c r="M225" s="3" t="str">
        <f>'FSL Source'!L225</f>
        <v>Must</v>
      </c>
      <c r="N225" s="3" t="str">
        <f>'FSL Source'!M225</f>
        <v>Pha 2</v>
      </c>
      <c r="O225" s="3" t="str">
        <f>'FSL Source'!N225</f>
        <v>Đề xuất trong phạm vi</v>
      </c>
      <c r="P225" s="4" t="str">
        <f>'FSL Source'!O225</f>
        <v>Hiệu chỉnh theo BRD 0.9</v>
      </c>
      <c r="Q225" s="4" t="str">
        <f>'FSL Source'!P225</f>
        <v>Thông tin hiển thị đúng phiên bản và quyền truy cập.</v>
      </c>
      <c r="R225" s="4">
        <f>'FSL Source'!Q225</f>
        <v>0</v>
      </c>
      <c r="S225" s="3"/>
      <c r="T225" s="3"/>
      <c r="U225" s="8"/>
      <c r="V225" s="8"/>
      <c r="W225" s="9"/>
      <c r="X225" s="9" t="str">
        <f t="shared" si="3"/>
        <v/>
      </c>
      <c r="Y225" s="3" t="s">
        <v>1860</v>
      </c>
      <c r="Z225" s="10">
        <v>0</v>
      </c>
      <c r="AA225" s="4"/>
    </row>
    <row r="226" spans="1:27" ht="38.25">
      <c r="A226" s="3" t="str">
        <f>B226&amp;"."&amp;TEXT(COUNTIF($B$5:B226,B226),"000")</f>
        <v>1.08.01.060</v>
      </c>
      <c r="B226" s="3" t="str">
        <f>IFERROR(INDEX('Work Packages'!$A$5:$A$200,MATCH(D226&amp;"|"&amp;E226,'Work Packages'!$P$5:$P$200,0)),"")</f>
        <v>1.08.01</v>
      </c>
      <c r="C226" s="3" t="str">
        <f>'FSL Source'!B226</f>
        <v>ADJ-RD04-060</v>
      </c>
      <c r="D226" s="3" t="str">
        <f>'FSL Source'!C226</f>
        <v>Điều chỉnh, Tạm dừng &amp; Dừng</v>
      </c>
      <c r="E226" s="3" t="str">
        <f>'FSL Source'!D226</f>
        <v>Điều chỉnh nhiệm vụ</v>
      </c>
      <c r="F226" s="4" t="str">
        <f>'FSL Source'!E226</f>
        <v>Hồ sơ tạm dừng nhiệm vụ cấp Tập đoàn</v>
      </c>
      <c r="G226" s="4" t="str">
        <f>'FSL Source'!F226</f>
        <v>Chỉnh sửa Hồ sơ tạm dừng nhiệm vụ cấp Tập đoàn</v>
      </c>
      <c r="H226" s="4" t="str">
        <f>'FSL Source'!G226</f>
        <v>Cập nhật Hồ sơ tạm dừng nhiệm vụ cấp Tập đoàn khi trạng thái và quyền người dùng cho phép; kiểm soát xung đột cập nhật.</v>
      </c>
      <c r="I226" s="3" t="str">
        <f>'FSL Source'!H226</f>
        <v>Chủ nhiệm/Cán bộ KHCN</v>
      </c>
      <c r="J226" s="3" t="str">
        <f>'FSL Source'!I226</f>
        <v>Nghiệp vụ</v>
      </c>
      <c r="K226" s="3" t="str">
        <f>'FSL Source'!J226</f>
        <v>RD04.09</v>
      </c>
      <c r="L226" s="3" t="str">
        <f>'FSL Source'!K226</f>
        <v>CAP-14</v>
      </c>
      <c r="M226" s="3" t="str">
        <f>'FSL Source'!L226</f>
        <v>Must</v>
      </c>
      <c r="N226" s="3" t="str">
        <f>'FSL Source'!M226</f>
        <v>Pha 2</v>
      </c>
      <c r="O226" s="3" t="str">
        <f>'FSL Source'!N226</f>
        <v>Đề xuất trong phạm vi</v>
      </c>
      <c r="P226" s="4" t="str">
        <f>'FSL Source'!O226</f>
        <v>Hiệu chỉnh theo BRD 0.9</v>
      </c>
      <c r="Q226" s="4" t="str">
        <f>'FSL Source'!P226</f>
        <v>Chỉ trường được phép sửa có hiệu lực và thay đổi được ghi lịch sử.</v>
      </c>
      <c r="R226" s="4">
        <f>'FSL Source'!Q226</f>
        <v>0</v>
      </c>
      <c r="S226" s="3"/>
      <c r="T226" s="3"/>
      <c r="U226" s="8"/>
      <c r="V226" s="8"/>
      <c r="W226" s="9"/>
      <c r="X226" s="9" t="str">
        <f t="shared" si="3"/>
        <v/>
      </c>
      <c r="Y226" s="3" t="s">
        <v>1860</v>
      </c>
      <c r="Z226" s="10">
        <v>0</v>
      </c>
      <c r="AA226" s="4"/>
    </row>
    <row r="227" spans="1:27" ht="38.25">
      <c r="A227" s="3" t="str">
        <f>B227&amp;"."&amp;TEXT(COUNTIF($B$5:B227,B227),"000")</f>
        <v>1.08.01.061</v>
      </c>
      <c r="B227" s="3" t="str">
        <f>IFERROR(INDEX('Work Packages'!$A$5:$A$200,MATCH(D227&amp;"|"&amp;E227,'Work Packages'!$P$5:$P$200,0)),"")</f>
        <v>1.08.01</v>
      </c>
      <c r="C227" s="3" t="str">
        <f>'FSL Source'!B227</f>
        <v>ADJ-RD04-061</v>
      </c>
      <c r="D227" s="3" t="str">
        <f>'FSL Source'!C227</f>
        <v>Điều chỉnh, Tạm dừng &amp; Dừng</v>
      </c>
      <c r="E227" s="3" t="str">
        <f>'FSL Source'!D227</f>
        <v>Điều chỉnh nhiệm vụ</v>
      </c>
      <c r="F227" s="4" t="str">
        <f>'FSL Source'!E227</f>
        <v>Hồ sơ tạm dừng nhiệm vụ cấp Tập đoàn</v>
      </c>
      <c r="G227" s="4" t="str">
        <f>'FSL Source'!F227</f>
        <v>Xóa/Ngừng sử dụng Hồ sơ tạm dừng nhiệm vụ cấp Tập đoàn</v>
      </c>
      <c r="H227" s="4" t="str">
        <f>'FSL Source'!G227</f>
        <v>Xóa logic hoặc ngừng sử dụng Hồ sơ tạm dừng nhiệm vụ cấp Tập đoàn sau khi kiểm tra ràng buộc tham chiếu.</v>
      </c>
      <c r="I227" s="3" t="str">
        <f>'FSL Source'!H227</f>
        <v>Quản trị/Cán bộ nghiệp vụ</v>
      </c>
      <c r="J227" s="3" t="str">
        <f>'FSL Source'!I227</f>
        <v>Nghiệp vụ</v>
      </c>
      <c r="K227" s="3" t="str">
        <f>'FSL Source'!J227</f>
        <v>RD04.09</v>
      </c>
      <c r="L227" s="3" t="str">
        <f>'FSL Source'!K227</f>
        <v>CAP-14</v>
      </c>
      <c r="M227" s="3" t="str">
        <f>'FSL Source'!L227</f>
        <v>Should</v>
      </c>
      <c r="N227" s="3" t="str">
        <f>'FSL Source'!M227</f>
        <v>Pha 2</v>
      </c>
      <c r="O227" s="3" t="str">
        <f>'FSL Source'!N227</f>
        <v>Đề xuất trong phạm vi</v>
      </c>
      <c r="P227" s="4" t="str">
        <f>'FSL Source'!O227</f>
        <v>Hiệu chỉnh theo BRD 0.9</v>
      </c>
      <c r="Q227" s="4" t="str">
        <f>'FSL Source'!P227</f>
        <v>Không xóa vật lý dữ liệu đã phát sinh giao dịch; cảnh báo rõ quan hệ phụ thuộc.</v>
      </c>
      <c r="R227" s="4">
        <f>'FSL Source'!Q227</f>
        <v>0</v>
      </c>
      <c r="S227" s="3"/>
      <c r="T227" s="3"/>
      <c r="U227" s="8"/>
      <c r="V227" s="8"/>
      <c r="W227" s="9"/>
      <c r="X227" s="9" t="str">
        <f t="shared" si="3"/>
        <v/>
      </c>
      <c r="Y227" s="3" t="s">
        <v>1860</v>
      </c>
      <c r="Z227" s="10">
        <v>0</v>
      </c>
      <c r="AA227" s="4"/>
    </row>
    <row r="228" spans="1:27" ht="38.25">
      <c r="A228" s="3" t="str">
        <f>B228&amp;"."&amp;TEXT(COUNTIF($B$5:B228,B228),"000")</f>
        <v>1.08.01.062</v>
      </c>
      <c r="B228" s="3" t="str">
        <f>IFERROR(INDEX('Work Packages'!$A$5:$A$200,MATCH(D228&amp;"|"&amp;E228,'Work Packages'!$P$5:$P$200,0)),"")</f>
        <v>1.08.01</v>
      </c>
      <c r="C228" s="3" t="str">
        <f>'FSL Source'!B228</f>
        <v>ADJ-RD04-062</v>
      </c>
      <c r="D228" s="3" t="str">
        <f>'FSL Source'!C228</f>
        <v>Điều chỉnh, Tạm dừng &amp; Dừng</v>
      </c>
      <c r="E228" s="3" t="str">
        <f>'FSL Source'!D228</f>
        <v>Điều chỉnh nhiệm vụ</v>
      </c>
      <c r="F228" s="4" t="str">
        <f>'FSL Source'!E228</f>
        <v>Hồ sơ tạm dừng nhiệm vụ cấp Tập đoàn</v>
      </c>
      <c r="G228" s="4" t="str">
        <f>'FSL Source'!F228</f>
        <v>Trình duyệt Hồ sơ tạm dừng nhiệm vụ cấp Tập đoàn</v>
      </c>
      <c r="H228" s="4" t="str">
        <f>'FSL Source'!G228</f>
        <v>Kiểm tra điều kiện, khóa phiên bản trình và khởi tạo/tiếp tục quy trình phê duyệt Hồ sơ tạm dừng nhiệm vụ cấp Tập đoàn.</v>
      </c>
      <c r="I228" s="3" t="str">
        <f>'FSL Source'!H228</f>
        <v>Người lập/Chủ nhiệm nhiệm vụ</v>
      </c>
      <c r="J228" s="3" t="str">
        <f>'FSL Source'!I228</f>
        <v>Workflow</v>
      </c>
      <c r="K228" s="3" t="str">
        <f>'FSL Source'!J228</f>
        <v>RD04.09</v>
      </c>
      <c r="L228" s="3" t="str">
        <f>'FSL Source'!K228</f>
        <v>CAP-14</v>
      </c>
      <c r="M228" s="3" t="str">
        <f>'FSL Source'!L228</f>
        <v>Must</v>
      </c>
      <c r="N228" s="3" t="str">
        <f>'FSL Source'!M228</f>
        <v>Pha 2</v>
      </c>
      <c r="O228" s="3" t="str">
        <f>'FSL Source'!N228</f>
        <v>Đề xuất trong phạm vi</v>
      </c>
      <c r="P228" s="4" t="str">
        <f>'FSL Source'!O228</f>
        <v>Hiệu chỉnh theo BRD 0.9</v>
      </c>
      <c r="Q228" s="4" t="str">
        <f>'FSL Source'!P228</f>
        <v>Tạo đúng process instance, business key và task đầu tiên; không submit trùng.</v>
      </c>
      <c r="R228" s="4">
        <f>'FSL Source'!Q228</f>
        <v>0</v>
      </c>
      <c r="S228" s="3"/>
      <c r="T228" s="3"/>
      <c r="U228" s="8"/>
      <c r="V228" s="8"/>
      <c r="W228" s="9"/>
      <c r="X228" s="9" t="str">
        <f t="shared" si="3"/>
        <v/>
      </c>
      <c r="Y228" s="3" t="s">
        <v>1860</v>
      </c>
      <c r="Z228" s="10">
        <v>0</v>
      </c>
      <c r="AA228" s="4"/>
    </row>
    <row r="229" spans="1:27" ht="38.25">
      <c r="A229" s="3" t="str">
        <f>B229&amp;"."&amp;TEXT(COUNTIF($B$5:B229,B229),"000")</f>
        <v>1.08.01.063</v>
      </c>
      <c r="B229" s="3" t="str">
        <f>IFERROR(INDEX('Work Packages'!$A$5:$A$200,MATCH(D229&amp;"|"&amp;E229,'Work Packages'!$P$5:$P$200,0)),"")</f>
        <v>1.08.01</v>
      </c>
      <c r="C229" s="3" t="str">
        <f>'FSL Source'!B229</f>
        <v>ADJ-RD04-063</v>
      </c>
      <c r="D229" s="3" t="str">
        <f>'FSL Source'!C229</f>
        <v>Điều chỉnh, Tạm dừng &amp; Dừng</v>
      </c>
      <c r="E229" s="3" t="str">
        <f>'FSL Source'!D229</f>
        <v>Điều chỉnh nhiệm vụ</v>
      </c>
      <c r="F229" s="4" t="str">
        <f>'FSL Source'!E229</f>
        <v>Hồ sơ tạm dừng nhiệm vụ cấp Tập đoàn</v>
      </c>
      <c r="G229" s="4" t="str">
        <f>'FSL Source'!F229</f>
        <v>Xem lịch sử Hồ sơ tạm dừng nhiệm vụ cấp Tập đoàn</v>
      </c>
      <c r="H229" s="4" t="str">
        <f>'FSL Source'!G229</f>
        <v>Theo dõi phiên bản, thay đổi dữ liệu, người thực hiện và lịch sử xử lý của Hồ sơ tạm dừng nhiệm vụ cấp Tập đoàn.</v>
      </c>
      <c r="I229" s="3" t="str">
        <f>'FSL Source'!H229</f>
        <v>Cán bộ nghiệp vụ/Quản trị</v>
      </c>
      <c r="J229" s="3" t="str">
        <f>'FSL Source'!I229</f>
        <v>Audit</v>
      </c>
      <c r="K229" s="3" t="str">
        <f>'FSL Source'!J229</f>
        <v>RD04.09</v>
      </c>
      <c r="L229" s="3" t="str">
        <f>'FSL Source'!K229</f>
        <v>CAP-14</v>
      </c>
      <c r="M229" s="3" t="str">
        <f>'FSL Source'!L229</f>
        <v>Must</v>
      </c>
      <c r="N229" s="3" t="str">
        <f>'FSL Source'!M229</f>
        <v>Pha 2</v>
      </c>
      <c r="O229" s="3" t="str">
        <f>'FSL Source'!N229</f>
        <v>Đề xuất trong phạm vi</v>
      </c>
      <c r="P229" s="4" t="str">
        <f>'FSL Source'!O229</f>
        <v>Hiệu chỉnh theo BRD 0.9</v>
      </c>
      <c r="Q229" s="4" t="str">
        <f>'FSL Source'!P229</f>
        <v>Lịch sử không thể sửa và truy vết được trước/sau của thay đổi quan trọng.</v>
      </c>
      <c r="R229" s="4">
        <f>'FSL Source'!Q229</f>
        <v>0</v>
      </c>
      <c r="S229" s="3"/>
      <c r="T229" s="3"/>
      <c r="U229" s="8"/>
      <c r="V229" s="8"/>
      <c r="W229" s="9"/>
      <c r="X229" s="9" t="str">
        <f t="shared" si="3"/>
        <v/>
      </c>
      <c r="Y229" s="3" t="s">
        <v>1860</v>
      </c>
      <c r="Z229" s="10">
        <v>0</v>
      </c>
      <c r="AA229" s="4"/>
    </row>
    <row r="230" spans="1:27" ht="38.25">
      <c r="A230" s="3" t="str">
        <f>B230&amp;"."&amp;TEXT(COUNTIF($B$5:B230,B230),"000")</f>
        <v>1.08.01.064</v>
      </c>
      <c r="B230" s="3" t="str">
        <f>IFERROR(INDEX('Work Packages'!$A$5:$A$200,MATCH(D230&amp;"|"&amp;E230,'Work Packages'!$P$5:$P$200,0)),"")</f>
        <v>1.08.01</v>
      </c>
      <c r="C230" s="3" t="str">
        <f>'FSL Source'!B230</f>
        <v>ADJ-RD04-064</v>
      </c>
      <c r="D230" s="3" t="str">
        <f>'FSL Source'!C230</f>
        <v>Điều chỉnh, Tạm dừng &amp; Dừng</v>
      </c>
      <c r="E230" s="3" t="str">
        <f>'FSL Source'!D230</f>
        <v>Điều chỉnh nhiệm vụ</v>
      </c>
      <c r="F230" s="4" t="str">
        <f>'FSL Source'!E230</f>
        <v>Hồ sơ dừng nhiệm vụ cấp Tập đoàn</v>
      </c>
      <c r="G230" s="4" t="str">
        <f>'FSL Source'!F230</f>
        <v>Xem danh sách Hồ sơ dừng nhiệm vụ cấp Tập đoàn</v>
      </c>
      <c r="H230" s="4" t="str">
        <f>'FSL Source'!G230</f>
        <v>Tra cứu danh sách, phân trang, sắp xếp và lọc Hồ sơ dừng nhiệm vụ cấp Tập đoàn theo các tiêu chí nghiệp vụ.</v>
      </c>
      <c r="I230" s="3" t="str">
        <f>'FSL Source'!H230</f>
        <v>Chủ nhiệm/Cán bộ KHCN</v>
      </c>
      <c r="J230" s="3" t="str">
        <f>'FSL Source'!I230</f>
        <v>Nghiệp vụ</v>
      </c>
      <c r="K230" s="3" t="str">
        <f>'FSL Source'!J230</f>
        <v>RD04.10</v>
      </c>
      <c r="L230" s="3" t="str">
        <f>'FSL Source'!K230</f>
        <v>CAP-14</v>
      </c>
      <c r="M230" s="3" t="str">
        <f>'FSL Source'!L230</f>
        <v>Must</v>
      </c>
      <c r="N230" s="3" t="str">
        <f>'FSL Source'!M230</f>
        <v>Pha 2</v>
      </c>
      <c r="O230" s="3" t="str">
        <f>'FSL Source'!N230</f>
        <v>Đề xuất trong phạm vi</v>
      </c>
      <c r="P230" s="4" t="str">
        <f>'FSL Source'!O230</f>
        <v>Hiệu chỉnh theo BRD 0.9</v>
      </c>
      <c r="Q230" s="4" t="str">
        <f>'FSL Source'!P230</f>
        <v>Danh sách hiển thị đúng phạm vi dữ liệu và hỗ trợ lọc/xuất theo quyền.</v>
      </c>
      <c r="R230" s="4">
        <f>'FSL Source'!Q230</f>
        <v>0</v>
      </c>
      <c r="S230" s="3"/>
      <c r="T230" s="3"/>
      <c r="U230" s="8"/>
      <c r="V230" s="8"/>
      <c r="W230" s="9"/>
      <c r="X230" s="9" t="str">
        <f t="shared" si="3"/>
        <v/>
      </c>
      <c r="Y230" s="3" t="s">
        <v>1860</v>
      </c>
      <c r="Z230" s="10">
        <v>0</v>
      </c>
      <c r="AA230" s="4"/>
    </row>
    <row r="231" spans="1:27" ht="25.5">
      <c r="A231" s="3" t="str">
        <f>B231&amp;"."&amp;TEXT(COUNTIF($B$5:B231,B231),"000")</f>
        <v>1.08.01.065</v>
      </c>
      <c r="B231" s="3" t="str">
        <f>IFERROR(INDEX('Work Packages'!$A$5:$A$200,MATCH(D231&amp;"|"&amp;E231,'Work Packages'!$P$5:$P$200,0)),"")</f>
        <v>1.08.01</v>
      </c>
      <c r="C231" s="3" t="str">
        <f>'FSL Source'!B231</f>
        <v>ADJ-RD04-065</v>
      </c>
      <c r="D231" s="3" t="str">
        <f>'FSL Source'!C231</f>
        <v>Điều chỉnh, Tạm dừng &amp; Dừng</v>
      </c>
      <c r="E231" s="3" t="str">
        <f>'FSL Source'!D231</f>
        <v>Điều chỉnh nhiệm vụ</v>
      </c>
      <c r="F231" s="4" t="str">
        <f>'FSL Source'!E231</f>
        <v>Hồ sơ dừng nhiệm vụ cấp Tập đoàn</v>
      </c>
      <c r="G231" s="4" t="str">
        <f>'FSL Source'!F231</f>
        <v>Tạo mới Hồ sơ dừng nhiệm vụ cấp Tập đoàn</v>
      </c>
      <c r="H231" s="4" t="str">
        <f>'FSL Source'!G231</f>
        <v>Khởi tạo Hồ sơ dừng nhiệm vụ cấp Tập đoàn, kiểm tra dữ liệu bắt buộc và lưu nháp trước khi hoàn tất.</v>
      </c>
      <c r="I231" s="3" t="str">
        <f>'FSL Source'!H231</f>
        <v>Chủ nhiệm/Cán bộ KHCN</v>
      </c>
      <c r="J231" s="3" t="str">
        <f>'FSL Source'!I231</f>
        <v>Nghiệp vụ</v>
      </c>
      <c r="K231" s="3" t="str">
        <f>'FSL Source'!J231</f>
        <v>RD04.10</v>
      </c>
      <c r="L231" s="3" t="str">
        <f>'FSL Source'!K231</f>
        <v>CAP-14</v>
      </c>
      <c r="M231" s="3" t="str">
        <f>'FSL Source'!L231</f>
        <v>Must</v>
      </c>
      <c r="N231" s="3" t="str">
        <f>'FSL Source'!M231</f>
        <v>Pha 2</v>
      </c>
      <c r="O231" s="3" t="str">
        <f>'FSL Source'!N231</f>
        <v>Đề xuất trong phạm vi</v>
      </c>
      <c r="P231" s="4" t="str">
        <f>'FSL Source'!O231</f>
        <v>Hiệu chỉnh theo BRD 0.9</v>
      </c>
      <c r="Q231" s="4" t="str">
        <f>'FSL Source'!P231</f>
        <v>Dữ liệu hợp lệ được lưu; lỗi validation hiển thị tại trường tương ứng.</v>
      </c>
      <c r="R231" s="4">
        <f>'FSL Source'!Q231</f>
        <v>0</v>
      </c>
      <c r="S231" s="3"/>
      <c r="T231" s="3"/>
      <c r="U231" s="8"/>
      <c r="V231" s="8"/>
      <c r="W231" s="9"/>
      <c r="X231" s="9" t="str">
        <f t="shared" si="3"/>
        <v/>
      </c>
      <c r="Y231" s="3" t="s">
        <v>1860</v>
      </c>
      <c r="Z231" s="10">
        <v>0</v>
      </c>
      <c r="AA231" s="4"/>
    </row>
    <row r="232" spans="1:27" ht="38.25">
      <c r="A232" s="3" t="str">
        <f>B232&amp;"."&amp;TEXT(COUNTIF($B$5:B232,B232),"000")</f>
        <v>1.08.01.066</v>
      </c>
      <c r="B232" s="3" t="str">
        <f>IFERROR(INDEX('Work Packages'!$A$5:$A$200,MATCH(D232&amp;"|"&amp;E232,'Work Packages'!$P$5:$P$200,0)),"")</f>
        <v>1.08.01</v>
      </c>
      <c r="C232" s="3" t="str">
        <f>'FSL Source'!B232</f>
        <v>ADJ-RD04-066</v>
      </c>
      <c r="D232" s="3" t="str">
        <f>'FSL Source'!C232</f>
        <v>Điều chỉnh, Tạm dừng &amp; Dừng</v>
      </c>
      <c r="E232" s="3" t="str">
        <f>'FSL Source'!D232</f>
        <v>Điều chỉnh nhiệm vụ</v>
      </c>
      <c r="F232" s="4" t="str">
        <f>'FSL Source'!E232</f>
        <v>Hồ sơ dừng nhiệm vụ cấp Tập đoàn</v>
      </c>
      <c r="G232" s="4" t="str">
        <f>'FSL Source'!F232</f>
        <v>Xem chi tiết Hồ sơ dừng nhiệm vụ cấp Tập đoàn</v>
      </c>
      <c r="H232" s="4" t="str">
        <f>'FSL Source'!G232</f>
        <v>Hiển thị thông tin tổng quan, dữ liệu chi tiết, tài liệu liên quan và trạng thái của Hồ sơ dừng nhiệm vụ cấp Tập đoàn.</v>
      </c>
      <c r="I232" s="3" t="str">
        <f>'FSL Source'!H232</f>
        <v>Chủ nhiệm/Cán bộ KHCN</v>
      </c>
      <c r="J232" s="3" t="str">
        <f>'FSL Source'!I232</f>
        <v>Nghiệp vụ</v>
      </c>
      <c r="K232" s="3" t="str">
        <f>'FSL Source'!J232</f>
        <v>RD04.10</v>
      </c>
      <c r="L232" s="3" t="str">
        <f>'FSL Source'!K232</f>
        <v>CAP-14</v>
      </c>
      <c r="M232" s="3" t="str">
        <f>'FSL Source'!L232</f>
        <v>Must</v>
      </c>
      <c r="N232" s="3" t="str">
        <f>'FSL Source'!M232</f>
        <v>Pha 2</v>
      </c>
      <c r="O232" s="3" t="str">
        <f>'FSL Source'!N232</f>
        <v>Đề xuất trong phạm vi</v>
      </c>
      <c r="P232" s="4" t="str">
        <f>'FSL Source'!O232</f>
        <v>Hiệu chỉnh theo BRD 0.9</v>
      </c>
      <c r="Q232" s="4" t="str">
        <f>'FSL Source'!P232</f>
        <v>Thông tin hiển thị đúng phiên bản và quyền truy cập.</v>
      </c>
      <c r="R232" s="4">
        <f>'FSL Source'!Q232</f>
        <v>0</v>
      </c>
      <c r="S232" s="3"/>
      <c r="T232" s="3"/>
      <c r="U232" s="8"/>
      <c r="V232" s="8"/>
      <c r="W232" s="9"/>
      <c r="X232" s="9" t="str">
        <f t="shared" si="3"/>
        <v/>
      </c>
      <c r="Y232" s="3" t="s">
        <v>1860</v>
      </c>
      <c r="Z232" s="10">
        <v>0</v>
      </c>
      <c r="AA232" s="4"/>
    </row>
    <row r="233" spans="1:27" ht="38.25">
      <c r="A233" s="3" t="str">
        <f>B233&amp;"."&amp;TEXT(COUNTIF($B$5:B233,B233),"000")</f>
        <v>1.08.01.067</v>
      </c>
      <c r="B233" s="3" t="str">
        <f>IFERROR(INDEX('Work Packages'!$A$5:$A$200,MATCH(D233&amp;"|"&amp;E233,'Work Packages'!$P$5:$P$200,0)),"")</f>
        <v>1.08.01</v>
      </c>
      <c r="C233" s="3" t="str">
        <f>'FSL Source'!B233</f>
        <v>ADJ-RD04-067</v>
      </c>
      <c r="D233" s="3" t="str">
        <f>'FSL Source'!C233</f>
        <v>Điều chỉnh, Tạm dừng &amp; Dừng</v>
      </c>
      <c r="E233" s="3" t="str">
        <f>'FSL Source'!D233</f>
        <v>Điều chỉnh nhiệm vụ</v>
      </c>
      <c r="F233" s="4" t="str">
        <f>'FSL Source'!E233</f>
        <v>Hồ sơ dừng nhiệm vụ cấp Tập đoàn</v>
      </c>
      <c r="G233" s="4" t="str">
        <f>'FSL Source'!F233</f>
        <v>Chỉnh sửa Hồ sơ dừng nhiệm vụ cấp Tập đoàn</v>
      </c>
      <c r="H233" s="4" t="str">
        <f>'FSL Source'!G233</f>
        <v>Cập nhật Hồ sơ dừng nhiệm vụ cấp Tập đoàn khi trạng thái và quyền người dùng cho phép; kiểm soát xung đột cập nhật.</v>
      </c>
      <c r="I233" s="3" t="str">
        <f>'FSL Source'!H233</f>
        <v>Chủ nhiệm/Cán bộ KHCN</v>
      </c>
      <c r="J233" s="3" t="str">
        <f>'FSL Source'!I233</f>
        <v>Nghiệp vụ</v>
      </c>
      <c r="K233" s="3" t="str">
        <f>'FSL Source'!J233</f>
        <v>RD04.10</v>
      </c>
      <c r="L233" s="3" t="str">
        <f>'FSL Source'!K233</f>
        <v>CAP-14</v>
      </c>
      <c r="M233" s="3" t="str">
        <f>'FSL Source'!L233</f>
        <v>Must</v>
      </c>
      <c r="N233" s="3" t="str">
        <f>'FSL Source'!M233</f>
        <v>Pha 2</v>
      </c>
      <c r="O233" s="3" t="str">
        <f>'FSL Source'!N233</f>
        <v>Đề xuất trong phạm vi</v>
      </c>
      <c r="P233" s="4" t="str">
        <f>'FSL Source'!O233</f>
        <v>Hiệu chỉnh theo BRD 0.9</v>
      </c>
      <c r="Q233" s="4" t="str">
        <f>'FSL Source'!P233</f>
        <v>Chỉ trường được phép sửa có hiệu lực và thay đổi được ghi lịch sử.</v>
      </c>
      <c r="R233" s="4">
        <f>'FSL Source'!Q233</f>
        <v>0</v>
      </c>
      <c r="S233" s="3"/>
      <c r="T233" s="3"/>
      <c r="U233" s="8"/>
      <c r="V233" s="8"/>
      <c r="W233" s="9"/>
      <c r="X233" s="9" t="str">
        <f t="shared" si="3"/>
        <v/>
      </c>
      <c r="Y233" s="3" t="s">
        <v>1860</v>
      </c>
      <c r="Z233" s="10">
        <v>0</v>
      </c>
      <c r="AA233" s="4"/>
    </row>
    <row r="234" spans="1:27" ht="38.25">
      <c r="A234" s="3" t="str">
        <f>B234&amp;"."&amp;TEXT(COUNTIF($B$5:B234,B234),"000")</f>
        <v>1.08.01.068</v>
      </c>
      <c r="B234" s="3" t="str">
        <f>IFERROR(INDEX('Work Packages'!$A$5:$A$200,MATCH(D234&amp;"|"&amp;E234,'Work Packages'!$P$5:$P$200,0)),"")</f>
        <v>1.08.01</v>
      </c>
      <c r="C234" s="3" t="str">
        <f>'FSL Source'!B234</f>
        <v>ADJ-RD04-068</v>
      </c>
      <c r="D234" s="3" t="str">
        <f>'FSL Source'!C234</f>
        <v>Điều chỉnh, Tạm dừng &amp; Dừng</v>
      </c>
      <c r="E234" s="3" t="str">
        <f>'FSL Source'!D234</f>
        <v>Điều chỉnh nhiệm vụ</v>
      </c>
      <c r="F234" s="4" t="str">
        <f>'FSL Source'!E234</f>
        <v>Hồ sơ dừng nhiệm vụ cấp Tập đoàn</v>
      </c>
      <c r="G234" s="4" t="str">
        <f>'FSL Source'!F234</f>
        <v>Xóa/Ngừng sử dụng Hồ sơ dừng nhiệm vụ cấp Tập đoàn</v>
      </c>
      <c r="H234" s="4" t="str">
        <f>'FSL Source'!G234</f>
        <v>Xóa logic hoặc ngừng sử dụng Hồ sơ dừng nhiệm vụ cấp Tập đoàn sau khi kiểm tra ràng buộc tham chiếu.</v>
      </c>
      <c r="I234" s="3" t="str">
        <f>'FSL Source'!H234</f>
        <v>Quản trị/Cán bộ nghiệp vụ</v>
      </c>
      <c r="J234" s="3" t="str">
        <f>'FSL Source'!I234</f>
        <v>Nghiệp vụ</v>
      </c>
      <c r="K234" s="3" t="str">
        <f>'FSL Source'!J234</f>
        <v>RD04.10</v>
      </c>
      <c r="L234" s="3" t="str">
        <f>'FSL Source'!K234</f>
        <v>CAP-14</v>
      </c>
      <c r="M234" s="3" t="str">
        <f>'FSL Source'!L234</f>
        <v>Should</v>
      </c>
      <c r="N234" s="3" t="str">
        <f>'FSL Source'!M234</f>
        <v>Pha 2</v>
      </c>
      <c r="O234" s="3" t="str">
        <f>'FSL Source'!N234</f>
        <v>Đề xuất trong phạm vi</v>
      </c>
      <c r="P234" s="4" t="str">
        <f>'FSL Source'!O234</f>
        <v>Hiệu chỉnh theo BRD 0.9</v>
      </c>
      <c r="Q234" s="4" t="str">
        <f>'FSL Source'!P234</f>
        <v>Không xóa vật lý dữ liệu đã phát sinh giao dịch; cảnh báo rõ quan hệ phụ thuộc.</v>
      </c>
      <c r="R234" s="4">
        <f>'FSL Source'!Q234</f>
        <v>0</v>
      </c>
      <c r="S234" s="3"/>
      <c r="T234" s="3"/>
      <c r="U234" s="8"/>
      <c r="V234" s="8"/>
      <c r="W234" s="9"/>
      <c r="X234" s="9" t="str">
        <f t="shared" si="3"/>
        <v/>
      </c>
      <c r="Y234" s="3" t="s">
        <v>1860</v>
      </c>
      <c r="Z234" s="10">
        <v>0</v>
      </c>
      <c r="AA234" s="4"/>
    </row>
    <row r="235" spans="1:27" ht="38.25">
      <c r="A235" s="3" t="str">
        <f>B235&amp;"."&amp;TEXT(COUNTIF($B$5:B235,B235),"000")</f>
        <v>1.08.01.069</v>
      </c>
      <c r="B235" s="3" t="str">
        <f>IFERROR(INDEX('Work Packages'!$A$5:$A$200,MATCH(D235&amp;"|"&amp;E235,'Work Packages'!$P$5:$P$200,0)),"")</f>
        <v>1.08.01</v>
      </c>
      <c r="C235" s="3" t="str">
        <f>'FSL Source'!B235</f>
        <v>ADJ-RD04-069</v>
      </c>
      <c r="D235" s="3" t="str">
        <f>'FSL Source'!C235</f>
        <v>Điều chỉnh, Tạm dừng &amp; Dừng</v>
      </c>
      <c r="E235" s="3" t="str">
        <f>'FSL Source'!D235</f>
        <v>Điều chỉnh nhiệm vụ</v>
      </c>
      <c r="F235" s="4" t="str">
        <f>'FSL Source'!E235</f>
        <v>Hồ sơ dừng nhiệm vụ cấp Tập đoàn</v>
      </c>
      <c r="G235" s="4" t="str">
        <f>'FSL Source'!F235</f>
        <v>Trình duyệt Hồ sơ dừng nhiệm vụ cấp Tập đoàn</v>
      </c>
      <c r="H235" s="4" t="str">
        <f>'FSL Source'!G235</f>
        <v>Kiểm tra điều kiện, khóa phiên bản trình và khởi tạo/tiếp tục quy trình phê duyệt Hồ sơ dừng nhiệm vụ cấp Tập đoàn.</v>
      </c>
      <c r="I235" s="3" t="str">
        <f>'FSL Source'!H235</f>
        <v>Người lập/Chủ nhiệm nhiệm vụ</v>
      </c>
      <c r="J235" s="3" t="str">
        <f>'FSL Source'!I235</f>
        <v>Workflow</v>
      </c>
      <c r="K235" s="3" t="str">
        <f>'FSL Source'!J235</f>
        <v>RD04.10</v>
      </c>
      <c r="L235" s="3" t="str">
        <f>'FSL Source'!K235</f>
        <v>CAP-14</v>
      </c>
      <c r="M235" s="3" t="str">
        <f>'FSL Source'!L235</f>
        <v>Must</v>
      </c>
      <c r="N235" s="3" t="str">
        <f>'FSL Source'!M235</f>
        <v>Pha 2</v>
      </c>
      <c r="O235" s="3" t="str">
        <f>'FSL Source'!N235</f>
        <v>Đề xuất trong phạm vi</v>
      </c>
      <c r="P235" s="4" t="str">
        <f>'FSL Source'!O235</f>
        <v>Hiệu chỉnh theo BRD 0.9</v>
      </c>
      <c r="Q235" s="4" t="str">
        <f>'FSL Source'!P235</f>
        <v>Tạo đúng process instance, business key và task đầu tiên; không submit trùng.</v>
      </c>
      <c r="R235" s="4">
        <f>'FSL Source'!Q235</f>
        <v>0</v>
      </c>
      <c r="S235" s="3"/>
      <c r="T235" s="3"/>
      <c r="U235" s="8"/>
      <c r="V235" s="8"/>
      <c r="W235" s="9"/>
      <c r="X235" s="9" t="str">
        <f t="shared" si="3"/>
        <v/>
      </c>
      <c r="Y235" s="3" t="s">
        <v>1860</v>
      </c>
      <c r="Z235" s="10">
        <v>0</v>
      </c>
      <c r="AA235" s="4"/>
    </row>
    <row r="236" spans="1:27" ht="38.25">
      <c r="A236" s="3" t="str">
        <f>B236&amp;"."&amp;TEXT(COUNTIF($B$5:B236,B236),"000")</f>
        <v>1.08.01.070</v>
      </c>
      <c r="B236" s="3" t="str">
        <f>IFERROR(INDEX('Work Packages'!$A$5:$A$200,MATCH(D236&amp;"|"&amp;E236,'Work Packages'!$P$5:$P$200,0)),"")</f>
        <v>1.08.01</v>
      </c>
      <c r="C236" s="3" t="str">
        <f>'FSL Source'!B236</f>
        <v>ADJ-RD04-070</v>
      </c>
      <c r="D236" s="3" t="str">
        <f>'FSL Source'!C236</f>
        <v>Điều chỉnh, Tạm dừng &amp; Dừng</v>
      </c>
      <c r="E236" s="3" t="str">
        <f>'FSL Source'!D236</f>
        <v>Điều chỉnh nhiệm vụ</v>
      </c>
      <c r="F236" s="4" t="str">
        <f>'FSL Source'!E236</f>
        <v>Hồ sơ dừng nhiệm vụ cấp Tập đoàn</v>
      </c>
      <c r="G236" s="4" t="str">
        <f>'FSL Source'!F236</f>
        <v>Xem lịch sử Hồ sơ dừng nhiệm vụ cấp Tập đoàn</v>
      </c>
      <c r="H236" s="4" t="str">
        <f>'FSL Source'!G236</f>
        <v>Theo dõi phiên bản, thay đổi dữ liệu, người thực hiện và lịch sử xử lý của Hồ sơ dừng nhiệm vụ cấp Tập đoàn.</v>
      </c>
      <c r="I236" s="3" t="str">
        <f>'FSL Source'!H236</f>
        <v>Cán bộ nghiệp vụ/Quản trị</v>
      </c>
      <c r="J236" s="3" t="str">
        <f>'FSL Source'!I236</f>
        <v>Audit</v>
      </c>
      <c r="K236" s="3" t="str">
        <f>'FSL Source'!J236</f>
        <v>RD04.10</v>
      </c>
      <c r="L236" s="3" t="str">
        <f>'FSL Source'!K236</f>
        <v>CAP-14</v>
      </c>
      <c r="M236" s="3" t="str">
        <f>'FSL Source'!L236</f>
        <v>Must</v>
      </c>
      <c r="N236" s="3" t="str">
        <f>'FSL Source'!M236</f>
        <v>Pha 2</v>
      </c>
      <c r="O236" s="3" t="str">
        <f>'FSL Source'!N236</f>
        <v>Đề xuất trong phạm vi</v>
      </c>
      <c r="P236" s="4" t="str">
        <f>'FSL Source'!O236</f>
        <v>Hiệu chỉnh theo BRD 0.9</v>
      </c>
      <c r="Q236" s="4" t="str">
        <f>'FSL Source'!P236</f>
        <v>Lịch sử không thể sửa và truy vết được trước/sau của thay đổi quan trọng.</v>
      </c>
      <c r="R236" s="4">
        <f>'FSL Source'!Q236</f>
        <v>0</v>
      </c>
      <c r="S236" s="3"/>
      <c r="T236" s="3"/>
      <c r="U236" s="8"/>
      <c r="V236" s="8"/>
      <c r="W236" s="9"/>
      <c r="X236" s="9" t="str">
        <f t="shared" si="3"/>
        <v/>
      </c>
      <c r="Y236" s="3" t="s">
        <v>1860</v>
      </c>
      <c r="Z236" s="10">
        <v>0</v>
      </c>
      <c r="AA236" s="4"/>
    </row>
    <row r="237" spans="1:27" ht="25.5">
      <c r="A237" s="3" t="str">
        <f>B237&amp;"."&amp;TEXT(COUNTIF($B$5:B237,B237),"000")</f>
        <v>1.08.01.071</v>
      </c>
      <c r="B237" s="3" t="str">
        <f>IFERROR(INDEX('Work Packages'!$A$5:$A$200,MATCH(D237&amp;"|"&amp;E237,'Work Packages'!$P$5:$P$200,0)),"")</f>
        <v>1.08.01</v>
      </c>
      <c r="C237" s="3" t="str">
        <f>'FSL Source'!B237</f>
        <v>ADJ-RD04-071</v>
      </c>
      <c r="D237" s="3" t="str">
        <f>'FSL Source'!C237</f>
        <v>Điều chỉnh, Tạm dừng &amp; Dừng</v>
      </c>
      <c r="E237" s="3" t="str">
        <f>'FSL Source'!D237</f>
        <v>Điều chỉnh nhiệm vụ</v>
      </c>
      <c r="F237" s="4" t="str">
        <f>'FSL Source'!E237</f>
        <v>Đánh giá tác động</v>
      </c>
      <c r="G237" s="4" t="str">
        <f>'FSL Source'!F237</f>
        <v>So sánh trước/sau và đánh giá tác động điều chỉnh</v>
      </c>
      <c r="H237" s="4" t="str">
        <f>'FSL Source'!G237</f>
        <v>Hiển thị thay đổi phạm vi, thời gian, kinh phí, nhân sự, sản phẩm và các hồ sơ phụ thuộc.</v>
      </c>
      <c r="I237" s="3" t="str">
        <f>'FSL Source'!H237</f>
        <v>Cán bộ KHCN/Người duyệt</v>
      </c>
      <c r="J237" s="3" t="str">
        <f>'FSL Source'!I237</f>
        <v>Nghiệp vụ</v>
      </c>
      <c r="K237" s="3" t="str">
        <f>'FSL Source'!J237</f>
        <v>RD04</v>
      </c>
      <c r="L237" s="3" t="str">
        <f>'FSL Source'!K237</f>
        <v>CAP-14</v>
      </c>
      <c r="M237" s="3" t="str">
        <f>'FSL Source'!L237</f>
        <v>Must</v>
      </c>
      <c r="N237" s="3" t="str">
        <f>'FSL Source'!M237</f>
        <v>Pha 2</v>
      </c>
      <c r="O237" s="3" t="str">
        <f>'FSL Source'!N237</f>
        <v>Đề xuất trong phạm vi</v>
      </c>
      <c r="P237" s="4" t="str">
        <f>'FSL Source'!O237</f>
        <v>Bổ sung</v>
      </c>
      <c r="Q237" s="4">
        <f>'FSL Source'!P237</f>
        <v>0</v>
      </c>
      <c r="R237" s="4">
        <f>'FSL Source'!Q237</f>
        <v>0</v>
      </c>
      <c r="S237" s="3"/>
      <c r="T237" s="3"/>
      <c r="U237" s="8"/>
      <c r="V237" s="8"/>
      <c r="W237" s="9"/>
      <c r="X237" s="9" t="str">
        <f t="shared" si="3"/>
        <v/>
      </c>
      <c r="Y237" s="3" t="s">
        <v>1860</v>
      </c>
      <c r="Z237" s="10">
        <v>0</v>
      </c>
      <c r="AA237" s="4"/>
    </row>
    <row r="238" spans="1:27" ht="25.5">
      <c r="A238" s="3" t="str">
        <f>B238&amp;"."&amp;TEXT(COUNTIF($B$5:B238,B238),"000")</f>
        <v>1.08.01.072</v>
      </c>
      <c r="B238" s="3" t="str">
        <f>IFERROR(INDEX('Work Packages'!$A$5:$A$200,MATCH(D238&amp;"|"&amp;E238,'Work Packages'!$P$5:$P$200,0)),"")</f>
        <v>1.08.01</v>
      </c>
      <c r="C238" s="3" t="str">
        <f>'FSL Source'!B238</f>
        <v>ADJ-RD04-072</v>
      </c>
      <c r="D238" s="3" t="str">
        <f>'FSL Source'!C238</f>
        <v>Điều chỉnh, Tạm dừng &amp; Dừng</v>
      </c>
      <c r="E238" s="3" t="str">
        <f>'FSL Source'!D238</f>
        <v>Điều chỉnh nhiệm vụ</v>
      </c>
      <c r="F238" s="4" t="str">
        <f>'FSL Source'!E238</f>
        <v>Áp dụng kết quả</v>
      </c>
      <c r="G238" s="4" t="str">
        <f>'FSL Source'!F238</f>
        <v>Cập nhật baseline sau phê duyệt</v>
      </c>
      <c r="H238" s="4" t="str">
        <f>'FSL Source'!G238</f>
        <v>Chỉ cập nhật dữ liệu nhiệm vụ khi quyết định điều chỉnh đã được ban hành; giữ lịch sử baseline cũ.</v>
      </c>
      <c r="I238" s="3" t="str">
        <f>'FSL Source'!H238</f>
        <v>Cán bộ KHCN</v>
      </c>
      <c r="J238" s="3" t="str">
        <f>'FSL Source'!I238</f>
        <v>Workflow</v>
      </c>
      <c r="K238" s="3" t="str">
        <f>'FSL Source'!J238</f>
        <v>RD04</v>
      </c>
      <c r="L238" s="3" t="str">
        <f>'FSL Source'!K238</f>
        <v>CAP-14</v>
      </c>
      <c r="M238" s="3" t="str">
        <f>'FSL Source'!L238</f>
        <v>Must</v>
      </c>
      <c r="N238" s="3" t="str">
        <f>'FSL Source'!M238</f>
        <v>Pha 2</v>
      </c>
      <c r="O238" s="3" t="str">
        <f>'FSL Source'!N238</f>
        <v>Đề xuất trong phạm vi</v>
      </c>
      <c r="P238" s="4" t="str">
        <f>'FSL Source'!O238</f>
        <v>Bổ sung</v>
      </c>
      <c r="Q238" s="4">
        <f>'FSL Source'!P238</f>
        <v>0</v>
      </c>
      <c r="R238" s="4">
        <f>'FSL Source'!Q238</f>
        <v>0</v>
      </c>
      <c r="S238" s="3"/>
      <c r="T238" s="3"/>
      <c r="U238" s="8"/>
      <c r="V238" s="8"/>
      <c r="W238" s="9"/>
      <c r="X238" s="9" t="str">
        <f t="shared" si="3"/>
        <v/>
      </c>
      <c r="Y238" s="3" t="s">
        <v>1860</v>
      </c>
      <c r="Z238" s="10">
        <v>0</v>
      </c>
      <c r="AA238" s="4"/>
    </row>
    <row r="239" spans="1:27" ht="25.5">
      <c r="A239" s="3" t="str">
        <f>B239&amp;"."&amp;TEXT(COUNTIF($B$5:B239,B239),"000")</f>
        <v>1.09.01.001</v>
      </c>
      <c r="B239" s="3" t="str">
        <f>IFERROR(INDEX('Work Packages'!$A$5:$A$200,MATCH(D239&amp;"|"&amp;E239,'Work Packages'!$P$5:$P$200,0)),"")</f>
        <v>1.09.01</v>
      </c>
      <c r="C239" s="3" t="str">
        <f>'FSL Source'!B239</f>
        <v>ACC-RD05-001</v>
      </c>
      <c r="D239" s="3" t="str">
        <f>'FSL Source'!C239</f>
        <v>Nghiệm thu</v>
      </c>
      <c r="E239" s="3" t="str">
        <f>'FSL Source'!D239</f>
        <v>Nghiệm thu nhiệm vụ</v>
      </c>
      <c r="F239" s="4" t="str">
        <f>'FSL Source'!E239</f>
        <v>Hồ sơ nghiệm thu</v>
      </c>
      <c r="G239" s="4" t="str">
        <f>'FSL Source'!F239</f>
        <v>Xem danh sách Hồ sơ nghiệm thu</v>
      </c>
      <c r="H239" s="4" t="str">
        <f>'FSL Source'!G239</f>
        <v>Tra cứu danh sách, phân trang, sắp xếp và lọc Hồ sơ nghiệm thu theo các tiêu chí nghiệp vụ.</v>
      </c>
      <c r="I239" s="3" t="str">
        <f>'FSL Source'!H239</f>
        <v>Chủ nhiệm/Cán bộ KHCN</v>
      </c>
      <c r="J239" s="3" t="str">
        <f>'FSL Source'!I239</f>
        <v>Nghiệp vụ</v>
      </c>
      <c r="K239" s="3" t="str">
        <f>'FSL Source'!J239</f>
        <v>RD05.01/RD05.02</v>
      </c>
      <c r="L239" s="3" t="str">
        <f>'FSL Source'!K239</f>
        <v>CAP-04; CAP-08</v>
      </c>
      <c r="M239" s="3" t="str">
        <f>'FSL Source'!L239</f>
        <v>Must</v>
      </c>
      <c r="N239" s="3" t="str">
        <f>'FSL Source'!M239</f>
        <v>Pha 1</v>
      </c>
      <c r="O239" s="3" t="str">
        <f>'FSL Source'!N239</f>
        <v>Đề xuất trong phạm vi</v>
      </c>
      <c r="P239" s="4" t="str">
        <f>'FSL Source'!O239</f>
        <v>Hiệu chỉnh theo BRD 0.9</v>
      </c>
      <c r="Q239" s="4" t="str">
        <f>'FSL Source'!P239</f>
        <v>Danh sách hiển thị đúng phạm vi dữ liệu và hỗ trợ lọc/xuất theo quyền.</v>
      </c>
      <c r="R239" s="4">
        <f>'FSL Source'!Q239</f>
        <v>0</v>
      </c>
      <c r="S239" s="3"/>
      <c r="T239" s="3"/>
      <c r="U239" s="8"/>
      <c r="V239" s="8"/>
      <c r="W239" s="9"/>
      <c r="X239" s="9" t="str">
        <f t="shared" si="3"/>
        <v/>
      </c>
      <c r="Y239" s="3" t="s">
        <v>1860</v>
      </c>
      <c r="Z239" s="10">
        <v>0</v>
      </c>
      <c r="AA239" s="4"/>
    </row>
    <row r="240" spans="1:27" ht="25.5">
      <c r="A240" s="3" t="str">
        <f>B240&amp;"."&amp;TEXT(COUNTIF($B$5:B240,B240),"000")</f>
        <v>1.09.01.002</v>
      </c>
      <c r="B240" s="3" t="str">
        <f>IFERROR(INDEX('Work Packages'!$A$5:$A$200,MATCH(D240&amp;"|"&amp;E240,'Work Packages'!$P$5:$P$200,0)),"")</f>
        <v>1.09.01</v>
      </c>
      <c r="C240" s="3" t="str">
        <f>'FSL Source'!B240</f>
        <v>ACC-RD05-002</v>
      </c>
      <c r="D240" s="3" t="str">
        <f>'FSL Source'!C240</f>
        <v>Nghiệm thu</v>
      </c>
      <c r="E240" s="3" t="str">
        <f>'FSL Source'!D240</f>
        <v>Nghiệm thu nhiệm vụ</v>
      </c>
      <c r="F240" s="4" t="str">
        <f>'FSL Source'!E240</f>
        <v>Hồ sơ nghiệm thu</v>
      </c>
      <c r="G240" s="4" t="str">
        <f>'FSL Source'!F240</f>
        <v>Tạo mới Hồ sơ nghiệm thu</v>
      </c>
      <c r="H240" s="4" t="str">
        <f>'FSL Source'!G240</f>
        <v>Khởi tạo Hồ sơ nghiệm thu, kiểm tra dữ liệu bắt buộc và lưu nháp trước khi hoàn tất.</v>
      </c>
      <c r="I240" s="3" t="str">
        <f>'FSL Source'!H240</f>
        <v>Chủ nhiệm/Cán bộ KHCN</v>
      </c>
      <c r="J240" s="3" t="str">
        <f>'FSL Source'!I240</f>
        <v>Nghiệp vụ</v>
      </c>
      <c r="K240" s="3" t="str">
        <f>'FSL Source'!J240</f>
        <v>RD05.01/RD05.02</v>
      </c>
      <c r="L240" s="3" t="str">
        <f>'FSL Source'!K240</f>
        <v>CAP-04; CAP-08</v>
      </c>
      <c r="M240" s="3" t="str">
        <f>'FSL Source'!L240</f>
        <v>Must</v>
      </c>
      <c r="N240" s="3" t="str">
        <f>'FSL Source'!M240</f>
        <v>Pha 1</v>
      </c>
      <c r="O240" s="3" t="str">
        <f>'FSL Source'!N240</f>
        <v>Đề xuất trong phạm vi</v>
      </c>
      <c r="P240" s="4" t="str">
        <f>'FSL Source'!O240</f>
        <v>Hiệu chỉnh theo BRD 0.9</v>
      </c>
      <c r="Q240" s="4" t="str">
        <f>'FSL Source'!P240</f>
        <v>Dữ liệu hợp lệ được lưu; lỗi validation hiển thị tại trường tương ứng.</v>
      </c>
      <c r="R240" s="4">
        <f>'FSL Source'!Q240</f>
        <v>0</v>
      </c>
      <c r="S240" s="3"/>
      <c r="T240" s="3"/>
      <c r="U240" s="8"/>
      <c r="V240" s="8"/>
      <c r="W240" s="9"/>
      <c r="X240" s="9" t="str">
        <f t="shared" si="3"/>
        <v/>
      </c>
      <c r="Y240" s="3" t="s">
        <v>1860</v>
      </c>
      <c r="Z240" s="10">
        <v>0</v>
      </c>
      <c r="AA240" s="4"/>
    </row>
    <row r="241" spans="1:27" ht="25.5">
      <c r="A241" s="3" t="str">
        <f>B241&amp;"."&amp;TEXT(COUNTIF($B$5:B241,B241),"000")</f>
        <v>1.09.01.003</v>
      </c>
      <c r="B241" s="3" t="str">
        <f>IFERROR(INDEX('Work Packages'!$A$5:$A$200,MATCH(D241&amp;"|"&amp;E241,'Work Packages'!$P$5:$P$200,0)),"")</f>
        <v>1.09.01</v>
      </c>
      <c r="C241" s="3" t="str">
        <f>'FSL Source'!B241</f>
        <v>ACC-RD05-003</v>
      </c>
      <c r="D241" s="3" t="str">
        <f>'FSL Source'!C241</f>
        <v>Nghiệm thu</v>
      </c>
      <c r="E241" s="3" t="str">
        <f>'FSL Source'!D241</f>
        <v>Nghiệm thu nhiệm vụ</v>
      </c>
      <c r="F241" s="4" t="str">
        <f>'FSL Source'!E241</f>
        <v>Hồ sơ nghiệm thu</v>
      </c>
      <c r="G241" s="4" t="str">
        <f>'FSL Source'!F241</f>
        <v>Xem chi tiết Hồ sơ nghiệm thu</v>
      </c>
      <c r="H241" s="4" t="str">
        <f>'FSL Source'!G241</f>
        <v>Hiển thị thông tin tổng quan, dữ liệu chi tiết, tài liệu liên quan và trạng thái của Hồ sơ nghiệm thu.</v>
      </c>
      <c r="I241" s="3" t="str">
        <f>'FSL Source'!H241</f>
        <v>Chủ nhiệm/Cán bộ KHCN</v>
      </c>
      <c r="J241" s="3" t="str">
        <f>'FSL Source'!I241</f>
        <v>Nghiệp vụ</v>
      </c>
      <c r="K241" s="3" t="str">
        <f>'FSL Source'!J241</f>
        <v>RD05.01/RD05.02</v>
      </c>
      <c r="L241" s="3" t="str">
        <f>'FSL Source'!K241</f>
        <v>CAP-04; CAP-08</v>
      </c>
      <c r="M241" s="3" t="str">
        <f>'FSL Source'!L241</f>
        <v>Must</v>
      </c>
      <c r="N241" s="3" t="str">
        <f>'FSL Source'!M241</f>
        <v>Pha 1</v>
      </c>
      <c r="O241" s="3" t="str">
        <f>'FSL Source'!N241</f>
        <v>Đề xuất trong phạm vi</v>
      </c>
      <c r="P241" s="4" t="str">
        <f>'FSL Source'!O241</f>
        <v>Hiệu chỉnh theo BRD 0.9</v>
      </c>
      <c r="Q241" s="4" t="str">
        <f>'FSL Source'!P241</f>
        <v>Thông tin hiển thị đúng phiên bản và quyền truy cập.</v>
      </c>
      <c r="R241" s="4">
        <f>'FSL Source'!Q241</f>
        <v>0</v>
      </c>
      <c r="S241" s="3"/>
      <c r="T241" s="3"/>
      <c r="U241" s="8"/>
      <c r="V241" s="8"/>
      <c r="W241" s="9"/>
      <c r="X241" s="9" t="str">
        <f t="shared" si="3"/>
        <v/>
      </c>
      <c r="Y241" s="3" t="s">
        <v>1860</v>
      </c>
      <c r="Z241" s="10">
        <v>0</v>
      </c>
      <c r="AA241" s="4"/>
    </row>
    <row r="242" spans="1:27" ht="25.5">
      <c r="A242" s="3" t="str">
        <f>B242&amp;"."&amp;TEXT(COUNTIF($B$5:B242,B242),"000")</f>
        <v>1.09.01.004</v>
      </c>
      <c r="B242" s="3" t="str">
        <f>IFERROR(INDEX('Work Packages'!$A$5:$A$200,MATCH(D242&amp;"|"&amp;E242,'Work Packages'!$P$5:$P$200,0)),"")</f>
        <v>1.09.01</v>
      </c>
      <c r="C242" s="3" t="str">
        <f>'FSL Source'!B242</f>
        <v>ACC-RD05-004</v>
      </c>
      <c r="D242" s="3" t="str">
        <f>'FSL Source'!C242</f>
        <v>Nghiệm thu</v>
      </c>
      <c r="E242" s="3" t="str">
        <f>'FSL Source'!D242</f>
        <v>Nghiệm thu nhiệm vụ</v>
      </c>
      <c r="F242" s="4" t="str">
        <f>'FSL Source'!E242</f>
        <v>Hồ sơ nghiệm thu</v>
      </c>
      <c r="G242" s="4" t="str">
        <f>'FSL Source'!F242</f>
        <v>Chỉnh sửa Hồ sơ nghiệm thu</v>
      </c>
      <c r="H242" s="4" t="str">
        <f>'FSL Source'!G242</f>
        <v>Cập nhật Hồ sơ nghiệm thu khi trạng thái và quyền người dùng cho phép; kiểm soát xung đột cập nhật.</v>
      </c>
      <c r="I242" s="3" t="str">
        <f>'FSL Source'!H242</f>
        <v>Chủ nhiệm/Cán bộ KHCN</v>
      </c>
      <c r="J242" s="3" t="str">
        <f>'FSL Source'!I242</f>
        <v>Nghiệp vụ</v>
      </c>
      <c r="K242" s="3" t="str">
        <f>'FSL Source'!J242</f>
        <v>RD05.01/RD05.02</v>
      </c>
      <c r="L242" s="3" t="str">
        <f>'FSL Source'!K242</f>
        <v>CAP-04; CAP-08</v>
      </c>
      <c r="M242" s="3" t="str">
        <f>'FSL Source'!L242</f>
        <v>Must</v>
      </c>
      <c r="N242" s="3" t="str">
        <f>'FSL Source'!M242</f>
        <v>Pha 1</v>
      </c>
      <c r="O242" s="3" t="str">
        <f>'FSL Source'!N242</f>
        <v>Đề xuất trong phạm vi</v>
      </c>
      <c r="P242" s="4" t="str">
        <f>'FSL Source'!O242</f>
        <v>Hiệu chỉnh theo BRD 0.9</v>
      </c>
      <c r="Q242" s="4" t="str">
        <f>'FSL Source'!P242</f>
        <v>Chỉ trường được phép sửa có hiệu lực và thay đổi được ghi lịch sử.</v>
      </c>
      <c r="R242" s="4">
        <f>'FSL Source'!Q242</f>
        <v>0</v>
      </c>
      <c r="S242" s="3"/>
      <c r="T242" s="3"/>
      <c r="U242" s="8"/>
      <c r="V242" s="8"/>
      <c r="W242" s="9"/>
      <c r="X242" s="9" t="str">
        <f t="shared" si="3"/>
        <v/>
      </c>
      <c r="Y242" s="3" t="s">
        <v>1860</v>
      </c>
      <c r="Z242" s="10">
        <v>0</v>
      </c>
      <c r="AA242" s="4"/>
    </row>
    <row r="243" spans="1:27" ht="25.5">
      <c r="A243" s="3" t="str">
        <f>B243&amp;"."&amp;TEXT(COUNTIF($B$5:B243,B243),"000")</f>
        <v>1.09.01.005</v>
      </c>
      <c r="B243" s="3" t="str">
        <f>IFERROR(INDEX('Work Packages'!$A$5:$A$200,MATCH(D243&amp;"|"&amp;E243,'Work Packages'!$P$5:$P$200,0)),"")</f>
        <v>1.09.01</v>
      </c>
      <c r="C243" s="3" t="str">
        <f>'FSL Source'!B243</f>
        <v>ACC-RD05-005</v>
      </c>
      <c r="D243" s="3" t="str">
        <f>'FSL Source'!C243</f>
        <v>Nghiệm thu</v>
      </c>
      <c r="E243" s="3" t="str">
        <f>'FSL Source'!D243</f>
        <v>Nghiệm thu nhiệm vụ</v>
      </c>
      <c r="F243" s="4" t="str">
        <f>'FSL Source'!E243</f>
        <v>Hồ sơ nghiệm thu</v>
      </c>
      <c r="G243" s="4" t="str">
        <f>'FSL Source'!F243</f>
        <v>Xóa/Ngừng sử dụng Hồ sơ nghiệm thu</v>
      </c>
      <c r="H243" s="4" t="str">
        <f>'FSL Source'!G243</f>
        <v>Xóa logic hoặc ngừng sử dụng Hồ sơ nghiệm thu sau khi kiểm tra ràng buộc tham chiếu.</v>
      </c>
      <c r="I243" s="3" t="str">
        <f>'FSL Source'!H243</f>
        <v>Quản trị/Cán bộ nghiệp vụ</v>
      </c>
      <c r="J243" s="3" t="str">
        <f>'FSL Source'!I243</f>
        <v>Nghiệp vụ</v>
      </c>
      <c r="K243" s="3" t="str">
        <f>'FSL Source'!J243</f>
        <v>RD05.01/RD05.02</v>
      </c>
      <c r="L243" s="3" t="str">
        <f>'FSL Source'!K243</f>
        <v>CAP-04; CAP-08</v>
      </c>
      <c r="M243" s="3" t="str">
        <f>'FSL Source'!L243</f>
        <v>Should</v>
      </c>
      <c r="N243" s="3" t="str">
        <f>'FSL Source'!M243</f>
        <v>Pha 1</v>
      </c>
      <c r="O243" s="3" t="str">
        <f>'FSL Source'!N243</f>
        <v>Đề xuất trong phạm vi</v>
      </c>
      <c r="P243" s="4" t="str">
        <f>'FSL Source'!O243</f>
        <v>Hiệu chỉnh theo BRD 0.9</v>
      </c>
      <c r="Q243" s="4" t="str">
        <f>'FSL Source'!P243</f>
        <v>Không xóa vật lý dữ liệu đã phát sinh giao dịch; cảnh báo rõ quan hệ phụ thuộc.</v>
      </c>
      <c r="R243" s="4">
        <f>'FSL Source'!Q243</f>
        <v>0</v>
      </c>
      <c r="S243" s="3"/>
      <c r="T243" s="3"/>
      <c r="U243" s="8"/>
      <c r="V243" s="8"/>
      <c r="W243" s="9"/>
      <c r="X243" s="9" t="str">
        <f t="shared" si="3"/>
        <v/>
      </c>
      <c r="Y243" s="3" t="s">
        <v>1860</v>
      </c>
      <c r="Z243" s="10">
        <v>0</v>
      </c>
      <c r="AA243" s="4"/>
    </row>
    <row r="244" spans="1:27" ht="25.5">
      <c r="A244" s="3" t="str">
        <f>B244&amp;"."&amp;TEXT(COUNTIF($B$5:B244,B244),"000")</f>
        <v>1.09.01.006</v>
      </c>
      <c r="B244" s="3" t="str">
        <f>IFERROR(INDEX('Work Packages'!$A$5:$A$200,MATCH(D244&amp;"|"&amp;E244,'Work Packages'!$P$5:$P$200,0)),"")</f>
        <v>1.09.01</v>
      </c>
      <c r="C244" s="3" t="str">
        <f>'FSL Source'!B244</f>
        <v>ACC-RD05-006</v>
      </c>
      <c r="D244" s="3" t="str">
        <f>'FSL Source'!C244</f>
        <v>Nghiệm thu</v>
      </c>
      <c r="E244" s="3" t="str">
        <f>'FSL Source'!D244</f>
        <v>Nghiệm thu nhiệm vụ</v>
      </c>
      <c r="F244" s="4" t="str">
        <f>'FSL Source'!E244</f>
        <v>Hồ sơ nghiệm thu</v>
      </c>
      <c r="G244" s="4" t="str">
        <f>'FSL Source'!F244</f>
        <v>Trình duyệt Hồ sơ nghiệm thu</v>
      </c>
      <c r="H244" s="4" t="str">
        <f>'FSL Source'!G244</f>
        <v>Kiểm tra điều kiện, khóa phiên bản trình và khởi tạo/tiếp tục quy trình phê duyệt Hồ sơ nghiệm thu.</v>
      </c>
      <c r="I244" s="3" t="str">
        <f>'FSL Source'!H244</f>
        <v>Người lập/Chủ nhiệm nhiệm vụ</v>
      </c>
      <c r="J244" s="3" t="str">
        <f>'FSL Source'!I244</f>
        <v>Workflow</v>
      </c>
      <c r="K244" s="3" t="str">
        <f>'FSL Source'!J244</f>
        <v>RD05.01/RD05.02</v>
      </c>
      <c r="L244" s="3" t="str">
        <f>'FSL Source'!K244</f>
        <v>CAP-04; CAP-08</v>
      </c>
      <c r="M244" s="3" t="str">
        <f>'FSL Source'!L244</f>
        <v>Must</v>
      </c>
      <c r="N244" s="3" t="str">
        <f>'FSL Source'!M244</f>
        <v>Pha 1</v>
      </c>
      <c r="O244" s="3" t="str">
        <f>'FSL Source'!N244</f>
        <v>Đề xuất trong phạm vi</v>
      </c>
      <c r="P244" s="4" t="str">
        <f>'FSL Source'!O244</f>
        <v>Hiệu chỉnh theo BRD 0.9</v>
      </c>
      <c r="Q244" s="4" t="str">
        <f>'FSL Source'!P244</f>
        <v>Tạo đúng process instance, business key và task đầu tiên; không submit trùng.</v>
      </c>
      <c r="R244" s="4">
        <f>'FSL Source'!Q244</f>
        <v>0</v>
      </c>
      <c r="S244" s="3"/>
      <c r="T244" s="3"/>
      <c r="U244" s="8"/>
      <c r="V244" s="8"/>
      <c r="W244" s="9"/>
      <c r="X244" s="9" t="str">
        <f t="shared" si="3"/>
        <v/>
      </c>
      <c r="Y244" s="3" t="s">
        <v>1860</v>
      </c>
      <c r="Z244" s="10">
        <v>0</v>
      </c>
      <c r="AA244" s="4"/>
    </row>
    <row r="245" spans="1:27" ht="25.5">
      <c r="A245" s="3" t="str">
        <f>B245&amp;"."&amp;TEXT(COUNTIF($B$5:B245,B245),"000")</f>
        <v>1.09.01.007</v>
      </c>
      <c r="B245" s="3" t="str">
        <f>IFERROR(INDEX('Work Packages'!$A$5:$A$200,MATCH(D245&amp;"|"&amp;E245,'Work Packages'!$P$5:$P$200,0)),"")</f>
        <v>1.09.01</v>
      </c>
      <c r="C245" s="3" t="str">
        <f>'FSL Source'!B245</f>
        <v>ACC-RD05-007</v>
      </c>
      <c r="D245" s="3" t="str">
        <f>'FSL Source'!C245</f>
        <v>Nghiệm thu</v>
      </c>
      <c r="E245" s="3" t="str">
        <f>'FSL Source'!D245</f>
        <v>Nghiệm thu nhiệm vụ</v>
      </c>
      <c r="F245" s="4" t="str">
        <f>'FSL Source'!E245</f>
        <v>Hồ sơ nghiệm thu</v>
      </c>
      <c r="G245" s="4" t="str">
        <f>'FSL Source'!F245</f>
        <v>Xem lịch sử Hồ sơ nghiệm thu</v>
      </c>
      <c r="H245" s="4" t="str">
        <f>'FSL Source'!G245</f>
        <v>Theo dõi phiên bản, thay đổi dữ liệu, người thực hiện và lịch sử xử lý của Hồ sơ nghiệm thu.</v>
      </c>
      <c r="I245" s="3" t="str">
        <f>'FSL Source'!H245</f>
        <v>Cán bộ nghiệp vụ/Quản trị</v>
      </c>
      <c r="J245" s="3" t="str">
        <f>'FSL Source'!I245</f>
        <v>Audit</v>
      </c>
      <c r="K245" s="3" t="str">
        <f>'FSL Source'!J245</f>
        <v>RD05.01/RD05.02</v>
      </c>
      <c r="L245" s="3" t="str">
        <f>'FSL Source'!K245</f>
        <v>CAP-04; CAP-08</v>
      </c>
      <c r="M245" s="3" t="str">
        <f>'FSL Source'!L245</f>
        <v>Must</v>
      </c>
      <c r="N245" s="3" t="str">
        <f>'FSL Source'!M245</f>
        <v>Pha 1</v>
      </c>
      <c r="O245" s="3" t="str">
        <f>'FSL Source'!N245</f>
        <v>Đề xuất trong phạm vi</v>
      </c>
      <c r="P245" s="4" t="str">
        <f>'FSL Source'!O245</f>
        <v>Hiệu chỉnh theo BRD 0.9</v>
      </c>
      <c r="Q245" s="4" t="str">
        <f>'FSL Source'!P245</f>
        <v>Lịch sử không thể sửa và truy vết được trước/sau của thay đổi quan trọng.</v>
      </c>
      <c r="R245" s="4">
        <f>'FSL Source'!Q245</f>
        <v>0</v>
      </c>
      <c r="S245" s="3"/>
      <c r="T245" s="3"/>
      <c r="U245" s="8"/>
      <c r="V245" s="8"/>
      <c r="W245" s="9"/>
      <c r="X245" s="9" t="str">
        <f t="shared" si="3"/>
        <v/>
      </c>
      <c r="Y245" s="3" t="s">
        <v>1860</v>
      </c>
      <c r="Z245" s="10">
        <v>0</v>
      </c>
      <c r="AA245" s="4"/>
    </row>
    <row r="246" spans="1:27" ht="25.5">
      <c r="A246" s="3" t="str">
        <f>B246&amp;"."&amp;TEXT(COUNTIF($B$5:B246,B246),"000")</f>
        <v>1.09.01.008</v>
      </c>
      <c r="B246" s="3" t="str">
        <f>IFERROR(INDEX('Work Packages'!$A$5:$A$200,MATCH(D246&amp;"|"&amp;E246,'Work Packages'!$P$5:$P$200,0)),"")</f>
        <v>1.09.01</v>
      </c>
      <c r="C246" s="3" t="str">
        <f>'FSL Source'!B246</f>
        <v>ACC-RD05-008</v>
      </c>
      <c r="D246" s="3" t="str">
        <f>'FSL Source'!C246</f>
        <v>Nghiệm thu</v>
      </c>
      <c r="E246" s="3" t="str">
        <f>'FSL Source'!D246</f>
        <v>Nghiệm thu nhiệm vụ</v>
      </c>
      <c r="F246" s="4" t="str">
        <f>'FSL Source'!E246</f>
        <v>Điều kiện</v>
      </c>
      <c r="G246" s="4" t="str">
        <f>'FSL Source'!F246</f>
        <v>Kiểm tra điều kiện đăng ký nghiệm thu</v>
      </c>
      <c r="H246" s="4" t="str">
        <f>'FSL Source'!G246</f>
        <v>Kiểm tra tiến độ, sản phẩm, báo cáo, tài chính, tài liệu và nghĩa vụ cần hoàn thành.</v>
      </c>
      <c r="I246" s="3" t="str">
        <f>'FSL Source'!H246</f>
        <v>Chủ nhiệm/Cán bộ KHCN</v>
      </c>
      <c r="J246" s="3" t="str">
        <f>'FSL Source'!I246</f>
        <v>Nghiệp vụ</v>
      </c>
      <c r="K246" s="3" t="str">
        <f>'FSL Source'!J246</f>
        <v>RD05.01/RD05.02</v>
      </c>
      <c r="L246" s="3" t="str">
        <f>'FSL Source'!K246</f>
        <v>CAP-04; CAP-08</v>
      </c>
      <c r="M246" s="3" t="str">
        <f>'FSL Source'!L246</f>
        <v>Must</v>
      </c>
      <c r="N246" s="3" t="str">
        <f>'FSL Source'!M246</f>
        <v>Pha 1</v>
      </c>
      <c r="O246" s="3" t="str">
        <f>'FSL Source'!N246</f>
        <v>Đề xuất trong phạm vi</v>
      </c>
      <c r="P246" s="4" t="str">
        <f>'FSL Source'!O246</f>
        <v>Bổ sung</v>
      </c>
      <c r="Q246" s="4">
        <f>'FSL Source'!P246</f>
        <v>0</v>
      </c>
      <c r="R246" s="4">
        <f>'FSL Source'!Q246</f>
        <v>0</v>
      </c>
      <c r="S246" s="3"/>
      <c r="T246" s="3"/>
      <c r="U246" s="8"/>
      <c r="V246" s="8"/>
      <c r="W246" s="9"/>
      <c r="X246" s="9" t="str">
        <f t="shared" si="3"/>
        <v/>
      </c>
      <c r="Y246" s="3" t="s">
        <v>1860</v>
      </c>
      <c r="Z246" s="10">
        <v>0</v>
      </c>
      <c r="AA246" s="4"/>
    </row>
    <row r="247" spans="1:27" ht="25.5">
      <c r="A247" s="3" t="str">
        <f>B247&amp;"."&amp;TEXT(COUNTIF($B$5:B247,B247),"000")</f>
        <v>1.09.01.009</v>
      </c>
      <c r="B247" s="3" t="str">
        <f>IFERROR(INDEX('Work Packages'!$A$5:$A$200,MATCH(D247&amp;"|"&amp;E247,'Work Packages'!$P$5:$P$200,0)),"")</f>
        <v>1.09.01</v>
      </c>
      <c r="C247" s="3" t="str">
        <f>'FSL Source'!B247</f>
        <v>ACC-RD05-009</v>
      </c>
      <c r="D247" s="3" t="str">
        <f>'FSL Source'!C247</f>
        <v>Nghiệm thu</v>
      </c>
      <c r="E247" s="3" t="str">
        <f>'FSL Source'!D247</f>
        <v>Nghiệm thu nhiệm vụ</v>
      </c>
      <c r="F247" s="4" t="str">
        <f>'FSL Source'!E247</f>
        <v>Sản phẩm</v>
      </c>
      <c r="G247" s="4" t="str">
        <f>'FSL Source'!F247</f>
        <v>Đối chiếu sản phẩm đăng ký và thực tế</v>
      </c>
      <c r="H247" s="4" t="str">
        <f>'FSL Source'!G247</f>
        <v>So sánh số lượng, chất lượng, chỉ tiêu, bằng chứng và trạng thái bàn giao.</v>
      </c>
      <c r="I247" s="3" t="str">
        <f>'FSL Source'!H247</f>
        <v>Hội đồng/Cán bộ KHCN</v>
      </c>
      <c r="J247" s="3" t="str">
        <f>'FSL Source'!I247</f>
        <v>Nghiệp vụ</v>
      </c>
      <c r="K247" s="3" t="str">
        <f>'FSL Source'!J247</f>
        <v>RD05.01/RD05.02</v>
      </c>
      <c r="L247" s="3" t="str">
        <f>'FSL Source'!K247</f>
        <v>CAP-04; CAP-08</v>
      </c>
      <c r="M247" s="3" t="str">
        <f>'FSL Source'!L247</f>
        <v>Must</v>
      </c>
      <c r="N247" s="3" t="str">
        <f>'FSL Source'!M247</f>
        <v>Pha 1</v>
      </c>
      <c r="O247" s="3" t="str">
        <f>'FSL Source'!N247</f>
        <v>Đề xuất trong phạm vi</v>
      </c>
      <c r="P247" s="4" t="str">
        <f>'FSL Source'!O247</f>
        <v>Bổ sung</v>
      </c>
      <c r="Q247" s="4">
        <f>'FSL Source'!P247</f>
        <v>0</v>
      </c>
      <c r="R247" s="4">
        <f>'FSL Source'!Q247</f>
        <v>0</v>
      </c>
      <c r="S247" s="3"/>
      <c r="T247" s="3"/>
      <c r="U247" s="8"/>
      <c r="V247" s="8"/>
      <c r="W247" s="9"/>
      <c r="X247" s="9" t="str">
        <f t="shared" si="3"/>
        <v/>
      </c>
      <c r="Y247" s="3" t="s">
        <v>1860</v>
      </c>
      <c r="Z247" s="10">
        <v>0</v>
      </c>
      <c r="AA247" s="4"/>
    </row>
    <row r="248" spans="1:27" ht="25.5">
      <c r="A248" s="3" t="str">
        <f>B248&amp;"."&amp;TEXT(COUNTIF($B$5:B248,B248),"000")</f>
        <v>1.09.01.010</v>
      </c>
      <c r="B248" s="3" t="str">
        <f>IFERROR(INDEX('Work Packages'!$A$5:$A$200,MATCH(D248&amp;"|"&amp;E248,'Work Packages'!$P$5:$P$200,0)),"")</f>
        <v>1.09.01</v>
      </c>
      <c r="C248" s="3" t="str">
        <f>'FSL Source'!B248</f>
        <v>ACC-RD05-010</v>
      </c>
      <c r="D248" s="3" t="str">
        <f>'FSL Source'!C248</f>
        <v>Nghiệm thu</v>
      </c>
      <c r="E248" s="3" t="str">
        <f>'FSL Source'!D248</f>
        <v>Nghiệm thu nhiệm vụ</v>
      </c>
      <c r="F248" s="4" t="str">
        <f>'FSL Source'!E248</f>
        <v>Kết luận</v>
      </c>
      <c r="G248" s="4" t="str">
        <f>'FSL Source'!F248</f>
        <v>Xếp loại và công nhận kết quả nghiệm thu</v>
      </c>
      <c r="H248" s="4" t="str">
        <f>'FSL Source'!G248</f>
        <v>Tổng hợp hội đồng, xếp loại, yêu cầu hoàn thiện và ban hành quyết định công nhận.</v>
      </c>
      <c r="I248" s="3" t="str">
        <f>'FSL Source'!H248</f>
        <v>Hội đồng/Lãnh đạo/Cán bộ KHCN</v>
      </c>
      <c r="J248" s="3" t="str">
        <f>'FSL Source'!I248</f>
        <v>Workflow</v>
      </c>
      <c r="K248" s="3" t="str">
        <f>'FSL Source'!J248</f>
        <v>RD05.01/RD05.02</v>
      </c>
      <c r="L248" s="3" t="str">
        <f>'FSL Source'!K248</f>
        <v>CAP-04; CAP-08</v>
      </c>
      <c r="M248" s="3" t="str">
        <f>'FSL Source'!L248</f>
        <v>Must</v>
      </c>
      <c r="N248" s="3" t="str">
        <f>'FSL Source'!M248</f>
        <v>Pha 1</v>
      </c>
      <c r="O248" s="3" t="str">
        <f>'FSL Source'!N248</f>
        <v>Đề xuất trong phạm vi</v>
      </c>
      <c r="P248" s="4" t="str">
        <f>'FSL Source'!O248</f>
        <v>Bổ sung</v>
      </c>
      <c r="Q248" s="4">
        <f>'FSL Source'!P248</f>
        <v>0</v>
      </c>
      <c r="R248" s="4">
        <f>'FSL Source'!Q248</f>
        <v>0</v>
      </c>
      <c r="S248" s="3"/>
      <c r="T248" s="3"/>
      <c r="U248" s="8"/>
      <c r="V248" s="8"/>
      <c r="W248" s="9"/>
      <c r="X248" s="9" t="str">
        <f t="shared" si="3"/>
        <v/>
      </c>
      <c r="Y248" s="3" t="s">
        <v>1860</v>
      </c>
      <c r="Z248" s="10">
        <v>0</v>
      </c>
      <c r="AA248" s="4"/>
    </row>
    <row r="249" spans="1:27" ht="25.5">
      <c r="A249" s="3" t="str">
        <f>B249&amp;"."&amp;TEXT(COUNTIF($B$5:B249,B249),"000")</f>
        <v>1.09.01.011</v>
      </c>
      <c r="B249" s="3" t="str">
        <f>IFERROR(INDEX('Work Packages'!$A$5:$A$200,MATCH(D249&amp;"|"&amp;E249,'Work Packages'!$P$5:$P$200,0)),"")</f>
        <v>1.09.01</v>
      </c>
      <c r="C249" s="3" t="str">
        <f>'FSL Source'!B249</f>
        <v>ACC-RD05-011</v>
      </c>
      <c r="D249" s="3" t="str">
        <f>'FSL Source'!C249</f>
        <v>Nghiệm thu</v>
      </c>
      <c r="E249" s="3" t="str">
        <f>'FSL Source'!D249</f>
        <v>Nghiệm thu nhiệm vụ</v>
      </c>
      <c r="F249" s="4" t="str">
        <f>'FSL Source'!E249</f>
        <v>Sau nghiệm thu</v>
      </c>
      <c r="G249" s="4" t="str">
        <f>'FSL Source'!F249</f>
        <v>Theo dõi hoàn thiện sau nghiệm thu</v>
      </c>
      <c r="H249" s="4" t="str">
        <f>'FSL Source'!G249</f>
        <v>Quản lý yêu cầu chỉnh sửa, hạn hoàn thành và xác nhận hồ sơ cuối cùng.</v>
      </c>
      <c r="I249" s="3" t="str">
        <f>'FSL Source'!H249</f>
        <v>Chủ nhiệm/Cán bộ KHCN</v>
      </c>
      <c r="J249" s="3" t="str">
        <f>'FSL Source'!I249</f>
        <v>Nghiệp vụ</v>
      </c>
      <c r="K249" s="3" t="str">
        <f>'FSL Source'!J249</f>
        <v>RD05.01/RD05.02</v>
      </c>
      <c r="L249" s="3" t="str">
        <f>'FSL Source'!K249</f>
        <v>CAP-04; CAP-08</v>
      </c>
      <c r="M249" s="3" t="str">
        <f>'FSL Source'!L249</f>
        <v>Should</v>
      </c>
      <c r="N249" s="3" t="str">
        <f>'FSL Source'!M249</f>
        <v>Pha 1</v>
      </c>
      <c r="O249" s="3" t="str">
        <f>'FSL Source'!N249</f>
        <v>Đề xuất trong phạm vi</v>
      </c>
      <c r="P249" s="4" t="str">
        <f>'FSL Source'!O249</f>
        <v>Bổ sung</v>
      </c>
      <c r="Q249" s="4">
        <f>'FSL Source'!P249</f>
        <v>0</v>
      </c>
      <c r="R249" s="4">
        <f>'FSL Source'!Q249</f>
        <v>0</v>
      </c>
      <c r="S249" s="3"/>
      <c r="T249" s="3"/>
      <c r="U249" s="8"/>
      <c r="V249" s="8"/>
      <c r="W249" s="9"/>
      <c r="X249" s="9" t="str">
        <f t="shared" si="3"/>
        <v/>
      </c>
      <c r="Y249" s="3" t="s">
        <v>1860</v>
      </c>
      <c r="Z249" s="10">
        <v>0</v>
      </c>
      <c r="AA249" s="4"/>
    </row>
    <row r="250" spans="1:27" ht="25.5">
      <c r="A250" s="3" t="str">
        <f>B250&amp;"."&amp;TEXT(COUNTIF($B$5:B250,B250),"000")</f>
        <v>1.10.01.001</v>
      </c>
      <c r="B250" s="3" t="str">
        <f>IFERROR(INDEX('Work Packages'!$A$5:$A$200,MATCH(D250&amp;"|"&amp;E250,'Work Packages'!$P$5:$P$200,0)),"")</f>
        <v>1.10.01</v>
      </c>
      <c r="C250" s="3" t="str">
        <f>'FSL Source'!B250</f>
        <v>SET-RD06-001</v>
      </c>
      <c r="D250" s="3" t="str">
        <f>'FSL Source'!C250</f>
        <v>Quyết toán</v>
      </c>
      <c r="E250" s="3" t="str">
        <f>'FSL Source'!D250</f>
        <v>Quyết toán nhiệm vụ</v>
      </c>
      <c r="F250" s="4" t="str">
        <f>'FSL Source'!E250</f>
        <v>Hồ sơ quyết toán</v>
      </c>
      <c r="G250" s="4" t="str">
        <f>'FSL Source'!F250</f>
        <v>Xem danh sách Hồ sơ quyết toán</v>
      </c>
      <c r="H250" s="4" t="str">
        <f>'FSL Source'!G250</f>
        <v>Tra cứu danh sách, phân trang, sắp xếp và lọc Hồ sơ quyết toán theo các tiêu chí nghiệp vụ.</v>
      </c>
      <c r="I250" s="3" t="str">
        <f>'FSL Source'!H250</f>
        <v>Chủ nhiệm/Tài chính/Cán bộ KHCN</v>
      </c>
      <c r="J250" s="3" t="str">
        <f>'FSL Source'!I250</f>
        <v>Nghiệp vụ</v>
      </c>
      <c r="K250" s="3" t="str">
        <f>'FSL Source'!J250</f>
        <v>RD06.01/RD06.02</v>
      </c>
      <c r="L250" s="3" t="str">
        <f>'FSL Source'!K250</f>
        <v>CAP-04; CAP-08</v>
      </c>
      <c r="M250" s="3" t="str">
        <f>'FSL Source'!L250</f>
        <v>Must</v>
      </c>
      <c r="N250" s="3" t="str">
        <f>'FSL Source'!M250</f>
        <v>Pha 1</v>
      </c>
      <c r="O250" s="3" t="str">
        <f>'FSL Source'!N250</f>
        <v>Đề xuất trong phạm vi</v>
      </c>
      <c r="P250" s="4" t="str">
        <f>'FSL Source'!O250</f>
        <v>Hiệu chỉnh theo BRD 0.9</v>
      </c>
      <c r="Q250" s="4" t="str">
        <f>'FSL Source'!P250</f>
        <v>Danh sách hiển thị đúng phạm vi dữ liệu và hỗ trợ lọc/xuất theo quyền.</v>
      </c>
      <c r="R250" s="4">
        <f>'FSL Source'!Q250</f>
        <v>0</v>
      </c>
      <c r="S250" s="3"/>
      <c r="T250" s="3"/>
      <c r="U250" s="8"/>
      <c r="V250" s="8"/>
      <c r="W250" s="9"/>
      <c r="X250" s="9" t="str">
        <f t="shared" si="3"/>
        <v/>
      </c>
      <c r="Y250" s="3" t="s">
        <v>1860</v>
      </c>
      <c r="Z250" s="10">
        <v>0</v>
      </c>
      <c r="AA250" s="4"/>
    </row>
    <row r="251" spans="1:27" ht="25.5">
      <c r="A251" s="3" t="str">
        <f>B251&amp;"."&amp;TEXT(COUNTIF($B$5:B251,B251),"000")</f>
        <v>1.10.01.002</v>
      </c>
      <c r="B251" s="3" t="str">
        <f>IFERROR(INDEX('Work Packages'!$A$5:$A$200,MATCH(D251&amp;"|"&amp;E251,'Work Packages'!$P$5:$P$200,0)),"")</f>
        <v>1.10.01</v>
      </c>
      <c r="C251" s="3" t="str">
        <f>'FSL Source'!B251</f>
        <v>SET-RD06-002</v>
      </c>
      <c r="D251" s="3" t="str">
        <f>'FSL Source'!C251</f>
        <v>Quyết toán</v>
      </c>
      <c r="E251" s="3" t="str">
        <f>'FSL Source'!D251</f>
        <v>Quyết toán nhiệm vụ</v>
      </c>
      <c r="F251" s="4" t="str">
        <f>'FSL Source'!E251</f>
        <v>Hồ sơ quyết toán</v>
      </c>
      <c r="G251" s="4" t="str">
        <f>'FSL Source'!F251</f>
        <v>Tạo mới Hồ sơ quyết toán</v>
      </c>
      <c r="H251" s="4" t="str">
        <f>'FSL Source'!G251</f>
        <v>Khởi tạo Hồ sơ quyết toán, kiểm tra dữ liệu bắt buộc và lưu nháp trước khi hoàn tất.</v>
      </c>
      <c r="I251" s="3" t="str">
        <f>'FSL Source'!H251</f>
        <v>Chủ nhiệm/Tài chính/Cán bộ KHCN</v>
      </c>
      <c r="J251" s="3" t="str">
        <f>'FSL Source'!I251</f>
        <v>Nghiệp vụ</v>
      </c>
      <c r="K251" s="3" t="str">
        <f>'FSL Source'!J251</f>
        <v>RD06.01/RD06.02</v>
      </c>
      <c r="L251" s="3" t="str">
        <f>'FSL Source'!K251</f>
        <v>CAP-04; CAP-08</v>
      </c>
      <c r="M251" s="3" t="str">
        <f>'FSL Source'!L251</f>
        <v>Must</v>
      </c>
      <c r="N251" s="3" t="str">
        <f>'FSL Source'!M251</f>
        <v>Pha 1</v>
      </c>
      <c r="O251" s="3" t="str">
        <f>'FSL Source'!N251</f>
        <v>Đề xuất trong phạm vi</v>
      </c>
      <c r="P251" s="4" t="str">
        <f>'FSL Source'!O251</f>
        <v>Hiệu chỉnh theo BRD 0.9</v>
      </c>
      <c r="Q251" s="4" t="str">
        <f>'FSL Source'!P251</f>
        <v>Dữ liệu hợp lệ được lưu; lỗi validation hiển thị tại trường tương ứng.</v>
      </c>
      <c r="R251" s="4">
        <f>'FSL Source'!Q251</f>
        <v>0</v>
      </c>
      <c r="S251" s="3"/>
      <c r="T251" s="3"/>
      <c r="U251" s="8"/>
      <c r="V251" s="8"/>
      <c r="W251" s="9"/>
      <c r="X251" s="9" t="str">
        <f t="shared" si="3"/>
        <v/>
      </c>
      <c r="Y251" s="3" t="s">
        <v>1860</v>
      </c>
      <c r="Z251" s="10">
        <v>0</v>
      </c>
      <c r="AA251" s="4"/>
    </row>
    <row r="252" spans="1:27" ht="25.5">
      <c r="A252" s="3" t="str">
        <f>B252&amp;"."&amp;TEXT(COUNTIF($B$5:B252,B252),"000")</f>
        <v>1.10.01.003</v>
      </c>
      <c r="B252" s="3" t="str">
        <f>IFERROR(INDEX('Work Packages'!$A$5:$A$200,MATCH(D252&amp;"|"&amp;E252,'Work Packages'!$P$5:$P$200,0)),"")</f>
        <v>1.10.01</v>
      </c>
      <c r="C252" s="3" t="str">
        <f>'FSL Source'!B252</f>
        <v>SET-RD06-003</v>
      </c>
      <c r="D252" s="3" t="str">
        <f>'FSL Source'!C252</f>
        <v>Quyết toán</v>
      </c>
      <c r="E252" s="3" t="str">
        <f>'FSL Source'!D252</f>
        <v>Quyết toán nhiệm vụ</v>
      </c>
      <c r="F252" s="4" t="str">
        <f>'FSL Source'!E252</f>
        <v>Hồ sơ quyết toán</v>
      </c>
      <c r="G252" s="4" t="str">
        <f>'FSL Source'!F252</f>
        <v>Xem chi tiết Hồ sơ quyết toán</v>
      </c>
      <c r="H252" s="4" t="str">
        <f>'FSL Source'!G252</f>
        <v>Hiển thị thông tin tổng quan, dữ liệu chi tiết, tài liệu liên quan và trạng thái của Hồ sơ quyết toán.</v>
      </c>
      <c r="I252" s="3" t="str">
        <f>'FSL Source'!H252</f>
        <v>Chủ nhiệm/Tài chính/Cán bộ KHCN</v>
      </c>
      <c r="J252" s="3" t="str">
        <f>'FSL Source'!I252</f>
        <v>Nghiệp vụ</v>
      </c>
      <c r="K252" s="3" t="str">
        <f>'FSL Source'!J252</f>
        <v>RD06.01/RD06.02</v>
      </c>
      <c r="L252" s="3" t="str">
        <f>'FSL Source'!K252</f>
        <v>CAP-04; CAP-08</v>
      </c>
      <c r="M252" s="3" t="str">
        <f>'FSL Source'!L252</f>
        <v>Must</v>
      </c>
      <c r="N252" s="3" t="str">
        <f>'FSL Source'!M252</f>
        <v>Pha 1</v>
      </c>
      <c r="O252" s="3" t="str">
        <f>'FSL Source'!N252</f>
        <v>Đề xuất trong phạm vi</v>
      </c>
      <c r="P252" s="4" t="str">
        <f>'FSL Source'!O252</f>
        <v>Hiệu chỉnh theo BRD 0.9</v>
      </c>
      <c r="Q252" s="4" t="str">
        <f>'FSL Source'!P252</f>
        <v>Thông tin hiển thị đúng phiên bản và quyền truy cập.</v>
      </c>
      <c r="R252" s="4">
        <f>'FSL Source'!Q252</f>
        <v>0</v>
      </c>
      <c r="S252" s="3"/>
      <c r="T252" s="3"/>
      <c r="U252" s="8"/>
      <c r="V252" s="8"/>
      <c r="W252" s="9"/>
      <c r="X252" s="9" t="str">
        <f t="shared" si="3"/>
        <v/>
      </c>
      <c r="Y252" s="3" t="s">
        <v>1860</v>
      </c>
      <c r="Z252" s="10">
        <v>0</v>
      </c>
      <c r="AA252" s="4"/>
    </row>
    <row r="253" spans="1:27" ht="25.5">
      <c r="A253" s="3" t="str">
        <f>B253&amp;"."&amp;TEXT(COUNTIF($B$5:B253,B253),"000")</f>
        <v>1.10.01.004</v>
      </c>
      <c r="B253" s="3" t="str">
        <f>IFERROR(INDEX('Work Packages'!$A$5:$A$200,MATCH(D253&amp;"|"&amp;E253,'Work Packages'!$P$5:$P$200,0)),"")</f>
        <v>1.10.01</v>
      </c>
      <c r="C253" s="3" t="str">
        <f>'FSL Source'!B253</f>
        <v>SET-RD06-004</v>
      </c>
      <c r="D253" s="3" t="str">
        <f>'FSL Source'!C253</f>
        <v>Quyết toán</v>
      </c>
      <c r="E253" s="3" t="str">
        <f>'FSL Source'!D253</f>
        <v>Quyết toán nhiệm vụ</v>
      </c>
      <c r="F253" s="4" t="str">
        <f>'FSL Source'!E253</f>
        <v>Hồ sơ quyết toán</v>
      </c>
      <c r="G253" s="4" t="str">
        <f>'FSL Source'!F253</f>
        <v>Chỉnh sửa Hồ sơ quyết toán</v>
      </c>
      <c r="H253" s="4" t="str">
        <f>'FSL Source'!G253</f>
        <v>Cập nhật Hồ sơ quyết toán khi trạng thái và quyền người dùng cho phép; kiểm soát xung đột cập nhật.</v>
      </c>
      <c r="I253" s="3" t="str">
        <f>'FSL Source'!H253</f>
        <v>Chủ nhiệm/Tài chính/Cán bộ KHCN</v>
      </c>
      <c r="J253" s="3" t="str">
        <f>'FSL Source'!I253</f>
        <v>Nghiệp vụ</v>
      </c>
      <c r="K253" s="3" t="str">
        <f>'FSL Source'!J253</f>
        <v>RD06.01/RD06.02</v>
      </c>
      <c r="L253" s="3" t="str">
        <f>'FSL Source'!K253</f>
        <v>CAP-04; CAP-08</v>
      </c>
      <c r="M253" s="3" t="str">
        <f>'FSL Source'!L253</f>
        <v>Must</v>
      </c>
      <c r="N253" s="3" t="str">
        <f>'FSL Source'!M253</f>
        <v>Pha 1</v>
      </c>
      <c r="O253" s="3" t="str">
        <f>'FSL Source'!N253</f>
        <v>Đề xuất trong phạm vi</v>
      </c>
      <c r="P253" s="4" t="str">
        <f>'FSL Source'!O253</f>
        <v>Hiệu chỉnh theo BRD 0.9</v>
      </c>
      <c r="Q253" s="4" t="str">
        <f>'FSL Source'!P253</f>
        <v>Chỉ trường được phép sửa có hiệu lực và thay đổi được ghi lịch sử.</v>
      </c>
      <c r="R253" s="4">
        <f>'FSL Source'!Q253</f>
        <v>0</v>
      </c>
      <c r="S253" s="3"/>
      <c r="T253" s="3"/>
      <c r="U253" s="8"/>
      <c r="V253" s="8"/>
      <c r="W253" s="9"/>
      <c r="X253" s="9" t="str">
        <f t="shared" si="3"/>
        <v/>
      </c>
      <c r="Y253" s="3" t="s">
        <v>1860</v>
      </c>
      <c r="Z253" s="10">
        <v>0</v>
      </c>
      <c r="AA253" s="4"/>
    </row>
    <row r="254" spans="1:27" ht="25.5">
      <c r="A254" s="3" t="str">
        <f>B254&amp;"."&amp;TEXT(COUNTIF($B$5:B254,B254),"000")</f>
        <v>1.10.01.005</v>
      </c>
      <c r="B254" s="3" t="str">
        <f>IFERROR(INDEX('Work Packages'!$A$5:$A$200,MATCH(D254&amp;"|"&amp;E254,'Work Packages'!$P$5:$P$200,0)),"")</f>
        <v>1.10.01</v>
      </c>
      <c r="C254" s="3" t="str">
        <f>'FSL Source'!B254</f>
        <v>SET-RD06-005</v>
      </c>
      <c r="D254" s="3" t="str">
        <f>'FSL Source'!C254</f>
        <v>Quyết toán</v>
      </c>
      <c r="E254" s="3" t="str">
        <f>'FSL Source'!D254</f>
        <v>Quyết toán nhiệm vụ</v>
      </c>
      <c r="F254" s="4" t="str">
        <f>'FSL Source'!E254</f>
        <v>Hồ sơ quyết toán</v>
      </c>
      <c r="G254" s="4" t="str">
        <f>'FSL Source'!F254</f>
        <v>Xóa/Ngừng sử dụng Hồ sơ quyết toán</v>
      </c>
      <c r="H254" s="4" t="str">
        <f>'FSL Source'!G254</f>
        <v>Xóa logic hoặc ngừng sử dụng Hồ sơ quyết toán sau khi kiểm tra ràng buộc tham chiếu.</v>
      </c>
      <c r="I254" s="3" t="str">
        <f>'FSL Source'!H254</f>
        <v>Quản trị/Cán bộ nghiệp vụ</v>
      </c>
      <c r="J254" s="3" t="str">
        <f>'FSL Source'!I254</f>
        <v>Nghiệp vụ</v>
      </c>
      <c r="K254" s="3" t="str">
        <f>'FSL Source'!J254</f>
        <v>RD06.01/RD06.02</v>
      </c>
      <c r="L254" s="3" t="str">
        <f>'FSL Source'!K254</f>
        <v>CAP-04; CAP-08</v>
      </c>
      <c r="M254" s="3" t="str">
        <f>'FSL Source'!L254</f>
        <v>Should</v>
      </c>
      <c r="N254" s="3" t="str">
        <f>'FSL Source'!M254</f>
        <v>Pha 1</v>
      </c>
      <c r="O254" s="3" t="str">
        <f>'FSL Source'!N254</f>
        <v>Đề xuất trong phạm vi</v>
      </c>
      <c r="P254" s="4" t="str">
        <f>'FSL Source'!O254</f>
        <v>Hiệu chỉnh theo BRD 0.9</v>
      </c>
      <c r="Q254" s="4" t="str">
        <f>'FSL Source'!P254</f>
        <v>Không xóa vật lý dữ liệu đã phát sinh giao dịch; cảnh báo rõ quan hệ phụ thuộc.</v>
      </c>
      <c r="R254" s="4">
        <f>'FSL Source'!Q254</f>
        <v>0</v>
      </c>
      <c r="S254" s="3"/>
      <c r="T254" s="3"/>
      <c r="U254" s="8"/>
      <c r="V254" s="8"/>
      <c r="W254" s="9"/>
      <c r="X254" s="9" t="str">
        <f t="shared" si="3"/>
        <v/>
      </c>
      <c r="Y254" s="3" t="s">
        <v>1860</v>
      </c>
      <c r="Z254" s="10">
        <v>0</v>
      </c>
      <c r="AA254" s="4"/>
    </row>
    <row r="255" spans="1:27" ht="25.5">
      <c r="A255" s="3" t="str">
        <f>B255&amp;"."&amp;TEXT(COUNTIF($B$5:B255,B255),"000")</f>
        <v>1.10.01.006</v>
      </c>
      <c r="B255" s="3" t="str">
        <f>IFERROR(INDEX('Work Packages'!$A$5:$A$200,MATCH(D255&amp;"|"&amp;E255,'Work Packages'!$P$5:$P$200,0)),"")</f>
        <v>1.10.01</v>
      </c>
      <c r="C255" s="3" t="str">
        <f>'FSL Source'!B255</f>
        <v>SET-RD06-006</v>
      </c>
      <c r="D255" s="3" t="str">
        <f>'FSL Source'!C255</f>
        <v>Quyết toán</v>
      </c>
      <c r="E255" s="3" t="str">
        <f>'FSL Source'!D255</f>
        <v>Quyết toán nhiệm vụ</v>
      </c>
      <c r="F255" s="4" t="str">
        <f>'FSL Source'!E255</f>
        <v>Hồ sơ quyết toán</v>
      </c>
      <c r="G255" s="4" t="str">
        <f>'FSL Source'!F255</f>
        <v>Trình duyệt Hồ sơ quyết toán</v>
      </c>
      <c r="H255" s="4" t="str">
        <f>'FSL Source'!G255</f>
        <v>Kiểm tra điều kiện, khóa phiên bản trình và khởi tạo/tiếp tục quy trình phê duyệt Hồ sơ quyết toán.</v>
      </c>
      <c r="I255" s="3" t="str">
        <f>'FSL Source'!H255</f>
        <v>Người lập/Chủ nhiệm nhiệm vụ</v>
      </c>
      <c r="J255" s="3" t="str">
        <f>'FSL Source'!I255</f>
        <v>Workflow</v>
      </c>
      <c r="K255" s="3" t="str">
        <f>'FSL Source'!J255</f>
        <v>RD06.01/RD06.02</v>
      </c>
      <c r="L255" s="3" t="str">
        <f>'FSL Source'!K255</f>
        <v>CAP-04; CAP-08</v>
      </c>
      <c r="M255" s="3" t="str">
        <f>'FSL Source'!L255</f>
        <v>Must</v>
      </c>
      <c r="N255" s="3" t="str">
        <f>'FSL Source'!M255</f>
        <v>Pha 1</v>
      </c>
      <c r="O255" s="3" t="str">
        <f>'FSL Source'!N255</f>
        <v>Đề xuất trong phạm vi</v>
      </c>
      <c r="P255" s="4" t="str">
        <f>'FSL Source'!O255</f>
        <v>Hiệu chỉnh theo BRD 0.9</v>
      </c>
      <c r="Q255" s="4" t="str">
        <f>'FSL Source'!P255</f>
        <v>Tạo đúng process instance, business key và task đầu tiên; không submit trùng.</v>
      </c>
      <c r="R255" s="4">
        <f>'FSL Source'!Q255</f>
        <v>0</v>
      </c>
      <c r="S255" s="3"/>
      <c r="T255" s="3"/>
      <c r="U255" s="8"/>
      <c r="V255" s="8"/>
      <c r="W255" s="9"/>
      <c r="X255" s="9" t="str">
        <f t="shared" si="3"/>
        <v/>
      </c>
      <c r="Y255" s="3" t="s">
        <v>1860</v>
      </c>
      <c r="Z255" s="10">
        <v>0</v>
      </c>
      <c r="AA255" s="4"/>
    </row>
    <row r="256" spans="1:27" ht="25.5">
      <c r="A256" s="3" t="str">
        <f>B256&amp;"."&amp;TEXT(COUNTIF($B$5:B256,B256),"000")</f>
        <v>1.10.01.007</v>
      </c>
      <c r="B256" s="3" t="str">
        <f>IFERROR(INDEX('Work Packages'!$A$5:$A$200,MATCH(D256&amp;"|"&amp;E256,'Work Packages'!$P$5:$P$200,0)),"")</f>
        <v>1.10.01</v>
      </c>
      <c r="C256" s="3" t="str">
        <f>'FSL Source'!B256</f>
        <v>SET-RD06-007</v>
      </c>
      <c r="D256" s="3" t="str">
        <f>'FSL Source'!C256</f>
        <v>Quyết toán</v>
      </c>
      <c r="E256" s="3" t="str">
        <f>'FSL Source'!D256</f>
        <v>Quyết toán nhiệm vụ</v>
      </c>
      <c r="F256" s="4" t="str">
        <f>'FSL Source'!E256</f>
        <v>Hồ sơ quyết toán</v>
      </c>
      <c r="G256" s="4" t="str">
        <f>'FSL Source'!F256</f>
        <v>Xem lịch sử Hồ sơ quyết toán</v>
      </c>
      <c r="H256" s="4" t="str">
        <f>'FSL Source'!G256</f>
        <v>Theo dõi phiên bản, thay đổi dữ liệu, người thực hiện và lịch sử xử lý của Hồ sơ quyết toán.</v>
      </c>
      <c r="I256" s="3" t="str">
        <f>'FSL Source'!H256</f>
        <v>Cán bộ nghiệp vụ/Quản trị</v>
      </c>
      <c r="J256" s="3" t="str">
        <f>'FSL Source'!I256</f>
        <v>Audit</v>
      </c>
      <c r="K256" s="3" t="str">
        <f>'FSL Source'!J256</f>
        <v>RD06.01/RD06.02</v>
      </c>
      <c r="L256" s="3" t="str">
        <f>'FSL Source'!K256</f>
        <v>CAP-04; CAP-08</v>
      </c>
      <c r="M256" s="3" t="str">
        <f>'FSL Source'!L256</f>
        <v>Must</v>
      </c>
      <c r="N256" s="3" t="str">
        <f>'FSL Source'!M256</f>
        <v>Pha 1</v>
      </c>
      <c r="O256" s="3" t="str">
        <f>'FSL Source'!N256</f>
        <v>Đề xuất trong phạm vi</v>
      </c>
      <c r="P256" s="4" t="str">
        <f>'FSL Source'!O256</f>
        <v>Hiệu chỉnh theo BRD 0.9</v>
      </c>
      <c r="Q256" s="4" t="str">
        <f>'FSL Source'!P256</f>
        <v>Lịch sử không thể sửa và truy vết được trước/sau của thay đổi quan trọng.</v>
      </c>
      <c r="R256" s="4">
        <f>'FSL Source'!Q256</f>
        <v>0</v>
      </c>
      <c r="S256" s="3"/>
      <c r="T256" s="3"/>
      <c r="U256" s="8"/>
      <c r="V256" s="8"/>
      <c r="W256" s="9"/>
      <c r="X256" s="9" t="str">
        <f t="shared" si="3"/>
        <v/>
      </c>
      <c r="Y256" s="3" t="s">
        <v>1860</v>
      </c>
      <c r="Z256" s="10">
        <v>0</v>
      </c>
      <c r="AA256" s="4"/>
    </row>
    <row r="257" spans="1:27" ht="25.5">
      <c r="A257" s="3" t="str">
        <f>B257&amp;"."&amp;TEXT(COUNTIF($B$5:B257,B257),"000")</f>
        <v>1.10.01.008</v>
      </c>
      <c r="B257" s="3" t="str">
        <f>IFERROR(INDEX('Work Packages'!$A$5:$A$200,MATCH(D257&amp;"|"&amp;E257,'Work Packages'!$P$5:$P$200,0)),"")</f>
        <v>1.10.01</v>
      </c>
      <c r="C257" s="3" t="str">
        <f>'FSL Source'!B257</f>
        <v>SET-RD06-008</v>
      </c>
      <c r="D257" s="3" t="str">
        <f>'FSL Source'!C257</f>
        <v>Quyết toán</v>
      </c>
      <c r="E257" s="3" t="str">
        <f>'FSL Source'!D257</f>
        <v>Quyết toán nhiệm vụ</v>
      </c>
      <c r="F257" s="4" t="str">
        <f>'FSL Source'!E257</f>
        <v>Tổng hợp tài chính</v>
      </c>
      <c r="G257" s="4" t="str">
        <f>'FSL Source'!F257</f>
        <v>Tổng hợp dự toán, giải ngân và thực chi</v>
      </c>
      <c r="H257" s="4" t="str">
        <f>'FSL Source'!G257</f>
        <v>Đối chiếu theo nguồn, khoản mục, năm và chứng từ; tính chênh lệch có giải trình.</v>
      </c>
      <c r="I257" s="3" t="str">
        <f>'FSL Source'!H257</f>
        <v>Tài chính/Chủ nhiệm</v>
      </c>
      <c r="J257" s="3" t="str">
        <f>'FSL Source'!I257</f>
        <v>Nghiệp vụ</v>
      </c>
      <c r="K257" s="3" t="str">
        <f>'FSL Source'!J257</f>
        <v>RD06.01/RD06.02</v>
      </c>
      <c r="L257" s="3" t="str">
        <f>'FSL Source'!K257</f>
        <v>CAP-04; CAP-08</v>
      </c>
      <c r="M257" s="3" t="str">
        <f>'FSL Source'!L257</f>
        <v>Must</v>
      </c>
      <c r="N257" s="3" t="str">
        <f>'FSL Source'!M257</f>
        <v>Pha 1</v>
      </c>
      <c r="O257" s="3" t="str">
        <f>'FSL Source'!N257</f>
        <v>Đề xuất trong phạm vi</v>
      </c>
      <c r="P257" s="4" t="str">
        <f>'FSL Source'!O257</f>
        <v>Bổ sung</v>
      </c>
      <c r="Q257" s="4">
        <f>'FSL Source'!P257</f>
        <v>0</v>
      </c>
      <c r="R257" s="4">
        <f>'FSL Source'!Q257</f>
        <v>0</v>
      </c>
      <c r="S257" s="3"/>
      <c r="T257" s="3"/>
      <c r="U257" s="8"/>
      <c r="V257" s="8"/>
      <c r="W257" s="9"/>
      <c r="X257" s="9" t="str">
        <f t="shared" si="3"/>
        <v/>
      </c>
      <c r="Y257" s="3" t="s">
        <v>1860</v>
      </c>
      <c r="Z257" s="10">
        <v>0</v>
      </c>
      <c r="AA257" s="4"/>
    </row>
    <row r="258" spans="1:27" ht="25.5">
      <c r="A258" s="3" t="str">
        <f>B258&amp;"."&amp;TEXT(COUNTIF($B$5:B258,B258),"000")</f>
        <v>1.10.01.009</v>
      </c>
      <c r="B258" s="3" t="str">
        <f>IFERROR(INDEX('Work Packages'!$A$5:$A$200,MATCH(D258&amp;"|"&amp;E258,'Work Packages'!$P$5:$P$200,0)),"")</f>
        <v>1.10.01</v>
      </c>
      <c r="C258" s="3" t="str">
        <f>'FSL Source'!B258</f>
        <v>SET-RD06-009</v>
      </c>
      <c r="D258" s="3" t="str">
        <f>'FSL Source'!C258</f>
        <v>Quyết toán</v>
      </c>
      <c r="E258" s="3" t="str">
        <f>'FSL Source'!D258</f>
        <v>Quyết toán nhiệm vụ</v>
      </c>
      <c r="F258" s="4" t="str">
        <f>'FSL Source'!E258</f>
        <v>Chứng từ</v>
      </c>
      <c r="G258" s="4" t="str">
        <f>'FSL Source'!F258</f>
        <v>Quản lý chứng từ quyết toán</v>
      </c>
      <c r="H258" s="4" t="str">
        <f>'FSL Source'!G258</f>
        <v>Liên kết chứng từ SAP/DMS, kiểm tra trùng, trạng thái hợp lệ và tài liệu bổ sung.</v>
      </c>
      <c r="I258" s="3" t="str">
        <f>'FSL Source'!H258</f>
        <v>Tài chính/Chủ nhiệm</v>
      </c>
      <c r="J258" s="3" t="str">
        <f>'FSL Source'!I258</f>
        <v>Tích hợp</v>
      </c>
      <c r="K258" s="3" t="str">
        <f>'FSL Source'!J258</f>
        <v>RD06.01/RD06.02</v>
      </c>
      <c r="L258" s="3" t="str">
        <f>'FSL Source'!K258</f>
        <v>CAP-04; CAP-08</v>
      </c>
      <c r="M258" s="3" t="str">
        <f>'FSL Source'!L258</f>
        <v>Must</v>
      </c>
      <c r="N258" s="3" t="str">
        <f>'FSL Source'!M258</f>
        <v>Pha 1</v>
      </c>
      <c r="O258" s="3" t="str">
        <f>'FSL Source'!N258</f>
        <v>Đề xuất trong phạm vi</v>
      </c>
      <c r="P258" s="4" t="str">
        <f>'FSL Source'!O258</f>
        <v>Bổ sung</v>
      </c>
      <c r="Q258" s="4">
        <f>'FSL Source'!P258</f>
        <v>0</v>
      </c>
      <c r="R258" s="4">
        <f>'FSL Source'!Q258</f>
        <v>0</v>
      </c>
      <c r="S258" s="3"/>
      <c r="T258" s="3"/>
      <c r="U258" s="8"/>
      <c r="V258" s="8"/>
      <c r="W258" s="9"/>
      <c r="X258" s="9" t="str">
        <f t="shared" si="3"/>
        <v/>
      </c>
      <c r="Y258" s="3" t="s">
        <v>1860</v>
      </c>
      <c r="Z258" s="10">
        <v>0</v>
      </c>
      <c r="AA258" s="4"/>
    </row>
    <row r="259" spans="1:27" ht="25.5">
      <c r="A259" s="3" t="str">
        <f>B259&amp;"."&amp;TEXT(COUNTIF($B$5:B259,B259),"000")</f>
        <v>1.10.01.010</v>
      </c>
      <c r="B259" s="3" t="str">
        <f>IFERROR(INDEX('Work Packages'!$A$5:$A$200,MATCH(D259&amp;"|"&amp;E259,'Work Packages'!$P$5:$P$200,0)),"")</f>
        <v>1.10.01</v>
      </c>
      <c r="C259" s="3" t="str">
        <f>'FSL Source'!B259</f>
        <v>SET-RD06-010</v>
      </c>
      <c r="D259" s="3" t="str">
        <f>'FSL Source'!C259</f>
        <v>Quyết toán</v>
      </c>
      <c r="E259" s="3" t="str">
        <f>'FSL Source'!D259</f>
        <v>Quyết toán nhiệm vụ</v>
      </c>
      <c r="F259" s="4" t="str">
        <f>'FSL Source'!E259</f>
        <v>Đối soát</v>
      </c>
      <c r="G259" s="4" t="str">
        <f>'FSL Source'!F259</f>
        <v>Đối soát dữ liệu tài chính với SAP</v>
      </c>
      <c r="H259" s="4" t="str">
        <f>'FSL Source'!G259</f>
        <v>Ghi nhận sai lệch, trạng thái xử lý và lịch sử đồng bộ/đối soát.</v>
      </c>
      <c r="I259" s="3" t="str">
        <f>'FSL Source'!H259</f>
        <v>Tài chính/Quản trị tích hợp</v>
      </c>
      <c r="J259" s="3" t="str">
        <f>'FSL Source'!I259</f>
        <v>Tích hợp</v>
      </c>
      <c r="K259" s="3" t="str">
        <f>'FSL Source'!J259</f>
        <v>RD06.01/RD06.02</v>
      </c>
      <c r="L259" s="3" t="str">
        <f>'FSL Source'!K259</f>
        <v>CAP-04; CAP-08</v>
      </c>
      <c r="M259" s="3" t="str">
        <f>'FSL Source'!L259</f>
        <v>Must</v>
      </c>
      <c r="N259" s="3" t="str">
        <f>'FSL Source'!M259</f>
        <v>Pha 1</v>
      </c>
      <c r="O259" s="3" t="str">
        <f>'FSL Source'!N259</f>
        <v>Đề xuất trong phạm vi</v>
      </c>
      <c r="P259" s="4" t="str">
        <f>'FSL Source'!O259</f>
        <v>Bổ sung</v>
      </c>
      <c r="Q259" s="4">
        <f>'FSL Source'!P259</f>
        <v>0</v>
      </c>
      <c r="R259" s="4">
        <f>'FSL Source'!Q259</f>
        <v>0</v>
      </c>
      <c r="S259" s="3"/>
      <c r="T259" s="3"/>
      <c r="U259" s="8"/>
      <c r="V259" s="8"/>
      <c r="W259" s="9"/>
      <c r="X259" s="9" t="str">
        <f t="shared" si="3"/>
        <v/>
      </c>
      <c r="Y259" s="3" t="s">
        <v>1860</v>
      </c>
      <c r="Z259" s="10">
        <v>0</v>
      </c>
      <c r="AA259" s="4"/>
    </row>
    <row r="260" spans="1:27" ht="25.5">
      <c r="A260" s="3" t="str">
        <f>B260&amp;"."&amp;TEXT(COUNTIF($B$5:B260,B260),"000")</f>
        <v>1.10.01.011</v>
      </c>
      <c r="B260" s="3" t="str">
        <f>IFERROR(INDEX('Work Packages'!$A$5:$A$200,MATCH(D260&amp;"|"&amp;E260,'Work Packages'!$P$5:$P$200,0)),"")</f>
        <v>1.10.01</v>
      </c>
      <c r="C260" s="3" t="str">
        <f>'FSL Source'!B260</f>
        <v>SET-RD06-011</v>
      </c>
      <c r="D260" s="3" t="str">
        <f>'FSL Source'!C260</f>
        <v>Quyết toán</v>
      </c>
      <c r="E260" s="3" t="str">
        <f>'FSL Source'!D260</f>
        <v>Quyết toán nhiệm vụ</v>
      </c>
      <c r="F260" s="4" t="str">
        <f>'FSL Source'!E260</f>
        <v>Kết quả</v>
      </c>
      <c r="G260" s="4" t="str">
        <f>'FSL Source'!F260</f>
        <v>Ban hành kết quả quyết toán và đóng tài chính</v>
      </c>
      <c r="H260" s="4" t="str">
        <f>'FSL Source'!G260</f>
        <v>Sinh quyết định/biên bản, cập nhật số quyết toán và khóa dữ liệu tài chính.</v>
      </c>
      <c r="I260" s="3" t="str">
        <f>'FSL Source'!H260</f>
        <v>Tài chính/Lãnh đạo</v>
      </c>
      <c r="J260" s="3" t="str">
        <f>'FSL Source'!I260</f>
        <v>Workflow</v>
      </c>
      <c r="K260" s="3" t="str">
        <f>'FSL Source'!J260</f>
        <v>RD06.01/RD06.02</v>
      </c>
      <c r="L260" s="3" t="str">
        <f>'FSL Source'!K260</f>
        <v>CAP-04; CAP-08</v>
      </c>
      <c r="M260" s="3" t="str">
        <f>'FSL Source'!L260</f>
        <v>Must</v>
      </c>
      <c r="N260" s="3" t="str">
        <f>'FSL Source'!M260</f>
        <v>Pha 1</v>
      </c>
      <c r="O260" s="3" t="str">
        <f>'FSL Source'!N260</f>
        <v>Đề xuất trong phạm vi</v>
      </c>
      <c r="P260" s="4" t="str">
        <f>'FSL Source'!O260</f>
        <v>Bổ sung</v>
      </c>
      <c r="Q260" s="4">
        <f>'FSL Source'!P260</f>
        <v>0</v>
      </c>
      <c r="R260" s="4">
        <f>'FSL Source'!Q260</f>
        <v>0</v>
      </c>
      <c r="S260" s="3"/>
      <c r="T260" s="3"/>
      <c r="U260" s="8"/>
      <c r="V260" s="8"/>
      <c r="W260" s="9"/>
      <c r="X260" s="9" t="str">
        <f t="shared" si="3"/>
        <v/>
      </c>
      <c r="Y260" s="3" t="s">
        <v>1860</v>
      </c>
      <c r="Z260" s="10">
        <v>0</v>
      </c>
      <c r="AA260" s="4"/>
    </row>
    <row r="261" spans="1:27" ht="25.5">
      <c r="A261" s="3" t="str">
        <f>B261&amp;"."&amp;TEXT(COUNTIF($B$5:B261,B261),"000")</f>
        <v>1.11.01.001</v>
      </c>
      <c r="B261" s="3" t="str">
        <f>IFERROR(INDEX('Work Packages'!$A$5:$A$200,MATCH(D261&amp;"|"&amp;E261,'Work Packages'!$P$5:$P$200,0)),"")</f>
        <v>1.11.01</v>
      </c>
      <c r="C261" s="3" t="str">
        <f>'FSL Source'!B261</f>
        <v>OUT-PROD-001</v>
      </c>
      <c r="D261" s="3" t="str">
        <f>'FSL Source'!C261</f>
        <v>Sản phẩm Nghiên cứu &amp; SHTT</v>
      </c>
      <c r="E261" s="3" t="str">
        <f>'FSL Source'!D261</f>
        <v>Sản phẩm nghiên cứu</v>
      </c>
      <c r="F261" s="4" t="str">
        <f>'FSL Source'!E261</f>
        <v>Sản phẩm nghiên cứu</v>
      </c>
      <c r="G261" s="4" t="str">
        <f>'FSL Source'!F261</f>
        <v>Xem danh sách Sản phẩm nghiên cứu</v>
      </c>
      <c r="H261" s="4" t="str">
        <f>'FSL Source'!G261</f>
        <v>Tra cứu danh sách, phân trang, sắp xếp và lọc Sản phẩm nghiên cứu theo các tiêu chí nghiệp vụ.</v>
      </c>
      <c r="I261" s="3" t="str">
        <f>'FSL Source'!H261</f>
        <v>Chủ nhiệm/Cán bộ KHCN</v>
      </c>
      <c r="J261" s="3" t="str">
        <f>'FSL Source'!I261</f>
        <v>Nghiệp vụ</v>
      </c>
      <c r="K261" s="3" t="str">
        <f>'FSL Source'!J261</f>
        <v>RD07</v>
      </c>
      <c r="L261" s="3" t="str">
        <f>'FSL Source'!K261</f>
        <v>CAP-04</v>
      </c>
      <c r="M261" s="3" t="str">
        <f>'FSL Source'!L261</f>
        <v>Must</v>
      </c>
      <c r="N261" s="3" t="str">
        <f>'FSL Source'!M261</f>
        <v>Pha 2</v>
      </c>
      <c r="O261" s="3" t="str">
        <f>'FSL Source'!N261</f>
        <v>Đề xuất trong phạm vi</v>
      </c>
      <c r="P261" s="4" t="str">
        <f>'FSL Source'!O261</f>
        <v>Bổ sung theo decomposite-diagram</v>
      </c>
      <c r="Q261" s="4" t="str">
        <f>'FSL Source'!P261</f>
        <v>Danh sách hiển thị đúng phạm vi dữ liệu và hỗ trợ lọc/xuất theo quyền.</v>
      </c>
      <c r="R261" s="4">
        <f>'FSL Source'!Q261</f>
        <v>0</v>
      </c>
      <c r="S261" s="3"/>
      <c r="T261" s="3"/>
      <c r="U261" s="8"/>
      <c r="V261" s="8"/>
      <c r="W261" s="9"/>
      <c r="X261" s="9" t="str">
        <f t="shared" ref="X261:X324" si="4">IF(OR(W261="",V261=""),"",WORKDAY(W261,V261-1))</f>
        <v/>
      </c>
      <c r="Y261" s="3" t="s">
        <v>1860</v>
      </c>
      <c r="Z261" s="10">
        <v>0</v>
      </c>
      <c r="AA261" s="4"/>
    </row>
    <row r="262" spans="1:27" ht="25.5">
      <c r="A262" s="3" t="str">
        <f>B262&amp;"."&amp;TEXT(COUNTIF($B$5:B262,B262),"000")</f>
        <v>1.11.01.002</v>
      </c>
      <c r="B262" s="3" t="str">
        <f>IFERROR(INDEX('Work Packages'!$A$5:$A$200,MATCH(D262&amp;"|"&amp;E262,'Work Packages'!$P$5:$P$200,0)),"")</f>
        <v>1.11.01</v>
      </c>
      <c r="C262" s="3" t="str">
        <f>'FSL Source'!B262</f>
        <v>OUT-PROD-002</v>
      </c>
      <c r="D262" s="3" t="str">
        <f>'FSL Source'!C262</f>
        <v>Sản phẩm Nghiên cứu &amp; SHTT</v>
      </c>
      <c r="E262" s="3" t="str">
        <f>'FSL Source'!D262</f>
        <v>Sản phẩm nghiên cứu</v>
      </c>
      <c r="F262" s="4" t="str">
        <f>'FSL Source'!E262</f>
        <v>Sản phẩm nghiên cứu</v>
      </c>
      <c r="G262" s="4" t="str">
        <f>'FSL Source'!F262</f>
        <v>Tạo mới Sản phẩm nghiên cứu</v>
      </c>
      <c r="H262" s="4" t="str">
        <f>'FSL Source'!G262</f>
        <v>Khởi tạo Sản phẩm nghiên cứu, kiểm tra dữ liệu bắt buộc và lưu nháp trước khi hoàn tất.</v>
      </c>
      <c r="I262" s="3" t="str">
        <f>'FSL Source'!H262</f>
        <v>Chủ nhiệm/Cán bộ KHCN</v>
      </c>
      <c r="J262" s="3" t="str">
        <f>'FSL Source'!I262</f>
        <v>Nghiệp vụ</v>
      </c>
      <c r="K262" s="3" t="str">
        <f>'FSL Source'!J262</f>
        <v>RD07</v>
      </c>
      <c r="L262" s="3" t="str">
        <f>'FSL Source'!K262</f>
        <v>CAP-04</v>
      </c>
      <c r="M262" s="3" t="str">
        <f>'FSL Source'!L262</f>
        <v>Must</v>
      </c>
      <c r="N262" s="3" t="str">
        <f>'FSL Source'!M262</f>
        <v>Pha 2</v>
      </c>
      <c r="O262" s="3" t="str">
        <f>'FSL Source'!N262</f>
        <v>Đề xuất trong phạm vi</v>
      </c>
      <c r="P262" s="4" t="str">
        <f>'FSL Source'!O262</f>
        <v>Bổ sung theo decomposite-diagram</v>
      </c>
      <c r="Q262" s="4" t="str">
        <f>'FSL Source'!P262</f>
        <v>Dữ liệu hợp lệ được lưu; lỗi validation hiển thị tại trường tương ứng.</v>
      </c>
      <c r="R262" s="4">
        <f>'FSL Source'!Q262</f>
        <v>0</v>
      </c>
      <c r="S262" s="3"/>
      <c r="T262" s="3"/>
      <c r="U262" s="8"/>
      <c r="V262" s="8"/>
      <c r="W262" s="9"/>
      <c r="X262" s="9" t="str">
        <f t="shared" si="4"/>
        <v/>
      </c>
      <c r="Y262" s="3" t="s">
        <v>1860</v>
      </c>
      <c r="Z262" s="10">
        <v>0</v>
      </c>
      <c r="AA262" s="4"/>
    </row>
    <row r="263" spans="1:27" ht="25.5">
      <c r="A263" s="3" t="str">
        <f>B263&amp;"."&amp;TEXT(COUNTIF($B$5:B263,B263),"000")</f>
        <v>1.11.01.003</v>
      </c>
      <c r="B263" s="3" t="str">
        <f>IFERROR(INDEX('Work Packages'!$A$5:$A$200,MATCH(D263&amp;"|"&amp;E263,'Work Packages'!$P$5:$P$200,0)),"")</f>
        <v>1.11.01</v>
      </c>
      <c r="C263" s="3" t="str">
        <f>'FSL Source'!B263</f>
        <v>OUT-PROD-003</v>
      </c>
      <c r="D263" s="3" t="str">
        <f>'FSL Source'!C263</f>
        <v>Sản phẩm Nghiên cứu &amp; SHTT</v>
      </c>
      <c r="E263" s="3" t="str">
        <f>'FSL Source'!D263</f>
        <v>Sản phẩm nghiên cứu</v>
      </c>
      <c r="F263" s="4" t="str">
        <f>'FSL Source'!E263</f>
        <v>Sản phẩm nghiên cứu</v>
      </c>
      <c r="G263" s="4" t="str">
        <f>'FSL Source'!F263</f>
        <v>Xem chi tiết Sản phẩm nghiên cứu</v>
      </c>
      <c r="H263" s="4" t="str">
        <f>'FSL Source'!G263</f>
        <v>Hiển thị thông tin tổng quan, dữ liệu chi tiết, tài liệu liên quan và trạng thái của Sản phẩm nghiên cứu.</v>
      </c>
      <c r="I263" s="3" t="str">
        <f>'FSL Source'!H263</f>
        <v>Chủ nhiệm/Cán bộ KHCN</v>
      </c>
      <c r="J263" s="3" t="str">
        <f>'FSL Source'!I263</f>
        <v>Nghiệp vụ</v>
      </c>
      <c r="K263" s="3" t="str">
        <f>'FSL Source'!J263</f>
        <v>RD07</v>
      </c>
      <c r="L263" s="3" t="str">
        <f>'FSL Source'!K263</f>
        <v>CAP-04</v>
      </c>
      <c r="M263" s="3" t="str">
        <f>'FSL Source'!L263</f>
        <v>Must</v>
      </c>
      <c r="N263" s="3" t="str">
        <f>'FSL Source'!M263</f>
        <v>Pha 2</v>
      </c>
      <c r="O263" s="3" t="str">
        <f>'FSL Source'!N263</f>
        <v>Đề xuất trong phạm vi</v>
      </c>
      <c r="P263" s="4" t="str">
        <f>'FSL Source'!O263</f>
        <v>Bổ sung theo decomposite-diagram</v>
      </c>
      <c r="Q263" s="4" t="str">
        <f>'FSL Source'!P263</f>
        <v>Thông tin hiển thị đúng phiên bản và quyền truy cập.</v>
      </c>
      <c r="R263" s="4">
        <f>'FSL Source'!Q263</f>
        <v>0</v>
      </c>
      <c r="S263" s="3"/>
      <c r="T263" s="3"/>
      <c r="U263" s="8"/>
      <c r="V263" s="8"/>
      <c r="W263" s="9"/>
      <c r="X263" s="9" t="str">
        <f t="shared" si="4"/>
        <v/>
      </c>
      <c r="Y263" s="3" t="s">
        <v>1860</v>
      </c>
      <c r="Z263" s="10">
        <v>0</v>
      </c>
      <c r="AA263" s="4"/>
    </row>
    <row r="264" spans="1:27" ht="38.25">
      <c r="A264" s="3" t="str">
        <f>B264&amp;"."&amp;TEXT(COUNTIF($B$5:B264,B264),"000")</f>
        <v>1.11.01.004</v>
      </c>
      <c r="B264" s="3" t="str">
        <f>IFERROR(INDEX('Work Packages'!$A$5:$A$200,MATCH(D264&amp;"|"&amp;E264,'Work Packages'!$P$5:$P$200,0)),"")</f>
        <v>1.11.01</v>
      </c>
      <c r="C264" s="3" t="str">
        <f>'FSL Source'!B264</f>
        <v>OUT-PROD-004</v>
      </c>
      <c r="D264" s="3" t="str">
        <f>'FSL Source'!C264</f>
        <v>Sản phẩm Nghiên cứu &amp; SHTT</v>
      </c>
      <c r="E264" s="3" t="str">
        <f>'FSL Source'!D264</f>
        <v>Sản phẩm nghiên cứu</v>
      </c>
      <c r="F264" s="4" t="str">
        <f>'FSL Source'!E264</f>
        <v>Sản phẩm nghiên cứu</v>
      </c>
      <c r="G264" s="4" t="str">
        <f>'FSL Source'!F264</f>
        <v>Chỉnh sửa Sản phẩm nghiên cứu</v>
      </c>
      <c r="H264" s="4" t="str">
        <f>'FSL Source'!G264</f>
        <v>Cập nhật Sản phẩm nghiên cứu khi trạng thái và quyền người dùng cho phép; kiểm soát xung đột cập nhật.</v>
      </c>
      <c r="I264" s="3" t="str">
        <f>'FSL Source'!H264</f>
        <v>Chủ nhiệm/Cán bộ KHCN</v>
      </c>
      <c r="J264" s="3" t="str">
        <f>'FSL Source'!I264</f>
        <v>Nghiệp vụ</v>
      </c>
      <c r="K264" s="3" t="str">
        <f>'FSL Source'!J264</f>
        <v>RD07</v>
      </c>
      <c r="L264" s="3" t="str">
        <f>'FSL Source'!K264</f>
        <v>CAP-04</v>
      </c>
      <c r="M264" s="3" t="str">
        <f>'FSL Source'!L264</f>
        <v>Must</v>
      </c>
      <c r="N264" s="3" t="str">
        <f>'FSL Source'!M264</f>
        <v>Pha 2</v>
      </c>
      <c r="O264" s="3" t="str">
        <f>'FSL Source'!N264</f>
        <v>Đề xuất trong phạm vi</v>
      </c>
      <c r="P264" s="4" t="str">
        <f>'FSL Source'!O264</f>
        <v>Bổ sung theo decomposite-diagram</v>
      </c>
      <c r="Q264" s="4" t="str">
        <f>'FSL Source'!P264</f>
        <v>Chỉ trường được phép sửa có hiệu lực và thay đổi được ghi lịch sử.</v>
      </c>
      <c r="R264" s="4">
        <f>'FSL Source'!Q264</f>
        <v>0</v>
      </c>
      <c r="S264" s="3"/>
      <c r="T264" s="3"/>
      <c r="U264" s="8"/>
      <c r="V264" s="8"/>
      <c r="W264" s="9"/>
      <c r="X264" s="9" t="str">
        <f t="shared" si="4"/>
        <v/>
      </c>
      <c r="Y264" s="3" t="s">
        <v>1860</v>
      </c>
      <c r="Z264" s="10">
        <v>0</v>
      </c>
      <c r="AA264" s="4"/>
    </row>
    <row r="265" spans="1:27" ht="25.5">
      <c r="A265" s="3" t="str">
        <f>B265&amp;"."&amp;TEXT(COUNTIF($B$5:B265,B265),"000")</f>
        <v>1.11.01.005</v>
      </c>
      <c r="B265" s="3" t="str">
        <f>IFERROR(INDEX('Work Packages'!$A$5:$A$200,MATCH(D265&amp;"|"&amp;E265,'Work Packages'!$P$5:$P$200,0)),"")</f>
        <v>1.11.01</v>
      </c>
      <c r="C265" s="3" t="str">
        <f>'FSL Source'!B265</f>
        <v>OUT-PROD-005</v>
      </c>
      <c r="D265" s="3" t="str">
        <f>'FSL Source'!C265</f>
        <v>Sản phẩm Nghiên cứu &amp; SHTT</v>
      </c>
      <c r="E265" s="3" t="str">
        <f>'FSL Source'!D265</f>
        <v>Sản phẩm nghiên cứu</v>
      </c>
      <c r="F265" s="4" t="str">
        <f>'FSL Source'!E265</f>
        <v>Sản phẩm nghiên cứu</v>
      </c>
      <c r="G265" s="4" t="str">
        <f>'FSL Source'!F265</f>
        <v>Xóa/Ngừng sử dụng Sản phẩm nghiên cứu</v>
      </c>
      <c r="H265" s="4" t="str">
        <f>'FSL Source'!G265</f>
        <v>Xóa logic hoặc ngừng sử dụng Sản phẩm nghiên cứu sau khi kiểm tra ràng buộc tham chiếu.</v>
      </c>
      <c r="I265" s="3" t="str">
        <f>'FSL Source'!H265</f>
        <v>Quản trị/Cán bộ nghiệp vụ</v>
      </c>
      <c r="J265" s="3" t="str">
        <f>'FSL Source'!I265</f>
        <v>Nghiệp vụ</v>
      </c>
      <c r="K265" s="3" t="str">
        <f>'FSL Source'!J265</f>
        <v>RD07</v>
      </c>
      <c r="L265" s="3" t="str">
        <f>'FSL Source'!K265</f>
        <v>CAP-04</v>
      </c>
      <c r="M265" s="3" t="str">
        <f>'FSL Source'!L265</f>
        <v>Should</v>
      </c>
      <c r="N265" s="3" t="str">
        <f>'FSL Source'!M265</f>
        <v>Pha 2</v>
      </c>
      <c r="O265" s="3" t="str">
        <f>'FSL Source'!N265</f>
        <v>Đề xuất trong phạm vi</v>
      </c>
      <c r="P265" s="4" t="str">
        <f>'FSL Source'!O265</f>
        <v>Bổ sung theo decomposite-diagram</v>
      </c>
      <c r="Q265" s="4" t="str">
        <f>'FSL Source'!P265</f>
        <v>Không xóa vật lý dữ liệu đã phát sinh giao dịch; cảnh báo rõ quan hệ phụ thuộc.</v>
      </c>
      <c r="R265" s="4">
        <f>'FSL Source'!Q265</f>
        <v>0</v>
      </c>
      <c r="S265" s="3"/>
      <c r="T265" s="3"/>
      <c r="U265" s="8"/>
      <c r="V265" s="8"/>
      <c r="W265" s="9"/>
      <c r="X265" s="9" t="str">
        <f t="shared" si="4"/>
        <v/>
      </c>
      <c r="Y265" s="3" t="s">
        <v>1860</v>
      </c>
      <c r="Z265" s="10">
        <v>0</v>
      </c>
      <c r="AA265" s="4"/>
    </row>
    <row r="266" spans="1:27" ht="25.5">
      <c r="A266" s="3" t="str">
        <f>B266&amp;"."&amp;TEXT(COUNTIF($B$5:B266,B266),"000")</f>
        <v>1.11.01.006</v>
      </c>
      <c r="B266" s="3" t="str">
        <f>IFERROR(INDEX('Work Packages'!$A$5:$A$200,MATCH(D266&amp;"|"&amp;E266,'Work Packages'!$P$5:$P$200,0)),"")</f>
        <v>1.11.01</v>
      </c>
      <c r="C266" s="3" t="str">
        <f>'FSL Source'!B266</f>
        <v>OUT-PROD-006</v>
      </c>
      <c r="D266" s="3" t="str">
        <f>'FSL Source'!C266</f>
        <v>Sản phẩm Nghiên cứu &amp; SHTT</v>
      </c>
      <c r="E266" s="3" t="str">
        <f>'FSL Source'!D266</f>
        <v>Sản phẩm nghiên cứu</v>
      </c>
      <c r="F266" s="4" t="str">
        <f>'FSL Source'!E266</f>
        <v>Sản phẩm nghiên cứu</v>
      </c>
      <c r="G266" s="4" t="str">
        <f>'FSL Source'!F266</f>
        <v>Xem lịch sử Sản phẩm nghiên cứu</v>
      </c>
      <c r="H266" s="4" t="str">
        <f>'FSL Source'!G266</f>
        <v>Theo dõi phiên bản, thay đổi dữ liệu, người thực hiện và lịch sử xử lý của Sản phẩm nghiên cứu.</v>
      </c>
      <c r="I266" s="3" t="str">
        <f>'FSL Source'!H266</f>
        <v>Cán bộ nghiệp vụ/Quản trị</v>
      </c>
      <c r="J266" s="3" t="str">
        <f>'FSL Source'!I266</f>
        <v>Audit</v>
      </c>
      <c r="K266" s="3" t="str">
        <f>'FSL Source'!J266</f>
        <v>RD07</v>
      </c>
      <c r="L266" s="3" t="str">
        <f>'FSL Source'!K266</f>
        <v>CAP-04</v>
      </c>
      <c r="M266" s="3" t="str">
        <f>'FSL Source'!L266</f>
        <v>Must</v>
      </c>
      <c r="N266" s="3" t="str">
        <f>'FSL Source'!M266</f>
        <v>Pha 2</v>
      </c>
      <c r="O266" s="3" t="str">
        <f>'FSL Source'!N266</f>
        <v>Đề xuất trong phạm vi</v>
      </c>
      <c r="P266" s="4" t="str">
        <f>'FSL Source'!O266</f>
        <v>Bổ sung theo decomposite-diagram</v>
      </c>
      <c r="Q266" s="4" t="str">
        <f>'FSL Source'!P266</f>
        <v>Lịch sử không thể sửa và truy vết được trước/sau của thay đổi quan trọng.</v>
      </c>
      <c r="R266" s="4">
        <f>'FSL Source'!Q266</f>
        <v>0</v>
      </c>
      <c r="S266" s="3"/>
      <c r="T266" s="3"/>
      <c r="U266" s="8"/>
      <c r="V266" s="8"/>
      <c r="W266" s="9"/>
      <c r="X266" s="9" t="str">
        <f t="shared" si="4"/>
        <v/>
      </c>
      <c r="Y266" s="3" t="s">
        <v>1860</v>
      </c>
      <c r="Z266" s="10">
        <v>0</v>
      </c>
      <c r="AA266" s="4"/>
    </row>
    <row r="267" spans="1:27" ht="25.5">
      <c r="A267" s="3" t="str">
        <f>B267&amp;"."&amp;TEXT(COUNTIF($B$5:B267,B267),"000")</f>
        <v>1.11.01.007</v>
      </c>
      <c r="B267" s="3" t="str">
        <f>IFERROR(INDEX('Work Packages'!$A$5:$A$200,MATCH(D267&amp;"|"&amp;E267,'Work Packages'!$P$5:$P$200,0)),"")</f>
        <v>1.11.01</v>
      </c>
      <c r="C267" s="3" t="str">
        <f>'FSL Source'!B267</f>
        <v>OUT-PROD-007</v>
      </c>
      <c r="D267" s="3" t="str">
        <f>'FSL Source'!C267</f>
        <v>Sản phẩm Nghiên cứu &amp; SHTT</v>
      </c>
      <c r="E267" s="3" t="str">
        <f>'FSL Source'!D267</f>
        <v>Sản phẩm nghiên cứu</v>
      </c>
      <c r="F267" s="4" t="str">
        <f>'FSL Source'!E267</f>
        <v>Đối chiếu</v>
      </c>
      <c r="G267" s="4" t="str">
        <f>'FSL Source'!F267</f>
        <v>Đối chiếu sản phẩm cam kết và thực tế</v>
      </c>
      <c r="H267" s="4" t="str">
        <f>'FSL Source'!G267</f>
        <v>Theo dõi chỉ tiêu, số lượng, chất lượng, trạng thái nghiệm thu, bàn giao và ứng dụng.</v>
      </c>
      <c r="I267" s="3" t="str">
        <f>'FSL Source'!H267</f>
        <v>Chủ nhiệm/Cán bộ KHCN</v>
      </c>
      <c r="J267" s="3" t="str">
        <f>'FSL Source'!I267</f>
        <v>Nghiệp vụ</v>
      </c>
      <c r="K267" s="3" t="str">
        <f>'FSL Source'!J267</f>
        <v>RD07</v>
      </c>
      <c r="L267" s="3" t="str">
        <f>'FSL Source'!K267</f>
        <v>CAP-04</v>
      </c>
      <c r="M267" s="3" t="str">
        <f>'FSL Source'!L267</f>
        <v>Must</v>
      </c>
      <c r="N267" s="3" t="str">
        <f>'FSL Source'!M267</f>
        <v>Pha 2</v>
      </c>
      <c r="O267" s="3" t="str">
        <f>'FSL Source'!N267</f>
        <v>Đề xuất trong phạm vi</v>
      </c>
      <c r="P267" s="4" t="str">
        <f>'FSL Source'!O267</f>
        <v>Bổ sung</v>
      </c>
      <c r="Q267" s="4">
        <f>'FSL Source'!P267</f>
        <v>0</v>
      </c>
      <c r="R267" s="4">
        <f>'FSL Source'!Q267</f>
        <v>0</v>
      </c>
      <c r="S267" s="3"/>
      <c r="T267" s="3"/>
      <c r="U267" s="8"/>
      <c r="V267" s="8"/>
      <c r="W267" s="9"/>
      <c r="X267" s="9" t="str">
        <f t="shared" si="4"/>
        <v/>
      </c>
      <c r="Y267" s="3" t="s">
        <v>1860</v>
      </c>
      <c r="Z267" s="10">
        <v>0</v>
      </c>
      <c r="AA267" s="4"/>
    </row>
    <row r="268" spans="1:27" ht="25.5">
      <c r="A268" s="3" t="str">
        <f>B268&amp;"."&amp;TEXT(COUNTIF($B$5:B268,B268),"000")</f>
        <v>1.11.02.001</v>
      </c>
      <c r="B268" s="3" t="str">
        <f>IFERROR(INDEX('Work Packages'!$A$5:$A$200,MATCH(D268&amp;"|"&amp;E268,'Work Packages'!$P$5:$P$200,0)),"")</f>
        <v>1.11.02</v>
      </c>
      <c r="C268" s="3" t="str">
        <f>'FSL Source'!B268</f>
        <v>OUT-IP-001</v>
      </c>
      <c r="D268" s="3" t="str">
        <f>'FSL Source'!C268</f>
        <v>Sản phẩm Nghiên cứu &amp; SHTT</v>
      </c>
      <c r="E268" s="3" t="str">
        <f>'FSL Source'!D268</f>
        <v>Sở hữu trí tuệ</v>
      </c>
      <c r="F268" s="4" t="str">
        <f>'FSL Source'!E268</f>
        <v>Hồ sơ sở hữu trí tuệ</v>
      </c>
      <c r="G268" s="4" t="str">
        <f>'FSL Source'!F268</f>
        <v>Xem danh sách Hồ sơ sở hữu trí tuệ</v>
      </c>
      <c r="H268" s="4" t="str">
        <f>'FSL Source'!G268</f>
        <v>Tra cứu danh sách, phân trang, sắp xếp và lọc Hồ sơ sở hữu trí tuệ theo các tiêu chí nghiệp vụ.</v>
      </c>
      <c r="I268" s="3" t="str">
        <f>'FSL Source'!H268</f>
        <v>Chủ nhiệm/Cán bộ SHTT</v>
      </c>
      <c r="J268" s="3" t="str">
        <f>'FSL Source'!I268</f>
        <v>Nghiệp vụ</v>
      </c>
      <c r="K268" s="3" t="str">
        <f>'FSL Source'!J268</f>
        <v>RD08</v>
      </c>
      <c r="L268" s="3" t="str">
        <f>'FSL Source'!K268</f>
        <v>CAP-04</v>
      </c>
      <c r="M268" s="3" t="str">
        <f>'FSL Source'!L268</f>
        <v>Must</v>
      </c>
      <c r="N268" s="3" t="str">
        <f>'FSL Source'!M268</f>
        <v>Pha 1</v>
      </c>
      <c r="O268" s="3" t="str">
        <f>'FSL Source'!N268</f>
        <v>Đề xuất trong phạm vi</v>
      </c>
      <c r="P268" s="4" t="str">
        <f>'FSL Source'!O268</f>
        <v>Hiệu chỉnh theo BRD 0.9</v>
      </c>
      <c r="Q268" s="4" t="str">
        <f>'FSL Source'!P268</f>
        <v>Danh sách hiển thị đúng phạm vi dữ liệu và hỗ trợ lọc/xuất theo quyền.</v>
      </c>
      <c r="R268" s="4">
        <f>'FSL Source'!Q268</f>
        <v>0</v>
      </c>
      <c r="S268" s="3"/>
      <c r="T268" s="3"/>
      <c r="U268" s="8"/>
      <c r="V268" s="8"/>
      <c r="W268" s="9"/>
      <c r="X268" s="9" t="str">
        <f t="shared" si="4"/>
        <v/>
      </c>
      <c r="Y268" s="3" t="s">
        <v>1860</v>
      </c>
      <c r="Z268" s="10">
        <v>0</v>
      </c>
      <c r="AA268" s="4"/>
    </row>
    <row r="269" spans="1:27" ht="25.5">
      <c r="A269" s="3" t="str">
        <f>B269&amp;"."&amp;TEXT(COUNTIF($B$5:B269,B269),"000")</f>
        <v>1.11.02.002</v>
      </c>
      <c r="B269" s="3" t="str">
        <f>IFERROR(INDEX('Work Packages'!$A$5:$A$200,MATCH(D269&amp;"|"&amp;E269,'Work Packages'!$P$5:$P$200,0)),"")</f>
        <v>1.11.02</v>
      </c>
      <c r="C269" s="3" t="str">
        <f>'FSL Source'!B269</f>
        <v>OUT-IP-002</v>
      </c>
      <c r="D269" s="3" t="str">
        <f>'FSL Source'!C269</f>
        <v>Sản phẩm Nghiên cứu &amp; SHTT</v>
      </c>
      <c r="E269" s="3" t="str">
        <f>'FSL Source'!D269</f>
        <v>Sở hữu trí tuệ</v>
      </c>
      <c r="F269" s="4" t="str">
        <f>'FSL Source'!E269</f>
        <v>Hồ sơ sở hữu trí tuệ</v>
      </c>
      <c r="G269" s="4" t="str">
        <f>'FSL Source'!F269</f>
        <v>Tạo mới Hồ sơ sở hữu trí tuệ</v>
      </c>
      <c r="H269" s="4" t="str">
        <f>'FSL Source'!G269</f>
        <v>Khởi tạo Hồ sơ sở hữu trí tuệ, kiểm tra dữ liệu bắt buộc và lưu nháp trước khi hoàn tất.</v>
      </c>
      <c r="I269" s="3" t="str">
        <f>'FSL Source'!H269</f>
        <v>Chủ nhiệm/Cán bộ SHTT</v>
      </c>
      <c r="J269" s="3" t="str">
        <f>'FSL Source'!I269</f>
        <v>Nghiệp vụ</v>
      </c>
      <c r="K269" s="3" t="str">
        <f>'FSL Source'!J269</f>
        <v>RD08</v>
      </c>
      <c r="L269" s="3" t="str">
        <f>'FSL Source'!K269</f>
        <v>CAP-04</v>
      </c>
      <c r="M269" s="3" t="str">
        <f>'FSL Source'!L269</f>
        <v>Must</v>
      </c>
      <c r="N269" s="3" t="str">
        <f>'FSL Source'!M269</f>
        <v>Pha 1</v>
      </c>
      <c r="O269" s="3" t="str">
        <f>'FSL Source'!N269</f>
        <v>Đề xuất trong phạm vi</v>
      </c>
      <c r="P269" s="4" t="str">
        <f>'FSL Source'!O269</f>
        <v>Hiệu chỉnh theo BRD 0.9</v>
      </c>
      <c r="Q269" s="4" t="str">
        <f>'FSL Source'!P269</f>
        <v>Dữ liệu hợp lệ được lưu; lỗi validation hiển thị tại trường tương ứng.</v>
      </c>
      <c r="R269" s="4">
        <f>'FSL Source'!Q269</f>
        <v>0</v>
      </c>
      <c r="S269" s="3"/>
      <c r="T269" s="3"/>
      <c r="U269" s="8"/>
      <c r="V269" s="8"/>
      <c r="W269" s="9"/>
      <c r="X269" s="9" t="str">
        <f t="shared" si="4"/>
        <v/>
      </c>
      <c r="Y269" s="3" t="s">
        <v>1860</v>
      </c>
      <c r="Z269" s="10">
        <v>0</v>
      </c>
      <c r="AA269" s="4"/>
    </row>
    <row r="270" spans="1:27" ht="25.5">
      <c r="A270" s="3" t="str">
        <f>B270&amp;"."&amp;TEXT(COUNTIF($B$5:B270,B270),"000")</f>
        <v>1.11.02.003</v>
      </c>
      <c r="B270" s="3" t="str">
        <f>IFERROR(INDEX('Work Packages'!$A$5:$A$200,MATCH(D270&amp;"|"&amp;E270,'Work Packages'!$P$5:$P$200,0)),"")</f>
        <v>1.11.02</v>
      </c>
      <c r="C270" s="3" t="str">
        <f>'FSL Source'!B270</f>
        <v>OUT-IP-003</v>
      </c>
      <c r="D270" s="3" t="str">
        <f>'FSL Source'!C270</f>
        <v>Sản phẩm Nghiên cứu &amp; SHTT</v>
      </c>
      <c r="E270" s="3" t="str">
        <f>'FSL Source'!D270</f>
        <v>Sở hữu trí tuệ</v>
      </c>
      <c r="F270" s="4" t="str">
        <f>'FSL Source'!E270</f>
        <v>Hồ sơ sở hữu trí tuệ</v>
      </c>
      <c r="G270" s="4" t="str">
        <f>'FSL Source'!F270</f>
        <v>Xem chi tiết Hồ sơ sở hữu trí tuệ</v>
      </c>
      <c r="H270" s="4" t="str">
        <f>'FSL Source'!G270</f>
        <v>Hiển thị thông tin tổng quan, dữ liệu chi tiết, tài liệu liên quan và trạng thái của Hồ sơ sở hữu trí tuệ.</v>
      </c>
      <c r="I270" s="3" t="str">
        <f>'FSL Source'!H270</f>
        <v>Chủ nhiệm/Cán bộ SHTT</v>
      </c>
      <c r="J270" s="3" t="str">
        <f>'FSL Source'!I270</f>
        <v>Nghiệp vụ</v>
      </c>
      <c r="K270" s="3" t="str">
        <f>'FSL Source'!J270</f>
        <v>RD08</v>
      </c>
      <c r="L270" s="3" t="str">
        <f>'FSL Source'!K270</f>
        <v>CAP-04</v>
      </c>
      <c r="M270" s="3" t="str">
        <f>'FSL Source'!L270</f>
        <v>Must</v>
      </c>
      <c r="N270" s="3" t="str">
        <f>'FSL Source'!M270</f>
        <v>Pha 1</v>
      </c>
      <c r="O270" s="3" t="str">
        <f>'FSL Source'!N270</f>
        <v>Đề xuất trong phạm vi</v>
      </c>
      <c r="P270" s="4" t="str">
        <f>'FSL Source'!O270</f>
        <v>Hiệu chỉnh theo BRD 0.9</v>
      </c>
      <c r="Q270" s="4" t="str">
        <f>'FSL Source'!P270</f>
        <v>Thông tin hiển thị đúng phiên bản và quyền truy cập.</v>
      </c>
      <c r="R270" s="4">
        <f>'FSL Source'!Q270</f>
        <v>0</v>
      </c>
      <c r="S270" s="3"/>
      <c r="T270" s="3"/>
      <c r="U270" s="8"/>
      <c r="V270" s="8"/>
      <c r="W270" s="9"/>
      <c r="X270" s="9" t="str">
        <f t="shared" si="4"/>
        <v/>
      </c>
      <c r="Y270" s="3" t="s">
        <v>1860</v>
      </c>
      <c r="Z270" s="10">
        <v>0</v>
      </c>
      <c r="AA270" s="4"/>
    </row>
    <row r="271" spans="1:27" ht="38.25">
      <c r="A271" s="3" t="str">
        <f>B271&amp;"."&amp;TEXT(COUNTIF($B$5:B271,B271),"000")</f>
        <v>1.11.02.004</v>
      </c>
      <c r="B271" s="3" t="str">
        <f>IFERROR(INDEX('Work Packages'!$A$5:$A$200,MATCH(D271&amp;"|"&amp;E271,'Work Packages'!$P$5:$P$200,0)),"")</f>
        <v>1.11.02</v>
      </c>
      <c r="C271" s="3" t="str">
        <f>'FSL Source'!B271</f>
        <v>OUT-IP-004</v>
      </c>
      <c r="D271" s="3" t="str">
        <f>'FSL Source'!C271</f>
        <v>Sản phẩm Nghiên cứu &amp; SHTT</v>
      </c>
      <c r="E271" s="3" t="str">
        <f>'FSL Source'!D271</f>
        <v>Sở hữu trí tuệ</v>
      </c>
      <c r="F271" s="4" t="str">
        <f>'FSL Source'!E271</f>
        <v>Hồ sơ sở hữu trí tuệ</v>
      </c>
      <c r="G271" s="4" t="str">
        <f>'FSL Source'!F271</f>
        <v>Chỉnh sửa Hồ sơ sở hữu trí tuệ</v>
      </c>
      <c r="H271" s="4" t="str">
        <f>'FSL Source'!G271</f>
        <v>Cập nhật Hồ sơ sở hữu trí tuệ khi trạng thái và quyền người dùng cho phép; kiểm soát xung đột cập nhật.</v>
      </c>
      <c r="I271" s="3" t="str">
        <f>'FSL Source'!H271</f>
        <v>Chủ nhiệm/Cán bộ SHTT</v>
      </c>
      <c r="J271" s="3" t="str">
        <f>'FSL Source'!I271</f>
        <v>Nghiệp vụ</v>
      </c>
      <c r="K271" s="3" t="str">
        <f>'FSL Source'!J271</f>
        <v>RD08</v>
      </c>
      <c r="L271" s="3" t="str">
        <f>'FSL Source'!K271</f>
        <v>CAP-04</v>
      </c>
      <c r="M271" s="3" t="str">
        <f>'FSL Source'!L271</f>
        <v>Must</v>
      </c>
      <c r="N271" s="3" t="str">
        <f>'FSL Source'!M271</f>
        <v>Pha 1</v>
      </c>
      <c r="O271" s="3" t="str">
        <f>'FSL Source'!N271</f>
        <v>Đề xuất trong phạm vi</v>
      </c>
      <c r="P271" s="4" t="str">
        <f>'FSL Source'!O271</f>
        <v>Hiệu chỉnh theo BRD 0.9</v>
      </c>
      <c r="Q271" s="4" t="str">
        <f>'FSL Source'!P271</f>
        <v>Chỉ trường được phép sửa có hiệu lực và thay đổi được ghi lịch sử.</v>
      </c>
      <c r="R271" s="4">
        <f>'FSL Source'!Q271</f>
        <v>0</v>
      </c>
      <c r="S271" s="3"/>
      <c r="T271" s="3"/>
      <c r="U271" s="8"/>
      <c r="V271" s="8"/>
      <c r="W271" s="9"/>
      <c r="X271" s="9" t="str">
        <f t="shared" si="4"/>
        <v/>
      </c>
      <c r="Y271" s="3" t="s">
        <v>1860</v>
      </c>
      <c r="Z271" s="10">
        <v>0</v>
      </c>
      <c r="AA271" s="4"/>
    </row>
    <row r="272" spans="1:27" ht="25.5">
      <c r="A272" s="3" t="str">
        <f>B272&amp;"."&amp;TEXT(COUNTIF($B$5:B272,B272),"000")</f>
        <v>1.11.02.005</v>
      </c>
      <c r="B272" s="3" t="str">
        <f>IFERROR(INDEX('Work Packages'!$A$5:$A$200,MATCH(D272&amp;"|"&amp;E272,'Work Packages'!$P$5:$P$200,0)),"")</f>
        <v>1.11.02</v>
      </c>
      <c r="C272" s="3" t="str">
        <f>'FSL Source'!B272</f>
        <v>OUT-IP-005</v>
      </c>
      <c r="D272" s="3" t="str">
        <f>'FSL Source'!C272</f>
        <v>Sản phẩm Nghiên cứu &amp; SHTT</v>
      </c>
      <c r="E272" s="3" t="str">
        <f>'FSL Source'!D272</f>
        <v>Sở hữu trí tuệ</v>
      </c>
      <c r="F272" s="4" t="str">
        <f>'FSL Source'!E272</f>
        <v>Hồ sơ sở hữu trí tuệ</v>
      </c>
      <c r="G272" s="4" t="str">
        <f>'FSL Source'!F272</f>
        <v>Xóa/Ngừng sử dụng Hồ sơ sở hữu trí tuệ</v>
      </c>
      <c r="H272" s="4" t="str">
        <f>'FSL Source'!G272</f>
        <v>Xóa logic hoặc ngừng sử dụng Hồ sơ sở hữu trí tuệ sau khi kiểm tra ràng buộc tham chiếu.</v>
      </c>
      <c r="I272" s="3" t="str">
        <f>'FSL Source'!H272</f>
        <v>Quản trị/Cán bộ nghiệp vụ</v>
      </c>
      <c r="J272" s="3" t="str">
        <f>'FSL Source'!I272</f>
        <v>Nghiệp vụ</v>
      </c>
      <c r="K272" s="3" t="str">
        <f>'FSL Source'!J272</f>
        <v>RD08</v>
      </c>
      <c r="L272" s="3" t="str">
        <f>'FSL Source'!K272</f>
        <v>CAP-04</v>
      </c>
      <c r="M272" s="3" t="str">
        <f>'FSL Source'!L272</f>
        <v>Should</v>
      </c>
      <c r="N272" s="3" t="str">
        <f>'FSL Source'!M272</f>
        <v>Pha 1</v>
      </c>
      <c r="O272" s="3" t="str">
        <f>'FSL Source'!N272</f>
        <v>Đề xuất trong phạm vi</v>
      </c>
      <c r="P272" s="4" t="str">
        <f>'FSL Source'!O272</f>
        <v>Hiệu chỉnh theo BRD 0.9</v>
      </c>
      <c r="Q272" s="4" t="str">
        <f>'FSL Source'!P272</f>
        <v>Không xóa vật lý dữ liệu đã phát sinh giao dịch; cảnh báo rõ quan hệ phụ thuộc.</v>
      </c>
      <c r="R272" s="4">
        <f>'FSL Source'!Q272</f>
        <v>0</v>
      </c>
      <c r="S272" s="3"/>
      <c r="T272" s="3"/>
      <c r="U272" s="8"/>
      <c r="V272" s="8"/>
      <c r="W272" s="9"/>
      <c r="X272" s="9" t="str">
        <f t="shared" si="4"/>
        <v/>
      </c>
      <c r="Y272" s="3" t="s">
        <v>1860</v>
      </c>
      <c r="Z272" s="10">
        <v>0</v>
      </c>
      <c r="AA272" s="4"/>
    </row>
    <row r="273" spans="1:27" ht="38.25">
      <c r="A273" s="3" t="str">
        <f>B273&amp;"."&amp;TEXT(COUNTIF($B$5:B273,B273),"000")</f>
        <v>1.11.02.006</v>
      </c>
      <c r="B273" s="3" t="str">
        <f>IFERROR(INDEX('Work Packages'!$A$5:$A$200,MATCH(D273&amp;"|"&amp;E273,'Work Packages'!$P$5:$P$200,0)),"")</f>
        <v>1.11.02</v>
      </c>
      <c r="C273" s="3" t="str">
        <f>'FSL Source'!B273</f>
        <v>OUT-IP-006</v>
      </c>
      <c r="D273" s="3" t="str">
        <f>'FSL Source'!C273</f>
        <v>Sản phẩm Nghiên cứu &amp; SHTT</v>
      </c>
      <c r="E273" s="3" t="str">
        <f>'FSL Source'!D273</f>
        <v>Sở hữu trí tuệ</v>
      </c>
      <c r="F273" s="4" t="str">
        <f>'FSL Source'!E273</f>
        <v>Hồ sơ sở hữu trí tuệ</v>
      </c>
      <c r="G273" s="4" t="str">
        <f>'FSL Source'!F273</f>
        <v>Trình duyệt Hồ sơ sở hữu trí tuệ</v>
      </c>
      <c r="H273" s="4" t="str">
        <f>'FSL Source'!G273</f>
        <v>Kiểm tra điều kiện, khóa phiên bản trình và khởi tạo/tiếp tục quy trình phê duyệt Hồ sơ sở hữu trí tuệ.</v>
      </c>
      <c r="I273" s="3" t="str">
        <f>'FSL Source'!H273</f>
        <v>Người lập/Chủ nhiệm nhiệm vụ</v>
      </c>
      <c r="J273" s="3" t="str">
        <f>'FSL Source'!I273</f>
        <v>Workflow</v>
      </c>
      <c r="K273" s="3" t="str">
        <f>'FSL Source'!J273</f>
        <v>RD08</v>
      </c>
      <c r="L273" s="3" t="str">
        <f>'FSL Source'!K273</f>
        <v>CAP-04</v>
      </c>
      <c r="M273" s="3" t="str">
        <f>'FSL Source'!L273</f>
        <v>Must</v>
      </c>
      <c r="N273" s="3" t="str">
        <f>'FSL Source'!M273</f>
        <v>Pha 1</v>
      </c>
      <c r="O273" s="3" t="str">
        <f>'FSL Source'!N273</f>
        <v>Đề xuất trong phạm vi</v>
      </c>
      <c r="P273" s="4" t="str">
        <f>'FSL Source'!O273</f>
        <v>Hiệu chỉnh theo BRD 0.9</v>
      </c>
      <c r="Q273" s="4" t="str">
        <f>'FSL Source'!P273</f>
        <v>Tạo đúng process instance, business key và task đầu tiên; không submit trùng.</v>
      </c>
      <c r="R273" s="4">
        <f>'FSL Source'!Q273</f>
        <v>0</v>
      </c>
      <c r="S273" s="3"/>
      <c r="T273" s="3"/>
      <c r="U273" s="8"/>
      <c r="V273" s="8"/>
      <c r="W273" s="9"/>
      <c r="X273" s="9" t="str">
        <f t="shared" si="4"/>
        <v/>
      </c>
      <c r="Y273" s="3" t="s">
        <v>1860</v>
      </c>
      <c r="Z273" s="10">
        <v>0</v>
      </c>
      <c r="AA273" s="4"/>
    </row>
    <row r="274" spans="1:27" ht="25.5">
      <c r="A274" s="3" t="str">
        <f>B274&amp;"."&amp;TEXT(COUNTIF($B$5:B274,B274),"000")</f>
        <v>1.11.02.007</v>
      </c>
      <c r="B274" s="3" t="str">
        <f>IFERROR(INDEX('Work Packages'!$A$5:$A$200,MATCH(D274&amp;"|"&amp;E274,'Work Packages'!$P$5:$P$200,0)),"")</f>
        <v>1.11.02</v>
      </c>
      <c r="C274" s="3" t="str">
        <f>'FSL Source'!B274</f>
        <v>OUT-IP-007</v>
      </c>
      <c r="D274" s="3" t="str">
        <f>'FSL Source'!C274</f>
        <v>Sản phẩm Nghiên cứu &amp; SHTT</v>
      </c>
      <c r="E274" s="3" t="str">
        <f>'FSL Source'!D274</f>
        <v>Sở hữu trí tuệ</v>
      </c>
      <c r="F274" s="4" t="str">
        <f>'FSL Source'!E274</f>
        <v>Hồ sơ sở hữu trí tuệ</v>
      </c>
      <c r="G274" s="4" t="str">
        <f>'FSL Source'!F274</f>
        <v>Xem lịch sử Hồ sơ sở hữu trí tuệ</v>
      </c>
      <c r="H274" s="4" t="str">
        <f>'FSL Source'!G274</f>
        <v>Theo dõi phiên bản, thay đổi dữ liệu, người thực hiện và lịch sử xử lý của Hồ sơ sở hữu trí tuệ.</v>
      </c>
      <c r="I274" s="3" t="str">
        <f>'FSL Source'!H274</f>
        <v>Cán bộ nghiệp vụ/Quản trị</v>
      </c>
      <c r="J274" s="3" t="str">
        <f>'FSL Source'!I274</f>
        <v>Audit</v>
      </c>
      <c r="K274" s="3" t="str">
        <f>'FSL Source'!J274</f>
        <v>RD08</v>
      </c>
      <c r="L274" s="3" t="str">
        <f>'FSL Source'!K274</f>
        <v>CAP-04</v>
      </c>
      <c r="M274" s="3" t="str">
        <f>'FSL Source'!L274</f>
        <v>Must</v>
      </c>
      <c r="N274" s="3" t="str">
        <f>'FSL Source'!M274</f>
        <v>Pha 1</v>
      </c>
      <c r="O274" s="3" t="str">
        <f>'FSL Source'!N274</f>
        <v>Đề xuất trong phạm vi</v>
      </c>
      <c r="P274" s="4" t="str">
        <f>'FSL Source'!O274</f>
        <v>Hiệu chỉnh theo BRD 0.9</v>
      </c>
      <c r="Q274" s="4" t="str">
        <f>'FSL Source'!P274</f>
        <v>Lịch sử không thể sửa và truy vết được trước/sau của thay đổi quan trọng.</v>
      </c>
      <c r="R274" s="4">
        <f>'FSL Source'!Q274</f>
        <v>0</v>
      </c>
      <c r="S274" s="3"/>
      <c r="T274" s="3"/>
      <c r="U274" s="8"/>
      <c r="V274" s="8"/>
      <c r="W274" s="9"/>
      <c r="X274" s="9" t="str">
        <f t="shared" si="4"/>
        <v/>
      </c>
      <c r="Y274" s="3" t="s">
        <v>1860</v>
      </c>
      <c r="Z274" s="10">
        <v>0</v>
      </c>
      <c r="AA274" s="4"/>
    </row>
    <row r="275" spans="1:27" ht="38.25">
      <c r="A275" s="3" t="str">
        <f>B275&amp;"."&amp;TEXT(COUNTIF($B$5:B275,B275),"000")</f>
        <v>1.11.02.008</v>
      </c>
      <c r="B275" s="3" t="str">
        <f>IFERROR(INDEX('Work Packages'!$A$5:$A$200,MATCH(D275&amp;"|"&amp;E275,'Work Packages'!$P$5:$P$200,0)),"")</f>
        <v>1.11.02</v>
      </c>
      <c r="C275" s="3" t="str">
        <f>'FSL Source'!B275</f>
        <v>OUT-IP-008</v>
      </c>
      <c r="D275" s="3" t="str">
        <f>'FSL Source'!C275</f>
        <v>Sản phẩm Nghiên cứu &amp; SHTT</v>
      </c>
      <c r="E275" s="3" t="str">
        <f>'FSL Source'!D275</f>
        <v>Sở hữu trí tuệ</v>
      </c>
      <c r="F275" s="4" t="str">
        <f>'FSL Source'!E275</f>
        <v>Quyền sở hữu</v>
      </c>
      <c r="G275" s="4" t="str">
        <f>'FSL Source'!F275</f>
        <v>Quản lý tác giả, chủ sở hữu và tỷ lệ quyền</v>
      </c>
      <c r="H275" s="4" t="str">
        <f>'FSL Source'!G275</f>
        <v>Theo dõi cá nhân/tổ chức, quyền và căn cứ phân chia cho từng tài sản SHTT.</v>
      </c>
      <c r="I275" s="3" t="str">
        <f>'FSL Source'!H275</f>
        <v>Cán bộ SHTT</v>
      </c>
      <c r="J275" s="3" t="str">
        <f>'FSL Source'!I275</f>
        <v>Nghiệp vụ</v>
      </c>
      <c r="K275" s="3" t="str">
        <f>'FSL Source'!J275</f>
        <v>RD08</v>
      </c>
      <c r="L275" s="3" t="str">
        <f>'FSL Source'!K275</f>
        <v>CAP-04</v>
      </c>
      <c r="M275" s="3" t="str">
        <f>'FSL Source'!L275</f>
        <v>Must</v>
      </c>
      <c r="N275" s="3" t="str">
        <f>'FSL Source'!M275</f>
        <v>Pha 1</v>
      </c>
      <c r="O275" s="3" t="str">
        <f>'FSL Source'!N275</f>
        <v>Cần xác nhận</v>
      </c>
      <c r="P275" s="4" t="str">
        <f>'FSL Source'!O275</f>
        <v>RD08 thuộc Pha 1 nhưng nguồn mô tả còn mỏng (A4).</v>
      </c>
      <c r="Q275" s="4">
        <f>'FSL Source'!P275</f>
        <v>0</v>
      </c>
      <c r="R275" s="4">
        <f>'FSL Source'!Q275</f>
        <v>0</v>
      </c>
      <c r="S275" s="3"/>
      <c r="T275" s="3"/>
      <c r="U275" s="8"/>
      <c r="V275" s="8"/>
      <c r="W275" s="9"/>
      <c r="X275" s="9" t="str">
        <f t="shared" si="4"/>
        <v/>
      </c>
      <c r="Y275" s="3" t="s">
        <v>1860</v>
      </c>
      <c r="Z275" s="10">
        <v>0</v>
      </c>
      <c r="AA275" s="4"/>
    </row>
    <row r="276" spans="1:27" ht="38.25">
      <c r="A276" s="3" t="str">
        <f>B276&amp;"."&amp;TEXT(COUNTIF($B$5:B276,B276),"000")</f>
        <v>1.11.02.009</v>
      </c>
      <c r="B276" s="3" t="str">
        <f>IFERROR(INDEX('Work Packages'!$A$5:$A$200,MATCH(D276&amp;"|"&amp;E276,'Work Packages'!$P$5:$P$200,0)),"")</f>
        <v>1.11.02</v>
      </c>
      <c r="C276" s="3" t="str">
        <f>'FSL Source'!B276</f>
        <v>OUT-IP-009</v>
      </c>
      <c r="D276" s="3" t="str">
        <f>'FSL Source'!C276</f>
        <v>Sản phẩm Nghiên cứu &amp; SHTT</v>
      </c>
      <c r="E276" s="3" t="str">
        <f>'FSL Source'!D276</f>
        <v>Sở hữu trí tuệ</v>
      </c>
      <c r="F276" s="4" t="str">
        <f>'FSL Source'!E276</f>
        <v>Đăng ký bảo hộ</v>
      </c>
      <c r="G276" s="4" t="str">
        <f>'FSL Source'!F276</f>
        <v>Theo dõi trạng thái đơn và văn bằng bảo hộ</v>
      </c>
      <c r="H276" s="4" t="str">
        <f>'FSL Source'!G276</f>
        <v>Quản lý số đơn, ngày nộp, quốc gia, giai đoạn thẩm định, hiệu lực và gia hạn.</v>
      </c>
      <c r="I276" s="3" t="str">
        <f>'FSL Source'!H276</f>
        <v>Cán bộ SHTT</v>
      </c>
      <c r="J276" s="3" t="str">
        <f>'FSL Source'!I276</f>
        <v>Nghiệp vụ</v>
      </c>
      <c r="K276" s="3" t="str">
        <f>'FSL Source'!J276</f>
        <v>RD08</v>
      </c>
      <c r="L276" s="3" t="str">
        <f>'FSL Source'!K276</f>
        <v>CAP-04</v>
      </c>
      <c r="M276" s="3" t="str">
        <f>'FSL Source'!L276</f>
        <v>Must</v>
      </c>
      <c r="N276" s="3" t="str">
        <f>'FSL Source'!M276</f>
        <v>Pha 1</v>
      </c>
      <c r="O276" s="3" t="str">
        <f>'FSL Source'!N276</f>
        <v>Cần xác nhận</v>
      </c>
      <c r="P276" s="4" t="str">
        <f>'FSL Source'!O276</f>
        <v>RD08 thuộc Pha 1 nhưng nguồn mô tả còn mỏng (A4).</v>
      </c>
      <c r="Q276" s="4">
        <f>'FSL Source'!P276</f>
        <v>0</v>
      </c>
      <c r="R276" s="4">
        <f>'FSL Source'!Q276</f>
        <v>0</v>
      </c>
      <c r="S276" s="3"/>
      <c r="T276" s="3"/>
      <c r="U276" s="8"/>
      <c r="V276" s="8"/>
      <c r="W276" s="9"/>
      <c r="X276" s="9" t="str">
        <f t="shared" si="4"/>
        <v/>
      </c>
      <c r="Y276" s="3" t="s">
        <v>1860</v>
      </c>
      <c r="Z276" s="10">
        <v>0</v>
      </c>
      <c r="AA276" s="4"/>
    </row>
    <row r="277" spans="1:27" ht="38.25">
      <c r="A277" s="3" t="str">
        <f>B277&amp;"."&amp;TEXT(COUNTIF($B$5:B277,B277),"000")</f>
        <v>1.11.03.001</v>
      </c>
      <c r="B277" s="3" t="str">
        <f>IFERROR(INDEX('Work Packages'!$A$5:$A$200,MATCH(D277&amp;"|"&amp;E277,'Work Packages'!$P$5:$P$200,0)),"")</f>
        <v>1.11.03</v>
      </c>
      <c r="C277" s="3" t="str">
        <f>'FSL Source'!B277</f>
        <v>OUT-PUB-001</v>
      </c>
      <c r="D277" s="3" t="str">
        <f>'FSL Source'!C277</f>
        <v>Sản phẩm Nghiên cứu &amp; SHTT</v>
      </c>
      <c r="E277" s="3" t="str">
        <f>'FSL Source'!D277</f>
        <v>Công bố khoa học</v>
      </c>
      <c r="F277" s="4" t="str">
        <f>'FSL Source'!E277</f>
        <v>Bài báo/Sáng chế/Giải pháp hữu ích</v>
      </c>
      <c r="G277" s="4" t="str">
        <f>'FSL Source'!F277</f>
        <v>Xem danh sách Bài báo/Sáng chế/Giải pháp hữu ích</v>
      </c>
      <c r="H277" s="4" t="str">
        <f>'FSL Source'!G277</f>
        <v>Tra cứu danh sách, phân trang, sắp xếp và lọc Bài báo/Sáng chế/Giải pháp hữu ích theo các tiêu chí nghiệp vụ.</v>
      </c>
      <c r="I277" s="3" t="str">
        <f>'FSL Source'!H277</f>
        <v>Chủ nhiệm/Cán bộ KHCN</v>
      </c>
      <c r="J277" s="3" t="str">
        <f>'FSL Source'!I277</f>
        <v>Nghiệp vụ</v>
      </c>
      <c r="K277" s="3" t="str">
        <f>'FSL Source'!J277</f>
        <v>RD07,RD08</v>
      </c>
      <c r="L277" s="3" t="str">
        <f>'FSL Source'!K277</f>
        <v>CAP-04</v>
      </c>
      <c r="M277" s="3" t="str">
        <f>'FSL Source'!L277</f>
        <v>Should</v>
      </c>
      <c r="N277" s="3" t="str">
        <f>'FSL Source'!M277</f>
        <v>Pha 3</v>
      </c>
      <c r="O277" s="3" t="str">
        <f>'FSL Source'!N277</f>
        <v>Đề xuất trong phạm vi</v>
      </c>
      <c r="P277" s="4" t="str">
        <f>'FSL Source'!O277</f>
        <v>Bổ sung theo decomposite-diagram</v>
      </c>
      <c r="Q277" s="4" t="str">
        <f>'FSL Source'!P277</f>
        <v>Danh sách hiển thị đúng phạm vi dữ liệu và hỗ trợ lọc/xuất theo quyền.</v>
      </c>
      <c r="R277" s="4">
        <f>'FSL Source'!Q277</f>
        <v>0</v>
      </c>
      <c r="S277" s="3"/>
      <c r="T277" s="3"/>
      <c r="U277" s="8"/>
      <c r="V277" s="8"/>
      <c r="W277" s="9"/>
      <c r="X277" s="9" t="str">
        <f t="shared" si="4"/>
        <v/>
      </c>
      <c r="Y277" s="3" t="s">
        <v>1860</v>
      </c>
      <c r="Z277" s="10">
        <v>0</v>
      </c>
      <c r="AA277" s="4"/>
    </row>
    <row r="278" spans="1:27" ht="25.5">
      <c r="A278" s="3" t="str">
        <f>B278&amp;"."&amp;TEXT(COUNTIF($B$5:B278,B278),"000")</f>
        <v>1.11.03.002</v>
      </c>
      <c r="B278" s="3" t="str">
        <f>IFERROR(INDEX('Work Packages'!$A$5:$A$200,MATCH(D278&amp;"|"&amp;E278,'Work Packages'!$P$5:$P$200,0)),"")</f>
        <v>1.11.03</v>
      </c>
      <c r="C278" s="3" t="str">
        <f>'FSL Source'!B278</f>
        <v>OUT-PUB-002</v>
      </c>
      <c r="D278" s="3" t="str">
        <f>'FSL Source'!C278</f>
        <v>Sản phẩm Nghiên cứu &amp; SHTT</v>
      </c>
      <c r="E278" s="3" t="str">
        <f>'FSL Source'!D278</f>
        <v>Công bố khoa học</v>
      </c>
      <c r="F278" s="4" t="str">
        <f>'FSL Source'!E278</f>
        <v>Bài báo/Sáng chế/Giải pháp hữu ích</v>
      </c>
      <c r="G278" s="4" t="str">
        <f>'FSL Source'!F278</f>
        <v>Tạo mới Bài báo/Sáng chế/Giải pháp hữu ích</v>
      </c>
      <c r="H278" s="4" t="str">
        <f>'FSL Source'!G278</f>
        <v>Khởi tạo Bài báo/Sáng chế/Giải pháp hữu ích, kiểm tra dữ liệu bắt buộc và lưu nháp trước khi hoàn tất.</v>
      </c>
      <c r="I278" s="3" t="str">
        <f>'FSL Source'!H278</f>
        <v>Chủ nhiệm/Cán bộ KHCN</v>
      </c>
      <c r="J278" s="3" t="str">
        <f>'FSL Source'!I278</f>
        <v>Nghiệp vụ</v>
      </c>
      <c r="K278" s="3" t="str">
        <f>'FSL Source'!J278</f>
        <v>RD07,RD08</v>
      </c>
      <c r="L278" s="3" t="str">
        <f>'FSL Source'!K278</f>
        <v>CAP-04</v>
      </c>
      <c r="M278" s="3" t="str">
        <f>'FSL Source'!L278</f>
        <v>Should</v>
      </c>
      <c r="N278" s="3" t="str">
        <f>'FSL Source'!M278</f>
        <v>Pha 3</v>
      </c>
      <c r="O278" s="3" t="str">
        <f>'FSL Source'!N278</f>
        <v>Đề xuất trong phạm vi</v>
      </c>
      <c r="P278" s="4" t="str">
        <f>'FSL Source'!O278</f>
        <v>Bổ sung theo decomposite-diagram</v>
      </c>
      <c r="Q278" s="4" t="str">
        <f>'FSL Source'!P278</f>
        <v>Dữ liệu hợp lệ được lưu; lỗi validation hiển thị tại trường tương ứng.</v>
      </c>
      <c r="R278" s="4">
        <f>'FSL Source'!Q278</f>
        <v>0</v>
      </c>
      <c r="S278" s="3"/>
      <c r="T278" s="3"/>
      <c r="U278" s="8"/>
      <c r="V278" s="8"/>
      <c r="W278" s="9"/>
      <c r="X278" s="9" t="str">
        <f t="shared" si="4"/>
        <v/>
      </c>
      <c r="Y278" s="3" t="s">
        <v>1860</v>
      </c>
      <c r="Z278" s="10">
        <v>0</v>
      </c>
      <c r="AA278" s="4"/>
    </row>
    <row r="279" spans="1:27" ht="38.25">
      <c r="A279" s="3" t="str">
        <f>B279&amp;"."&amp;TEXT(COUNTIF($B$5:B279,B279),"000")</f>
        <v>1.11.03.003</v>
      </c>
      <c r="B279" s="3" t="str">
        <f>IFERROR(INDEX('Work Packages'!$A$5:$A$200,MATCH(D279&amp;"|"&amp;E279,'Work Packages'!$P$5:$P$200,0)),"")</f>
        <v>1.11.03</v>
      </c>
      <c r="C279" s="3" t="str">
        <f>'FSL Source'!B279</f>
        <v>OUT-PUB-003</v>
      </c>
      <c r="D279" s="3" t="str">
        <f>'FSL Source'!C279</f>
        <v>Sản phẩm Nghiên cứu &amp; SHTT</v>
      </c>
      <c r="E279" s="3" t="str">
        <f>'FSL Source'!D279</f>
        <v>Công bố khoa học</v>
      </c>
      <c r="F279" s="4" t="str">
        <f>'FSL Source'!E279</f>
        <v>Bài báo/Sáng chế/Giải pháp hữu ích</v>
      </c>
      <c r="G279" s="4" t="str">
        <f>'FSL Source'!F279</f>
        <v>Xem chi tiết Bài báo/Sáng chế/Giải pháp hữu ích</v>
      </c>
      <c r="H279" s="4" t="str">
        <f>'FSL Source'!G279</f>
        <v>Hiển thị thông tin tổng quan, dữ liệu chi tiết, tài liệu liên quan và trạng thái của Bài báo/Sáng chế/Giải pháp hữu ích.</v>
      </c>
      <c r="I279" s="3" t="str">
        <f>'FSL Source'!H279</f>
        <v>Chủ nhiệm/Cán bộ KHCN</v>
      </c>
      <c r="J279" s="3" t="str">
        <f>'FSL Source'!I279</f>
        <v>Nghiệp vụ</v>
      </c>
      <c r="K279" s="3" t="str">
        <f>'FSL Source'!J279</f>
        <v>RD07,RD08</v>
      </c>
      <c r="L279" s="3" t="str">
        <f>'FSL Source'!K279</f>
        <v>CAP-04</v>
      </c>
      <c r="M279" s="3" t="str">
        <f>'FSL Source'!L279</f>
        <v>Should</v>
      </c>
      <c r="N279" s="3" t="str">
        <f>'FSL Source'!M279</f>
        <v>Pha 3</v>
      </c>
      <c r="O279" s="3" t="str">
        <f>'FSL Source'!N279</f>
        <v>Đề xuất trong phạm vi</v>
      </c>
      <c r="P279" s="4" t="str">
        <f>'FSL Source'!O279</f>
        <v>Bổ sung theo decomposite-diagram</v>
      </c>
      <c r="Q279" s="4" t="str">
        <f>'FSL Source'!P279</f>
        <v>Thông tin hiển thị đúng phiên bản và quyền truy cập.</v>
      </c>
      <c r="R279" s="4">
        <f>'FSL Source'!Q279</f>
        <v>0</v>
      </c>
      <c r="S279" s="3"/>
      <c r="T279" s="3"/>
      <c r="U279" s="8"/>
      <c r="V279" s="8"/>
      <c r="W279" s="9"/>
      <c r="X279" s="9" t="str">
        <f t="shared" si="4"/>
        <v/>
      </c>
      <c r="Y279" s="3" t="s">
        <v>1860</v>
      </c>
      <c r="Z279" s="10">
        <v>0</v>
      </c>
      <c r="AA279" s="4"/>
    </row>
    <row r="280" spans="1:27" ht="38.25">
      <c r="A280" s="3" t="str">
        <f>B280&amp;"."&amp;TEXT(COUNTIF($B$5:B280,B280),"000")</f>
        <v>1.11.03.004</v>
      </c>
      <c r="B280" s="3" t="str">
        <f>IFERROR(INDEX('Work Packages'!$A$5:$A$200,MATCH(D280&amp;"|"&amp;E280,'Work Packages'!$P$5:$P$200,0)),"")</f>
        <v>1.11.03</v>
      </c>
      <c r="C280" s="3" t="str">
        <f>'FSL Source'!B280</f>
        <v>OUT-PUB-004</v>
      </c>
      <c r="D280" s="3" t="str">
        <f>'FSL Source'!C280</f>
        <v>Sản phẩm Nghiên cứu &amp; SHTT</v>
      </c>
      <c r="E280" s="3" t="str">
        <f>'FSL Source'!D280</f>
        <v>Công bố khoa học</v>
      </c>
      <c r="F280" s="4" t="str">
        <f>'FSL Source'!E280</f>
        <v>Bài báo/Sáng chế/Giải pháp hữu ích</v>
      </c>
      <c r="G280" s="4" t="str">
        <f>'FSL Source'!F280</f>
        <v>Chỉnh sửa Bài báo/Sáng chế/Giải pháp hữu ích</v>
      </c>
      <c r="H280" s="4" t="str">
        <f>'FSL Source'!G280</f>
        <v>Cập nhật Bài báo/Sáng chế/Giải pháp hữu ích khi trạng thái và quyền người dùng cho phép; kiểm soát xung đột cập nhật.</v>
      </c>
      <c r="I280" s="3" t="str">
        <f>'FSL Source'!H280</f>
        <v>Chủ nhiệm/Cán bộ KHCN</v>
      </c>
      <c r="J280" s="3" t="str">
        <f>'FSL Source'!I280</f>
        <v>Nghiệp vụ</v>
      </c>
      <c r="K280" s="3" t="str">
        <f>'FSL Source'!J280</f>
        <v>RD07,RD08</v>
      </c>
      <c r="L280" s="3" t="str">
        <f>'FSL Source'!K280</f>
        <v>CAP-04</v>
      </c>
      <c r="M280" s="3" t="str">
        <f>'FSL Source'!L280</f>
        <v>Should</v>
      </c>
      <c r="N280" s="3" t="str">
        <f>'FSL Source'!M280</f>
        <v>Pha 3</v>
      </c>
      <c r="O280" s="3" t="str">
        <f>'FSL Source'!N280</f>
        <v>Đề xuất trong phạm vi</v>
      </c>
      <c r="P280" s="4" t="str">
        <f>'FSL Source'!O280</f>
        <v>Bổ sung theo decomposite-diagram</v>
      </c>
      <c r="Q280" s="4" t="str">
        <f>'FSL Source'!P280</f>
        <v>Chỉ trường được phép sửa có hiệu lực và thay đổi được ghi lịch sử.</v>
      </c>
      <c r="R280" s="4">
        <f>'FSL Source'!Q280</f>
        <v>0</v>
      </c>
      <c r="S280" s="3"/>
      <c r="T280" s="3"/>
      <c r="U280" s="8"/>
      <c r="V280" s="8"/>
      <c r="W280" s="9"/>
      <c r="X280" s="9" t="str">
        <f t="shared" si="4"/>
        <v/>
      </c>
      <c r="Y280" s="3" t="s">
        <v>1860</v>
      </c>
      <c r="Z280" s="10">
        <v>0</v>
      </c>
      <c r="AA280" s="4"/>
    </row>
    <row r="281" spans="1:27" ht="38.25">
      <c r="A281" s="3" t="str">
        <f>B281&amp;"."&amp;TEXT(COUNTIF($B$5:B281,B281),"000")</f>
        <v>1.11.03.005</v>
      </c>
      <c r="B281" s="3" t="str">
        <f>IFERROR(INDEX('Work Packages'!$A$5:$A$200,MATCH(D281&amp;"|"&amp;E281,'Work Packages'!$P$5:$P$200,0)),"")</f>
        <v>1.11.03</v>
      </c>
      <c r="C281" s="3" t="str">
        <f>'FSL Source'!B281</f>
        <v>OUT-PUB-005</v>
      </c>
      <c r="D281" s="3" t="str">
        <f>'FSL Source'!C281</f>
        <v>Sản phẩm Nghiên cứu &amp; SHTT</v>
      </c>
      <c r="E281" s="3" t="str">
        <f>'FSL Source'!D281</f>
        <v>Công bố khoa học</v>
      </c>
      <c r="F281" s="4" t="str">
        <f>'FSL Source'!E281</f>
        <v>Bài báo/Sáng chế/Giải pháp hữu ích</v>
      </c>
      <c r="G281" s="4" t="str">
        <f>'FSL Source'!F281</f>
        <v>Xóa/Ngừng sử dụng Bài báo/Sáng chế/Giải pháp hữu ích</v>
      </c>
      <c r="H281" s="4" t="str">
        <f>'FSL Source'!G281</f>
        <v>Xóa logic hoặc ngừng sử dụng Bài báo/Sáng chế/Giải pháp hữu ích sau khi kiểm tra ràng buộc tham chiếu.</v>
      </c>
      <c r="I281" s="3" t="str">
        <f>'FSL Source'!H281</f>
        <v>Quản trị/Cán bộ nghiệp vụ</v>
      </c>
      <c r="J281" s="3" t="str">
        <f>'FSL Source'!I281</f>
        <v>Nghiệp vụ</v>
      </c>
      <c r="K281" s="3" t="str">
        <f>'FSL Source'!J281</f>
        <v>RD07,RD08</v>
      </c>
      <c r="L281" s="3" t="str">
        <f>'FSL Source'!K281</f>
        <v>CAP-04</v>
      </c>
      <c r="M281" s="3" t="str">
        <f>'FSL Source'!L281</f>
        <v>Should</v>
      </c>
      <c r="N281" s="3" t="str">
        <f>'FSL Source'!M281</f>
        <v>Pha 3</v>
      </c>
      <c r="O281" s="3" t="str">
        <f>'FSL Source'!N281</f>
        <v>Đề xuất trong phạm vi</v>
      </c>
      <c r="P281" s="4" t="str">
        <f>'FSL Source'!O281</f>
        <v>Bổ sung theo decomposite-diagram</v>
      </c>
      <c r="Q281" s="4" t="str">
        <f>'FSL Source'!P281</f>
        <v>Không xóa vật lý dữ liệu đã phát sinh giao dịch; cảnh báo rõ quan hệ phụ thuộc.</v>
      </c>
      <c r="R281" s="4">
        <f>'FSL Source'!Q281</f>
        <v>0</v>
      </c>
      <c r="S281" s="3"/>
      <c r="T281" s="3"/>
      <c r="U281" s="8"/>
      <c r="V281" s="8"/>
      <c r="W281" s="9"/>
      <c r="X281" s="9" t="str">
        <f t="shared" si="4"/>
        <v/>
      </c>
      <c r="Y281" s="3" t="s">
        <v>1860</v>
      </c>
      <c r="Z281" s="10">
        <v>0</v>
      </c>
      <c r="AA281" s="4"/>
    </row>
    <row r="282" spans="1:27" ht="38.25">
      <c r="A282" s="3" t="str">
        <f>B282&amp;"."&amp;TEXT(COUNTIF($B$5:B282,B282),"000")</f>
        <v>1.11.03.006</v>
      </c>
      <c r="B282" s="3" t="str">
        <f>IFERROR(INDEX('Work Packages'!$A$5:$A$200,MATCH(D282&amp;"|"&amp;E282,'Work Packages'!$P$5:$P$200,0)),"")</f>
        <v>1.11.03</v>
      </c>
      <c r="C282" s="3" t="str">
        <f>'FSL Source'!B282</f>
        <v>OUT-PUB-006</v>
      </c>
      <c r="D282" s="3" t="str">
        <f>'FSL Source'!C282</f>
        <v>Sản phẩm Nghiên cứu &amp; SHTT</v>
      </c>
      <c r="E282" s="3" t="str">
        <f>'FSL Source'!D282</f>
        <v>Công bố khoa học</v>
      </c>
      <c r="F282" s="4" t="str">
        <f>'FSL Source'!E282</f>
        <v>Bài báo/Sáng chế/Giải pháp hữu ích</v>
      </c>
      <c r="G282" s="4" t="str">
        <f>'FSL Source'!F282</f>
        <v>Xem lịch sử Bài báo/Sáng chế/Giải pháp hữu ích</v>
      </c>
      <c r="H282" s="4" t="str">
        <f>'FSL Source'!G282</f>
        <v>Theo dõi phiên bản, thay đổi dữ liệu, người thực hiện và lịch sử xử lý của Bài báo/Sáng chế/Giải pháp hữu ích.</v>
      </c>
      <c r="I282" s="3" t="str">
        <f>'FSL Source'!H282</f>
        <v>Cán bộ nghiệp vụ/Quản trị</v>
      </c>
      <c r="J282" s="3" t="str">
        <f>'FSL Source'!I282</f>
        <v>Audit</v>
      </c>
      <c r="K282" s="3" t="str">
        <f>'FSL Source'!J282</f>
        <v>RD07,RD08</v>
      </c>
      <c r="L282" s="3" t="str">
        <f>'FSL Source'!K282</f>
        <v>CAP-04</v>
      </c>
      <c r="M282" s="3" t="str">
        <f>'FSL Source'!L282</f>
        <v>Must</v>
      </c>
      <c r="N282" s="3" t="str">
        <f>'FSL Source'!M282</f>
        <v>Pha 3</v>
      </c>
      <c r="O282" s="3" t="str">
        <f>'FSL Source'!N282</f>
        <v>Đề xuất trong phạm vi</v>
      </c>
      <c r="P282" s="4" t="str">
        <f>'FSL Source'!O282</f>
        <v>Bổ sung theo decomposite-diagram</v>
      </c>
      <c r="Q282" s="4" t="str">
        <f>'FSL Source'!P282</f>
        <v>Lịch sử không thể sửa và truy vết được trước/sau của thay đổi quan trọng.</v>
      </c>
      <c r="R282" s="4">
        <f>'FSL Source'!Q282</f>
        <v>0</v>
      </c>
      <c r="S282" s="3"/>
      <c r="T282" s="3"/>
      <c r="U282" s="8"/>
      <c r="V282" s="8"/>
      <c r="W282" s="9"/>
      <c r="X282" s="9" t="str">
        <f t="shared" si="4"/>
        <v/>
      </c>
      <c r="Y282" s="3" t="s">
        <v>1860</v>
      </c>
      <c r="Z282" s="10">
        <v>0</v>
      </c>
      <c r="AA282" s="4"/>
    </row>
    <row r="283" spans="1:27" ht="25.5">
      <c r="A283" s="3" t="str">
        <f>B283&amp;"."&amp;TEXT(COUNTIF($B$5:B283,B283),"000")</f>
        <v>1.11.04.001</v>
      </c>
      <c r="B283" s="3" t="str">
        <f>IFERROR(INDEX('Work Packages'!$A$5:$A$200,MATCH(D283&amp;"|"&amp;E283,'Work Packages'!$P$5:$P$200,0)),"")</f>
        <v>1.11.04</v>
      </c>
      <c r="C283" s="3" t="str">
        <f>'FSL Source'!B283</f>
        <v>OUT-TECH-001</v>
      </c>
      <c r="D283" s="3" t="str">
        <f>'FSL Source'!C283</f>
        <v>Sản phẩm Nghiên cứu &amp; SHTT</v>
      </c>
      <c r="E283" s="3" t="str">
        <f>'FSL Source'!D283</f>
        <v>Công nghệ &amp; chuyển giao</v>
      </c>
      <c r="F283" s="4" t="str">
        <f>'FSL Source'!E283</f>
        <v>Công nghệ lõi</v>
      </c>
      <c r="G283" s="4" t="str">
        <f>'FSL Source'!F283</f>
        <v>Quản lý công nghệ hình thành từ nhiệm vụ</v>
      </c>
      <c r="H283" s="4" t="str">
        <f>'FSL Source'!G283</f>
        <v>Theo dõi mô tả, TRL, khả năng ứng dụng, đơn vị tiếp nhận và bằng chứng chuyển giao.</v>
      </c>
      <c r="I283" s="3" t="str">
        <f>'FSL Source'!H283</f>
        <v>Chủ nhiệm/Cán bộ KHCN</v>
      </c>
      <c r="J283" s="3" t="str">
        <f>'FSL Source'!I283</f>
        <v>Nghiệp vụ</v>
      </c>
      <c r="K283" s="3" t="str">
        <f>'FSL Source'!J283</f>
        <v>RD07</v>
      </c>
      <c r="L283" s="3" t="str">
        <f>'FSL Source'!K283</f>
        <v>CAP-04</v>
      </c>
      <c r="M283" s="3" t="str">
        <f>'FSL Source'!L283</f>
        <v>Could</v>
      </c>
      <c r="N283" s="3" t="str">
        <f>'FSL Source'!M283</f>
        <v>Pha 3</v>
      </c>
      <c r="O283" s="3" t="str">
        <f>'FSL Source'!N283</f>
        <v>Đề xuất trong phạm vi</v>
      </c>
      <c r="P283" s="4" t="str">
        <f>'FSL Source'!O283</f>
        <v>Bổ sung</v>
      </c>
      <c r="Q283" s="4">
        <f>'FSL Source'!P283</f>
        <v>0</v>
      </c>
      <c r="R283" s="4">
        <f>'FSL Source'!Q283</f>
        <v>0</v>
      </c>
      <c r="S283" s="3"/>
      <c r="T283" s="3"/>
      <c r="U283" s="8"/>
      <c r="V283" s="8"/>
      <c r="W283" s="9"/>
      <c r="X283" s="9" t="str">
        <f t="shared" si="4"/>
        <v/>
      </c>
      <c r="Y283" s="3" t="s">
        <v>1860</v>
      </c>
      <c r="Z283" s="10">
        <v>0</v>
      </c>
      <c r="AA283" s="4"/>
    </row>
    <row r="284" spans="1:27" ht="25.5">
      <c r="A284" s="3" t="str">
        <f>B284&amp;"."&amp;TEXT(COUNTIF($B$5:B284,B284),"000")</f>
        <v>1.12.01.001</v>
      </c>
      <c r="B284" s="3" t="str">
        <f>IFERROR(INDEX('Work Packages'!$A$5:$A$200,MATCH(D284&amp;"|"&amp;E284,'Work Packages'!$P$5:$P$200,0)),"")</f>
        <v>1.12.01</v>
      </c>
      <c r="C284" s="3" t="str">
        <f>'FSL Source'!B284</f>
        <v>RPT-DASH-001</v>
      </c>
      <c r="D284" s="3" t="str">
        <f>'FSL Source'!C284</f>
        <v>Báo cáo &amp; Điều hành</v>
      </c>
      <c r="E284" s="3" t="str">
        <f>'FSL Source'!D284</f>
        <v>Dashboard lãnh đạo</v>
      </c>
      <c r="F284" s="4" t="str">
        <f>'FSL Source'!E284</f>
        <v>Tổng quan</v>
      </c>
      <c r="G284" s="4" t="str">
        <f>'FSL Source'!F284</f>
        <v>Dashboard đa cấp theo phạm vi dữ liệu</v>
      </c>
      <c r="H284" s="4" t="str">
        <f>'FSL Source'!G284</f>
        <v>Hiển thị KPI theo tập đoàn/đơn vị/lĩnh vực/cấp nhiệm vụ và hỗ trợ drill-down.</v>
      </c>
      <c r="I284" s="3" t="str">
        <f>'FSL Source'!H284</f>
        <v>Lãnh đạo/Cán bộ KHCN</v>
      </c>
      <c r="J284" s="3" t="str">
        <f>'FSL Source'!I284</f>
        <v>Báo cáo</v>
      </c>
      <c r="K284" s="3" t="str">
        <f>'FSL Source'!J284</f>
        <v>RD09</v>
      </c>
      <c r="L284" s="3" t="str">
        <f>'FSL Source'!K284</f>
        <v>CAP-18</v>
      </c>
      <c r="M284" s="3" t="str">
        <f>'FSL Source'!L284</f>
        <v>Must</v>
      </c>
      <c r="N284" s="3" t="str">
        <f>'FSL Source'!M284</f>
        <v>Pha 2</v>
      </c>
      <c r="O284" s="3" t="str">
        <f>'FSL Source'!N284</f>
        <v>Đề xuất trong phạm vi</v>
      </c>
      <c r="P284" s="4" t="str">
        <f>'FSL Source'!O284</f>
        <v>Hiệu chỉnh từ VHT_WBS</v>
      </c>
      <c r="Q284" s="4">
        <f>'FSL Source'!P284</f>
        <v>0</v>
      </c>
      <c r="R284" s="4">
        <f>'FSL Source'!Q284</f>
        <v>0</v>
      </c>
      <c r="S284" s="3"/>
      <c r="T284" s="3"/>
      <c r="U284" s="8"/>
      <c r="V284" s="8"/>
      <c r="W284" s="9"/>
      <c r="X284" s="9" t="str">
        <f t="shared" si="4"/>
        <v/>
      </c>
      <c r="Y284" s="3" t="s">
        <v>1860</v>
      </c>
      <c r="Z284" s="10">
        <v>0</v>
      </c>
      <c r="AA284" s="4"/>
    </row>
    <row r="285" spans="1:27" ht="25.5">
      <c r="A285" s="3" t="str">
        <f>B285&amp;"."&amp;TEXT(COUNTIF($B$5:B285,B285),"000")</f>
        <v>1.12.01.002</v>
      </c>
      <c r="B285" s="3" t="str">
        <f>IFERROR(INDEX('Work Packages'!$A$5:$A$200,MATCH(D285&amp;"|"&amp;E285,'Work Packages'!$P$5:$P$200,0)),"")</f>
        <v>1.12.01</v>
      </c>
      <c r="C285" s="3" t="str">
        <f>'FSL Source'!B285</f>
        <v>RPT-DASH-002</v>
      </c>
      <c r="D285" s="3" t="str">
        <f>'FSL Source'!C285</f>
        <v>Báo cáo &amp; Điều hành</v>
      </c>
      <c r="E285" s="3" t="str">
        <f>'FSL Source'!D285</f>
        <v>Dashboard lãnh đạo</v>
      </c>
      <c r="F285" s="4" t="str">
        <f>'FSL Source'!E285</f>
        <v>KPI</v>
      </c>
      <c r="G285" s="4" t="str">
        <f>'FSL Source'!F285</f>
        <v>KPI vòng đời nhiệm vụ</v>
      </c>
      <c r="H285" s="4" t="str">
        <f>'FSL Source'!G285</f>
        <v>Số lượng và trạng thái nhiệm vụ theo giai đoạn, đơn vị và lĩnh vực.</v>
      </c>
      <c r="I285" s="3" t="str">
        <f>'FSL Source'!H285</f>
        <v>Lãnh đạo/Cán bộ KHCN</v>
      </c>
      <c r="J285" s="3" t="str">
        <f>'FSL Source'!I285</f>
        <v>Báo cáo</v>
      </c>
      <c r="K285" s="3" t="str">
        <f>'FSL Source'!J285</f>
        <v>RD09</v>
      </c>
      <c r="L285" s="3" t="str">
        <f>'FSL Source'!K285</f>
        <v>CAP-18</v>
      </c>
      <c r="M285" s="3" t="str">
        <f>'FSL Source'!L285</f>
        <v>Should</v>
      </c>
      <c r="N285" s="3" t="str">
        <f>'FSL Source'!M285</f>
        <v>Pha 2</v>
      </c>
      <c r="O285" s="3" t="str">
        <f>'FSL Source'!N285</f>
        <v>Đề xuất trong phạm vi</v>
      </c>
      <c r="P285" s="4" t="str">
        <f>'FSL Source'!O285</f>
        <v>Bổ sung</v>
      </c>
      <c r="Q285" s="4">
        <f>'FSL Source'!P285</f>
        <v>0</v>
      </c>
      <c r="R285" s="4">
        <f>'FSL Source'!Q285</f>
        <v>0</v>
      </c>
      <c r="S285" s="3"/>
      <c r="T285" s="3"/>
      <c r="U285" s="8"/>
      <c r="V285" s="8"/>
      <c r="W285" s="9"/>
      <c r="X285" s="9" t="str">
        <f t="shared" si="4"/>
        <v/>
      </c>
      <c r="Y285" s="3" t="s">
        <v>1860</v>
      </c>
      <c r="Z285" s="10">
        <v>0</v>
      </c>
      <c r="AA285" s="4"/>
    </row>
    <row r="286" spans="1:27" ht="25.5">
      <c r="A286" s="3" t="str">
        <f>B286&amp;"."&amp;TEXT(COUNTIF($B$5:B286,B286),"000")</f>
        <v>1.12.01.003</v>
      </c>
      <c r="B286" s="3" t="str">
        <f>IFERROR(INDEX('Work Packages'!$A$5:$A$200,MATCH(D286&amp;"|"&amp;E286,'Work Packages'!$P$5:$P$200,0)),"")</f>
        <v>1.12.01</v>
      </c>
      <c r="C286" s="3" t="str">
        <f>'FSL Source'!B286</f>
        <v>RPT-DASH-003</v>
      </c>
      <c r="D286" s="3" t="str">
        <f>'FSL Source'!C286</f>
        <v>Báo cáo &amp; Điều hành</v>
      </c>
      <c r="E286" s="3" t="str">
        <f>'FSL Source'!D286</f>
        <v>Dashboard lãnh đạo</v>
      </c>
      <c r="F286" s="4" t="str">
        <f>'FSL Source'!E286</f>
        <v>KPI</v>
      </c>
      <c r="G286" s="4" t="str">
        <f>'FSL Source'!F286</f>
        <v>KPI tiến độ và SLA</v>
      </c>
      <c r="H286" s="4" t="str">
        <f>'FSL Source'!G286</f>
        <v>Tỷ lệ đúng hạn, task quá hạn, thời gian phê duyệt và bottleneck.</v>
      </c>
      <c r="I286" s="3" t="str">
        <f>'FSL Source'!H286</f>
        <v>Lãnh đạo/Cán bộ KHCN</v>
      </c>
      <c r="J286" s="3" t="str">
        <f>'FSL Source'!I286</f>
        <v>Báo cáo</v>
      </c>
      <c r="K286" s="3" t="str">
        <f>'FSL Source'!J286</f>
        <v>RD09</v>
      </c>
      <c r="L286" s="3" t="str">
        <f>'FSL Source'!K286</f>
        <v>CAP-18</v>
      </c>
      <c r="M286" s="3" t="str">
        <f>'FSL Source'!L286</f>
        <v>Should</v>
      </c>
      <c r="N286" s="3" t="str">
        <f>'FSL Source'!M286</f>
        <v>Pha 2</v>
      </c>
      <c r="O286" s="3" t="str">
        <f>'FSL Source'!N286</f>
        <v>Đề xuất trong phạm vi</v>
      </c>
      <c r="P286" s="4" t="str">
        <f>'FSL Source'!O286</f>
        <v>Bổ sung</v>
      </c>
      <c r="Q286" s="4">
        <f>'FSL Source'!P286</f>
        <v>0</v>
      </c>
      <c r="R286" s="4">
        <f>'FSL Source'!Q286</f>
        <v>0</v>
      </c>
      <c r="S286" s="3"/>
      <c r="T286" s="3"/>
      <c r="U286" s="8"/>
      <c r="V286" s="8"/>
      <c r="W286" s="9"/>
      <c r="X286" s="9" t="str">
        <f t="shared" si="4"/>
        <v/>
      </c>
      <c r="Y286" s="3" t="s">
        <v>1860</v>
      </c>
      <c r="Z286" s="10">
        <v>0</v>
      </c>
      <c r="AA286" s="4"/>
    </row>
    <row r="287" spans="1:27" ht="25.5">
      <c r="A287" s="3" t="str">
        <f>B287&amp;"."&amp;TEXT(COUNTIF($B$5:B287,B287),"000")</f>
        <v>1.12.01.004</v>
      </c>
      <c r="B287" s="3" t="str">
        <f>IFERROR(INDEX('Work Packages'!$A$5:$A$200,MATCH(D287&amp;"|"&amp;E287,'Work Packages'!$P$5:$P$200,0)),"")</f>
        <v>1.12.01</v>
      </c>
      <c r="C287" s="3" t="str">
        <f>'FSL Source'!B287</f>
        <v>RPT-DASH-004</v>
      </c>
      <c r="D287" s="3" t="str">
        <f>'FSL Source'!C287</f>
        <v>Báo cáo &amp; Điều hành</v>
      </c>
      <c r="E287" s="3" t="str">
        <f>'FSL Source'!D287</f>
        <v>Dashboard lãnh đạo</v>
      </c>
      <c r="F287" s="4" t="str">
        <f>'FSL Source'!E287</f>
        <v>KPI</v>
      </c>
      <c r="G287" s="4" t="str">
        <f>'FSL Source'!F287</f>
        <v>KPI kinh phí</v>
      </c>
      <c r="H287" s="4" t="str">
        <f>'FSL Source'!G287</f>
        <v>Dự toán, giải ngân, thực chi, quyết toán và chênh lệch.</v>
      </c>
      <c r="I287" s="3" t="str">
        <f>'FSL Source'!H287</f>
        <v>Lãnh đạo/Cán bộ KHCN</v>
      </c>
      <c r="J287" s="3" t="str">
        <f>'FSL Source'!I287</f>
        <v>Báo cáo</v>
      </c>
      <c r="K287" s="3" t="str">
        <f>'FSL Source'!J287</f>
        <v>RD09</v>
      </c>
      <c r="L287" s="3" t="str">
        <f>'FSL Source'!K287</f>
        <v>CAP-18</v>
      </c>
      <c r="M287" s="3" t="str">
        <f>'FSL Source'!L287</f>
        <v>Should</v>
      </c>
      <c r="N287" s="3" t="str">
        <f>'FSL Source'!M287</f>
        <v>Pha 2</v>
      </c>
      <c r="O287" s="3" t="str">
        <f>'FSL Source'!N287</f>
        <v>Đề xuất trong phạm vi</v>
      </c>
      <c r="P287" s="4" t="str">
        <f>'FSL Source'!O287</f>
        <v>Bổ sung</v>
      </c>
      <c r="Q287" s="4">
        <f>'FSL Source'!P287</f>
        <v>0</v>
      </c>
      <c r="R287" s="4">
        <f>'FSL Source'!Q287</f>
        <v>0</v>
      </c>
      <c r="S287" s="3"/>
      <c r="T287" s="3"/>
      <c r="U287" s="8"/>
      <c r="V287" s="8"/>
      <c r="W287" s="9"/>
      <c r="X287" s="9" t="str">
        <f t="shared" si="4"/>
        <v/>
      </c>
      <c r="Y287" s="3" t="s">
        <v>1860</v>
      </c>
      <c r="Z287" s="10">
        <v>0</v>
      </c>
      <c r="AA287" s="4"/>
    </row>
    <row r="288" spans="1:27" ht="25.5">
      <c r="A288" s="3" t="str">
        <f>B288&amp;"."&amp;TEXT(COUNTIF($B$5:B288,B288),"000")</f>
        <v>1.12.01.005</v>
      </c>
      <c r="B288" s="3" t="str">
        <f>IFERROR(INDEX('Work Packages'!$A$5:$A$200,MATCH(D288&amp;"|"&amp;E288,'Work Packages'!$P$5:$P$200,0)),"")</f>
        <v>1.12.01</v>
      </c>
      <c r="C288" s="3" t="str">
        <f>'FSL Source'!B288</f>
        <v>RPT-DASH-005</v>
      </c>
      <c r="D288" s="3" t="str">
        <f>'FSL Source'!C288</f>
        <v>Báo cáo &amp; Điều hành</v>
      </c>
      <c r="E288" s="3" t="str">
        <f>'FSL Source'!D288</f>
        <v>Dashboard lãnh đạo</v>
      </c>
      <c r="F288" s="4" t="str">
        <f>'FSL Source'!E288</f>
        <v>KPI</v>
      </c>
      <c r="G288" s="4" t="str">
        <f>'FSL Source'!F288</f>
        <v>KPI nhân sự</v>
      </c>
      <c r="H288" s="4" t="str">
        <f>'FSL Source'!G288</f>
        <v>Phân bổ chủ nhiệm, thành viên, chuyên gia và tải công việc.</v>
      </c>
      <c r="I288" s="3" t="str">
        <f>'FSL Source'!H288</f>
        <v>Lãnh đạo/Cán bộ KHCN</v>
      </c>
      <c r="J288" s="3" t="str">
        <f>'FSL Source'!I288</f>
        <v>Báo cáo</v>
      </c>
      <c r="K288" s="3" t="str">
        <f>'FSL Source'!J288</f>
        <v>RD09</v>
      </c>
      <c r="L288" s="3" t="str">
        <f>'FSL Source'!K288</f>
        <v>CAP-18</v>
      </c>
      <c r="M288" s="3" t="str">
        <f>'FSL Source'!L288</f>
        <v>Should</v>
      </c>
      <c r="N288" s="3" t="str">
        <f>'FSL Source'!M288</f>
        <v>Pha 2</v>
      </c>
      <c r="O288" s="3" t="str">
        <f>'FSL Source'!N288</f>
        <v>Đề xuất trong phạm vi</v>
      </c>
      <c r="P288" s="4" t="str">
        <f>'FSL Source'!O288</f>
        <v>Bổ sung</v>
      </c>
      <c r="Q288" s="4">
        <f>'FSL Source'!P288</f>
        <v>0</v>
      </c>
      <c r="R288" s="4">
        <f>'FSL Source'!Q288</f>
        <v>0</v>
      </c>
      <c r="S288" s="3"/>
      <c r="T288" s="3"/>
      <c r="U288" s="8"/>
      <c r="V288" s="8"/>
      <c r="W288" s="9"/>
      <c r="X288" s="9" t="str">
        <f t="shared" si="4"/>
        <v/>
      </c>
      <c r="Y288" s="3" t="s">
        <v>1860</v>
      </c>
      <c r="Z288" s="10">
        <v>0</v>
      </c>
      <c r="AA288" s="4"/>
    </row>
    <row r="289" spans="1:27" ht="25.5">
      <c r="A289" s="3" t="str">
        <f>B289&amp;"."&amp;TEXT(COUNTIF($B$5:B289,B289),"000")</f>
        <v>1.12.01.006</v>
      </c>
      <c r="B289" s="3" t="str">
        <f>IFERROR(INDEX('Work Packages'!$A$5:$A$200,MATCH(D289&amp;"|"&amp;E289,'Work Packages'!$P$5:$P$200,0)),"")</f>
        <v>1.12.01</v>
      </c>
      <c r="C289" s="3" t="str">
        <f>'FSL Source'!B289</f>
        <v>RPT-DASH-006</v>
      </c>
      <c r="D289" s="3" t="str">
        <f>'FSL Source'!C289</f>
        <v>Báo cáo &amp; Điều hành</v>
      </c>
      <c r="E289" s="3" t="str">
        <f>'FSL Source'!D289</f>
        <v>Dashboard lãnh đạo</v>
      </c>
      <c r="F289" s="4" t="str">
        <f>'FSL Source'!E289</f>
        <v>KPI</v>
      </c>
      <c r="G289" s="4" t="str">
        <f>'FSL Source'!F289</f>
        <v>KPI sản phẩm/SHTT</v>
      </c>
      <c r="H289" s="4" t="str">
        <f>'FSL Source'!G289</f>
        <v>Sản phẩm cam kết/thực tế, bài báo, sáng chế và trạng thái bảo hộ.</v>
      </c>
      <c r="I289" s="3" t="str">
        <f>'FSL Source'!H289</f>
        <v>Lãnh đạo/Cán bộ KHCN</v>
      </c>
      <c r="J289" s="3" t="str">
        <f>'FSL Source'!I289</f>
        <v>Báo cáo</v>
      </c>
      <c r="K289" s="3" t="str">
        <f>'FSL Source'!J289</f>
        <v>RD09</v>
      </c>
      <c r="L289" s="3" t="str">
        <f>'FSL Source'!K289</f>
        <v>CAP-18</v>
      </c>
      <c r="M289" s="3" t="str">
        <f>'FSL Source'!L289</f>
        <v>Should</v>
      </c>
      <c r="N289" s="3" t="str">
        <f>'FSL Source'!M289</f>
        <v>Pha 2</v>
      </c>
      <c r="O289" s="3" t="str">
        <f>'FSL Source'!N289</f>
        <v>Đề xuất trong phạm vi</v>
      </c>
      <c r="P289" s="4" t="str">
        <f>'FSL Source'!O289</f>
        <v>Bổ sung</v>
      </c>
      <c r="Q289" s="4">
        <f>'FSL Source'!P289</f>
        <v>0</v>
      </c>
      <c r="R289" s="4">
        <f>'FSL Source'!Q289</f>
        <v>0</v>
      </c>
      <c r="S289" s="3"/>
      <c r="T289" s="3"/>
      <c r="U289" s="8"/>
      <c r="V289" s="8"/>
      <c r="W289" s="9"/>
      <c r="X289" s="9" t="str">
        <f t="shared" si="4"/>
        <v/>
      </c>
      <c r="Y289" s="3" t="s">
        <v>1860</v>
      </c>
      <c r="Z289" s="10">
        <v>0</v>
      </c>
      <c r="AA289" s="4"/>
    </row>
    <row r="290" spans="1:27" ht="25.5">
      <c r="A290" s="3" t="str">
        <f>B290&amp;"."&amp;TEXT(COUNTIF($B$5:B290,B290),"000")</f>
        <v>1.12.01.007</v>
      </c>
      <c r="B290" s="3" t="str">
        <f>IFERROR(INDEX('Work Packages'!$A$5:$A$200,MATCH(D290&amp;"|"&amp;E290,'Work Packages'!$P$5:$P$200,0)),"")</f>
        <v>1.12.01</v>
      </c>
      <c r="C290" s="3" t="str">
        <f>'FSL Source'!B290</f>
        <v>RPT-DASH-007</v>
      </c>
      <c r="D290" s="3" t="str">
        <f>'FSL Source'!C290</f>
        <v>Báo cáo &amp; Điều hành</v>
      </c>
      <c r="E290" s="3" t="str">
        <f>'FSL Source'!D290</f>
        <v>Dashboard lãnh đạo</v>
      </c>
      <c r="F290" s="4" t="str">
        <f>'FSL Source'!E290</f>
        <v>KPI</v>
      </c>
      <c r="G290" s="4" t="str">
        <f>'FSL Source'!F290</f>
        <v>Cảnh báo điều hành</v>
      </c>
      <c r="H290" s="4" t="str">
        <f>'FSL Source'!G290</f>
        <v>Nhiệm vụ trễ, vượt dự toán, hồ sơ thiếu, hội đồng chậm và tích hợp lỗi.</v>
      </c>
      <c r="I290" s="3" t="str">
        <f>'FSL Source'!H290</f>
        <v>Lãnh đạo/Cán bộ KHCN</v>
      </c>
      <c r="J290" s="3" t="str">
        <f>'FSL Source'!I290</f>
        <v>Báo cáo</v>
      </c>
      <c r="K290" s="3" t="str">
        <f>'FSL Source'!J290</f>
        <v>RD09</v>
      </c>
      <c r="L290" s="3" t="str">
        <f>'FSL Source'!K290</f>
        <v>CAP-17</v>
      </c>
      <c r="M290" s="3" t="str">
        <f>'FSL Source'!L290</f>
        <v>Should</v>
      </c>
      <c r="N290" s="3" t="str">
        <f>'FSL Source'!M290</f>
        <v>Pha 2</v>
      </c>
      <c r="O290" s="3" t="str">
        <f>'FSL Source'!N290</f>
        <v>Đề xuất trong phạm vi</v>
      </c>
      <c r="P290" s="4" t="str">
        <f>'FSL Source'!O290</f>
        <v>Bổ sung</v>
      </c>
      <c r="Q290" s="4">
        <f>'FSL Source'!P290</f>
        <v>0</v>
      </c>
      <c r="R290" s="4">
        <f>'FSL Source'!Q290</f>
        <v>0</v>
      </c>
      <c r="S290" s="3"/>
      <c r="T290" s="3"/>
      <c r="U290" s="8"/>
      <c r="V290" s="8"/>
      <c r="W290" s="9"/>
      <c r="X290" s="9" t="str">
        <f t="shared" si="4"/>
        <v/>
      </c>
      <c r="Y290" s="3" t="s">
        <v>1860</v>
      </c>
      <c r="Z290" s="10">
        <v>0</v>
      </c>
      <c r="AA290" s="4"/>
    </row>
    <row r="291" spans="1:27" ht="25.5">
      <c r="A291" s="3" t="str">
        <f>B291&amp;"."&amp;TEXT(COUNTIF($B$5:B291,B291),"000")</f>
        <v>1.12.02.001</v>
      </c>
      <c r="B291" s="3" t="str">
        <f>IFERROR(INDEX('Work Packages'!$A$5:$A$200,MATCH(D291&amp;"|"&amp;E291,'Work Packages'!$P$5:$P$200,0)),"")</f>
        <v>1.12.02</v>
      </c>
      <c r="C291" s="3" t="str">
        <f>'FSL Source'!B291</f>
        <v>RPT-REPORT-001</v>
      </c>
      <c r="D291" s="3" t="str">
        <f>'FSL Source'!C291</f>
        <v>Báo cáo &amp; Điều hành</v>
      </c>
      <c r="E291" s="3" t="str">
        <f>'FSL Source'!D291</f>
        <v>Báo cáo nghiệp vụ</v>
      </c>
      <c r="F291" s="4" t="str">
        <f>'FSL Source'!E291</f>
        <v>Báo cáo chuẩn</v>
      </c>
      <c r="G291" s="4" t="str">
        <f>'FSL Source'!F291</f>
        <v>Danh mục báo cáo chuẩn RD09</v>
      </c>
      <c r="H291" s="4" t="str">
        <f>'FSL Source'!G291</f>
        <v>Cung cấp báo cáo tổng hợp nhiệm vụ, hồ sơ, tiến độ, kinh phí, nhân sự, sản phẩm và phê duyệt.</v>
      </c>
      <c r="I291" s="3" t="str">
        <f>'FSL Source'!H291</f>
        <v>Cán bộ KHCN/Lãnh đạo</v>
      </c>
      <c r="J291" s="3" t="str">
        <f>'FSL Source'!I291</f>
        <v>Báo cáo</v>
      </c>
      <c r="K291" s="3" t="str">
        <f>'FSL Source'!J291</f>
        <v>RD09</v>
      </c>
      <c r="L291" s="3" t="str">
        <f>'FSL Source'!K291</f>
        <v>CAP-18</v>
      </c>
      <c r="M291" s="3" t="str">
        <f>'FSL Source'!L291</f>
        <v>Must</v>
      </c>
      <c r="N291" s="3" t="str">
        <f>'FSL Source'!M291</f>
        <v>Pha 2</v>
      </c>
      <c r="O291" s="3" t="str">
        <f>'FSL Source'!N291</f>
        <v>Đề xuất trong phạm vi</v>
      </c>
      <c r="P291" s="4" t="str">
        <f>'FSL Source'!O291</f>
        <v>Bổ sung</v>
      </c>
      <c r="Q291" s="4">
        <f>'FSL Source'!P291</f>
        <v>0</v>
      </c>
      <c r="R291" s="4">
        <f>'FSL Source'!Q291</f>
        <v>0</v>
      </c>
      <c r="S291" s="3"/>
      <c r="T291" s="3"/>
      <c r="U291" s="8"/>
      <c r="V291" s="8"/>
      <c r="W291" s="9"/>
      <c r="X291" s="9" t="str">
        <f t="shared" si="4"/>
        <v/>
      </c>
      <c r="Y291" s="3" t="s">
        <v>1860</v>
      </c>
      <c r="Z291" s="10">
        <v>0</v>
      </c>
      <c r="AA291" s="4"/>
    </row>
    <row r="292" spans="1:27" ht="25.5">
      <c r="A292" s="3" t="str">
        <f>B292&amp;"."&amp;TEXT(COUNTIF($B$5:B292,B292),"000")</f>
        <v>1.12.02.002</v>
      </c>
      <c r="B292" s="3" t="str">
        <f>IFERROR(INDEX('Work Packages'!$A$5:$A$200,MATCH(D292&amp;"|"&amp;E292,'Work Packages'!$P$5:$P$200,0)),"")</f>
        <v>1.12.02</v>
      </c>
      <c r="C292" s="3" t="str">
        <f>'FSL Source'!B292</f>
        <v>RPT-REPORT-002</v>
      </c>
      <c r="D292" s="3" t="str">
        <f>'FSL Source'!C292</f>
        <v>Báo cáo &amp; Điều hành</v>
      </c>
      <c r="E292" s="3" t="str">
        <f>'FSL Source'!D292</f>
        <v>Báo cáo nghiệp vụ</v>
      </c>
      <c r="F292" s="4" t="str">
        <f>'FSL Source'!E292</f>
        <v>Bộ lọc</v>
      </c>
      <c r="G292" s="4" t="str">
        <f>'FSL Source'!F292</f>
        <v>Lọc, nhóm và drill-down báo cáo</v>
      </c>
      <c r="H292" s="4" t="str">
        <f>'FSL Source'!G292</f>
        <v>Áp dụng thời gian, đơn vị, lĩnh vực, cấp nhiệm vụ, trạng thái và quyền dữ liệu.</v>
      </c>
      <c r="I292" s="3" t="str">
        <f>'FSL Source'!H292</f>
        <v>Người xem báo cáo</v>
      </c>
      <c r="J292" s="3" t="str">
        <f>'FSL Source'!I292</f>
        <v>Báo cáo</v>
      </c>
      <c r="K292" s="3" t="str">
        <f>'FSL Source'!J292</f>
        <v>RD09</v>
      </c>
      <c r="L292" s="3" t="str">
        <f>'FSL Source'!K292</f>
        <v>CAP-18</v>
      </c>
      <c r="M292" s="3" t="str">
        <f>'FSL Source'!L292</f>
        <v>Must</v>
      </c>
      <c r="N292" s="3" t="str">
        <f>'FSL Source'!M292</f>
        <v>Pha 2</v>
      </c>
      <c r="O292" s="3" t="str">
        <f>'FSL Source'!N292</f>
        <v>Đề xuất trong phạm vi</v>
      </c>
      <c r="P292" s="4" t="str">
        <f>'FSL Source'!O292</f>
        <v>Bổ sung</v>
      </c>
      <c r="Q292" s="4">
        <f>'FSL Source'!P292</f>
        <v>0</v>
      </c>
      <c r="R292" s="4">
        <f>'FSL Source'!Q292</f>
        <v>0</v>
      </c>
      <c r="S292" s="3"/>
      <c r="T292" s="3"/>
      <c r="U292" s="8"/>
      <c r="V292" s="8"/>
      <c r="W292" s="9"/>
      <c r="X292" s="9" t="str">
        <f t="shared" si="4"/>
        <v/>
      </c>
      <c r="Y292" s="3" t="s">
        <v>1860</v>
      </c>
      <c r="Z292" s="10">
        <v>0</v>
      </c>
      <c r="AA292" s="4"/>
    </row>
    <row r="293" spans="1:27" ht="25.5">
      <c r="A293" s="3" t="str">
        <f>B293&amp;"."&amp;TEXT(COUNTIF($B$5:B293,B293),"000")</f>
        <v>1.12.02.003</v>
      </c>
      <c r="B293" s="3" t="str">
        <f>IFERROR(INDEX('Work Packages'!$A$5:$A$200,MATCH(D293&amp;"|"&amp;E293,'Work Packages'!$P$5:$P$200,0)),"")</f>
        <v>1.12.02</v>
      </c>
      <c r="C293" s="3" t="str">
        <f>'FSL Source'!B293</f>
        <v>RPT-REPORT-003</v>
      </c>
      <c r="D293" s="3" t="str">
        <f>'FSL Source'!C293</f>
        <v>Báo cáo &amp; Điều hành</v>
      </c>
      <c r="E293" s="3" t="str">
        <f>'FSL Source'!D293</f>
        <v>Báo cáo nghiệp vụ</v>
      </c>
      <c r="F293" s="4" t="str">
        <f>'FSL Source'!E293</f>
        <v>Kết xuất</v>
      </c>
      <c r="G293" s="4" t="str">
        <f>'FSL Source'!F293</f>
        <v>Xuất Excel/PDF và lập lịch gửi báo cáo</v>
      </c>
      <c r="H293" s="4" t="str">
        <f>'FSL Source'!G293</f>
        <v>Kết xuất đúng dữ liệu theo quyền, lưu cấu hình và gửi định kỳ.</v>
      </c>
      <c r="I293" s="3" t="str">
        <f>'FSL Source'!H293</f>
        <v>Người xem báo cáo</v>
      </c>
      <c r="J293" s="3" t="str">
        <f>'FSL Source'!I293</f>
        <v>Báo cáo</v>
      </c>
      <c r="K293" s="3" t="str">
        <f>'FSL Source'!J293</f>
        <v>RD09</v>
      </c>
      <c r="L293" s="3" t="str">
        <f>'FSL Source'!K293</f>
        <v>CAP-18</v>
      </c>
      <c r="M293" s="3" t="str">
        <f>'FSL Source'!L293</f>
        <v>Should</v>
      </c>
      <c r="N293" s="3" t="str">
        <f>'FSL Source'!M293</f>
        <v>Pha 2</v>
      </c>
      <c r="O293" s="3" t="str">
        <f>'FSL Source'!N293</f>
        <v>Đề xuất trong phạm vi</v>
      </c>
      <c r="P293" s="4" t="str">
        <f>'FSL Source'!O293</f>
        <v>Bổ sung</v>
      </c>
      <c r="Q293" s="4">
        <f>'FSL Source'!P293</f>
        <v>0</v>
      </c>
      <c r="R293" s="4">
        <f>'FSL Source'!Q293</f>
        <v>0</v>
      </c>
      <c r="S293" s="3"/>
      <c r="T293" s="3"/>
      <c r="U293" s="8"/>
      <c r="V293" s="8"/>
      <c r="W293" s="9"/>
      <c r="X293" s="9" t="str">
        <f t="shared" si="4"/>
        <v/>
      </c>
      <c r="Y293" s="3" t="s">
        <v>1860</v>
      </c>
      <c r="Z293" s="10">
        <v>0</v>
      </c>
      <c r="AA293" s="4"/>
    </row>
    <row r="294" spans="1:27" ht="25.5">
      <c r="A294" s="3" t="str">
        <f>B294&amp;"."&amp;TEXT(COUNTIF($B$5:B294,B294),"000")</f>
        <v>1.13.01.001</v>
      </c>
      <c r="B294" s="3" t="str">
        <f>IFERROR(INDEX('Work Packages'!$A$5:$A$200,MATCH(D294&amp;"|"&amp;E294,'Work Packages'!$P$5:$P$200,0)),"")</f>
        <v>1.13.01</v>
      </c>
      <c r="C294" s="3" t="str">
        <f>'FSL Source'!B294</f>
        <v>ARC-LEGAL-001</v>
      </c>
      <c r="D294" s="3" t="str">
        <f>'FSL Source'!C294</f>
        <v>Lưu trữ, Pháp lý &amp; Tra cứu</v>
      </c>
      <c r="E294" s="3" t="str">
        <f>'FSL Source'!D294</f>
        <v>Hồ sơ pháp lý</v>
      </c>
      <c r="F294" s="4" t="str">
        <f>'FSL Source'!E294</f>
        <v>Hồ sơ pháp lý</v>
      </c>
      <c r="G294" s="4" t="str">
        <f>'FSL Source'!F294</f>
        <v>Xem danh sách Hồ sơ pháp lý</v>
      </c>
      <c r="H294" s="4" t="str">
        <f>'FSL Source'!G294</f>
        <v>Tra cứu danh sách, phân trang, sắp xếp và lọc Hồ sơ pháp lý theo các tiêu chí nghiệp vụ.</v>
      </c>
      <c r="I294" s="3" t="str">
        <f>'FSL Source'!H294</f>
        <v>Cán bộ KHCN/Pháp chế</v>
      </c>
      <c r="J294" s="3" t="str">
        <f>'FSL Source'!I294</f>
        <v>Nghiệp vụ</v>
      </c>
      <c r="K294" s="3" t="str">
        <f>'FSL Source'!J294</f>
        <v>RD10</v>
      </c>
      <c r="L294" s="3" t="str">
        <f>'FSL Source'!K294</f>
        <v>CAP-06</v>
      </c>
      <c r="M294" s="3" t="str">
        <f>'FSL Source'!L294</f>
        <v>Must</v>
      </c>
      <c r="N294" s="3" t="str">
        <f>'FSL Source'!M294</f>
        <v>Pha 1</v>
      </c>
      <c r="O294" s="3" t="str">
        <f>'FSL Source'!N294</f>
        <v>Đề xuất trong phạm vi</v>
      </c>
      <c r="P294" s="4" t="str">
        <f>'FSL Source'!O294</f>
        <v>Hiệu chỉnh theo BRD 0.9</v>
      </c>
      <c r="Q294" s="4" t="str">
        <f>'FSL Source'!P294</f>
        <v>Danh sách hiển thị đúng phạm vi dữ liệu và hỗ trợ lọc/xuất theo quyền.</v>
      </c>
      <c r="R294" s="4">
        <f>'FSL Source'!Q294</f>
        <v>0</v>
      </c>
      <c r="S294" s="3"/>
      <c r="T294" s="3"/>
      <c r="U294" s="8"/>
      <c r="V294" s="8"/>
      <c r="W294" s="9"/>
      <c r="X294" s="9" t="str">
        <f t="shared" si="4"/>
        <v/>
      </c>
      <c r="Y294" s="3" t="s">
        <v>1860</v>
      </c>
      <c r="Z294" s="10">
        <v>0</v>
      </c>
      <c r="AA294" s="4"/>
    </row>
    <row r="295" spans="1:27" ht="25.5">
      <c r="A295" s="3" t="str">
        <f>B295&amp;"."&amp;TEXT(COUNTIF($B$5:B295,B295),"000")</f>
        <v>1.13.01.002</v>
      </c>
      <c r="B295" s="3" t="str">
        <f>IFERROR(INDEX('Work Packages'!$A$5:$A$200,MATCH(D295&amp;"|"&amp;E295,'Work Packages'!$P$5:$P$200,0)),"")</f>
        <v>1.13.01</v>
      </c>
      <c r="C295" s="3" t="str">
        <f>'FSL Source'!B295</f>
        <v>ARC-LEGAL-002</v>
      </c>
      <c r="D295" s="3" t="str">
        <f>'FSL Source'!C295</f>
        <v>Lưu trữ, Pháp lý &amp; Tra cứu</v>
      </c>
      <c r="E295" s="3" t="str">
        <f>'FSL Source'!D295</f>
        <v>Hồ sơ pháp lý</v>
      </c>
      <c r="F295" s="4" t="str">
        <f>'FSL Source'!E295</f>
        <v>Hồ sơ pháp lý</v>
      </c>
      <c r="G295" s="4" t="str">
        <f>'FSL Source'!F295</f>
        <v>Tạo mới Hồ sơ pháp lý</v>
      </c>
      <c r="H295" s="4" t="str">
        <f>'FSL Source'!G295</f>
        <v>Khởi tạo Hồ sơ pháp lý, kiểm tra dữ liệu bắt buộc và lưu nháp trước khi hoàn tất.</v>
      </c>
      <c r="I295" s="3" t="str">
        <f>'FSL Source'!H295</f>
        <v>Cán bộ KHCN/Pháp chế</v>
      </c>
      <c r="J295" s="3" t="str">
        <f>'FSL Source'!I295</f>
        <v>Nghiệp vụ</v>
      </c>
      <c r="K295" s="3" t="str">
        <f>'FSL Source'!J295</f>
        <v>RD10</v>
      </c>
      <c r="L295" s="3" t="str">
        <f>'FSL Source'!K295</f>
        <v>CAP-06</v>
      </c>
      <c r="M295" s="3" t="str">
        <f>'FSL Source'!L295</f>
        <v>Must</v>
      </c>
      <c r="N295" s="3" t="str">
        <f>'FSL Source'!M295</f>
        <v>Pha 1</v>
      </c>
      <c r="O295" s="3" t="str">
        <f>'FSL Source'!N295</f>
        <v>Đề xuất trong phạm vi</v>
      </c>
      <c r="P295" s="4" t="str">
        <f>'FSL Source'!O295</f>
        <v>Hiệu chỉnh theo BRD 0.9</v>
      </c>
      <c r="Q295" s="4" t="str">
        <f>'FSL Source'!P295</f>
        <v>Dữ liệu hợp lệ được lưu; lỗi validation hiển thị tại trường tương ứng.</v>
      </c>
      <c r="R295" s="4">
        <f>'FSL Source'!Q295</f>
        <v>0</v>
      </c>
      <c r="S295" s="3"/>
      <c r="T295" s="3"/>
      <c r="U295" s="8"/>
      <c r="V295" s="8"/>
      <c r="W295" s="9"/>
      <c r="X295" s="9" t="str">
        <f t="shared" si="4"/>
        <v/>
      </c>
      <c r="Y295" s="3" t="s">
        <v>1860</v>
      </c>
      <c r="Z295" s="10">
        <v>0</v>
      </c>
      <c r="AA295" s="4"/>
    </row>
    <row r="296" spans="1:27" ht="25.5">
      <c r="A296" s="3" t="str">
        <f>B296&amp;"."&amp;TEXT(COUNTIF($B$5:B296,B296),"000")</f>
        <v>1.13.01.003</v>
      </c>
      <c r="B296" s="3" t="str">
        <f>IFERROR(INDEX('Work Packages'!$A$5:$A$200,MATCH(D296&amp;"|"&amp;E296,'Work Packages'!$P$5:$P$200,0)),"")</f>
        <v>1.13.01</v>
      </c>
      <c r="C296" s="3" t="str">
        <f>'FSL Source'!B296</f>
        <v>ARC-LEGAL-003</v>
      </c>
      <c r="D296" s="3" t="str">
        <f>'FSL Source'!C296</f>
        <v>Lưu trữ, Pháp lý &amp; Tra cứu</v>
      </c>
      <c r="E296" s="3" t="str">
        <f>'FSL Source'!D296</f>
        <v>Hồ sơ pháp lý</v>
      </c>
      <c r="F296" s="4" t="str">
        <f>'FSL Source'!E296</f>
        <v>Hồ sơ pháp lý</v>
      </c>
      <c r="G296" s="4" t="str">
        <f>'FSL Source'!F296</f>
        <v>Xem chi tiết Hồ sơ pháp lý</v>
      </c>
      <c r="H296" s="4" t="str">
        <f>'FSL Source'!G296</f>
        <v>Hiển thị thông tin tổng quan, dữ liệu chi tiết, tài liệu liên quan và trạng thái của Hồ sơ pháp lý.</v>
      </c>
      <c r="I296" s="3" t="str">
        <f>'FSL Source'!H296</f>
        <v>Cán bộ KHCN/Pháp chế</v>
      </c>
      <c r="J296" s="3" t="str">
        <f>'FSL Source'!I296</f>
        <v>Nghiệp vụ</v>
      </c>
      <c r="K296" s="3" t="str">
        <f>'FSL Source'!J296</f>
        <v>RD10</v>
      </c>
      <c r="L296" s="3" t="str">
        <f>'FSL Source'!K296</f>
        <v>CAP-06</v>
      </c>
      <c r="M296" s="3" t="str">
        <f>'FSL Source'!L296</f>
        <v>Must</v>
      </c>
      <c r="N296" s="3" t="str">
        <f>'FSL Source'!M296</f>
        <v>Pha 1</v>
      </c>
      <c r="O296" s="3" t="str">
        <f>'FSL Source'!N296</f>
        <v>Đề xuất trong phạm vi</v>
      </c>
      <c r="P296" s="4" t="str">
        <f>'FSL Source'!O296</f>
        <v>Hiệu chỉnh theo BRD 0.9</v>
      </c>
      <c r="Q296" s="4" t="str">
        <f>'FSL Source'!P296</f>
        <v>Thông tin hiển thị đúng phiên bản và quyền truy cập.</v>
      </c>
      <c r="R296" s="4">
        <f>'FSL Source'!Q296</f>
        <v>0</v>
      </c>
      <c r="S296" s="3"/>
      <c r="T296" s="3"/>
      <c r="U296" s="8"/>
      <c r="V296" s="8"/>
      <c r="W296" s="9"/>
      <c r="X296" s="9" t="str">
        <f t="shared" si="4"/>
        <v/>
      </c>
      <c r="Y296" s="3" t="s">
        <v>1860</v>
      </c>
      <c r="Z296" s="10">
        <v>0</v>
      </c>
      <c r="AA296" s="4"/>
    </row>
    <row r="297" spans="1:27" ht="25.5">
      <c r="A297" s="3" t="str">
        <f>B297&amp;"."&amp;TEXT(COUNTIF($B$5:B297,B297),"000")</f>
        <v>1.13.01.004</v>
      </c>
      <c r="B297" s="3" t="str">
        <f>IFERROR(INDEX('Work Packages'!$A$5:$A$200,MATCH(D297&amp;"|"&amp;E297,'Work Packages'!$P$5:$P$200,0)),"")</f>
        <v>1.13.01</v>
      </c>
      <c r="C297" s="3" t="str">
        <f>'FSL Source'!B297</f>
        <v>ARC-LEGAL-004</v>
      </c>
      <c r="D297" s="3" t="str">
        <f>'FSL Source'!C297</f>
        <v>Lưu trữ, Pháp lý &amp; Tra cứu</v>
      </c>
      <c r="E297" s="3" t="str">
        <f>'FSL Source'!D297</f>
        <v>Hồ sơ pháp lý</v>
      </c>
      <c r="F297" s="4" t="str">
        <f>'FSL Source'!E297</f>
        <v>Hồ sơ pháp lý</v>
      </c>
      <c r="G297" s="4" t="str">
        <f>'FSL Source'!F297</f>
        <v>Chỉnh sửa Hồ sơ pháp lý</v>
      </c>
      <c r="H297" s="4" t="str">
        <f>'FSL Source'!G297</f>
        <v>Cập nhật Hồ sơ pháp lý khi trạng thái và quyền người dùng cho phép; kiểm soát xung đột cập nhật.</v>
      </c>
      <c r="I297" s="3" t="str">
        <f>'FSL Source'!H297</f>
        <v>Cán bộ KHCN/Pháp chế</v>
      </c>
      <c r="J297" s="3" t="str">
        <f>'FSL Source'!I297</f>
        <v>Nghiệp vụ</v>
      </c>
      <c r="K297" s="3" t="str">
        <f>'FSL Source'!J297</f>
        <v>RD10</v>
      </c>
      <c r="L297" s="3" t="str">
        <f>'FSL Source'!K297</f>
        <v>CAP-06</v>
      </c>
      <c r="M297" s="3" t="str">
        <f>'FSL Source'!L297</f>
        <v>Must</v>
      </c>
      <c r="N297" s="3" t="str">
        <f>'FSL Source'!M297</f>
        <v>Pha 1</v>
      </c>
      <c r="O297" s="3" t="str">
        <f>'FSL Source'!N297</f>
        <v>Đề xuất trong phạm vi</v>
      </c>
      <c r="P297" s="4" t="str">
        <f>'FSL Source'!O297</f>
        <v>Hiệu chỉnh theo BRD 0.9</v>
      </c>
      <c r="Q297" s="4" t="str">
        <f>'FSL Source'!P297</f>
        <v>Chỉ trường được phép sửa có hiệu lực và thay đổi được ghi lịch sử.</v>
      </c>
      <c r="R297" s="4">
        <f>'FSL Source'!Q297</f>
        <v>0</v>
      </c>
      <c r="S297" s="3"/>
      <c r="T297" s="3"/>
      <c r="U297" s="8"/>
      <c r="V297" s="8"/>
      <c r="W297" s="9"/>
      <c r="X297" s="9" t="str">
        <f t="shared" si="4"/>
        <v/>
      </c>
      <c r="Y297" s="3" t="s">
        <v>1860</v>
      </c>
      <c r="Z297" s="10">
        <v>0</v>
      </c>
      <c r="AA297" s="4"/>
    </row>
    <row r="298" spans="1:27" ht="25.5">
      <c r="A298" s="3" t="str">
        <f>B298&amp;"."&amp;TEXT(COUNTIF($B$5:B298,B298),"000")</f>
        <v>1.13.01.005</v>
      </c>
      <c r="B298" s="3" t="str">
        <f>IFERROR(INDEX('Work Packages'!$A$5:$A$200,MATCH(D298&amp;"|"&amp;E298,'Work Packages'!$P$5:$P$200,0)),"")</f>
        <v>1.13.01</v>
      </c>
      <c r="C298" s="3" t="str">
        <f>'FSL Source'!B298</f>
        <v>ARC-LEGAL-005</v>
      </c>
      <c r="D298" s="3" t="str">
        <f>'FSL Source'!C298</f>
        <v>Lưu trữ, Pháp lý &amp; Tra cứu</v>
      </c>
      <c r="E298" s="3" t="str">
        <f>'FSL Source'!D298</f>
        <v>Hồ sơ pháp lý</v>
      </c>
      <c r="F298" s="4" t="str">
        <f>'FSL Source'!E298</f>
        <v>Hồ sơ pháp lý</v>
      </c>
      <c r="G298" s="4" t="str">
        <f>'FSL Source'!F298</f>
        <v>Xóa/Ngừng sử dụng Hồ sơ pháp lý</v>
      </c>
      <c r="H298" s="4" t="str">
        <f>'FSL Source'!G298</f>
        <v>Xóa logic hoặc ngừng sử dụng Hồ sơ pháp lý sau khi kiểm tra ràng buộc tham chiếu.</v>
      </c>
      <c r="I298" s="3" t="str">
        <f>'FSL Source'!H298</f>
        <v>Quản trị/Cán bộ nghiệp vụ</v>
      </c>
      <c r="J298" s="3" t="str">
        <f>'FSL Source'!I298</f>
        <v>Nghiệp vụ</v>
      </c>
      <c r="K298" s="3" t="str">
        <f>'FSL Source'!J298</f>
        <v>RD10</v>
      </c>
      <c r="L298" s="3" t="str">
        <f>'FSL Source'!K298</f>
        <v>CAP-06</v>
      </c>
      <c r="M298" s="3" t="str">
        <f>'FSL Source'!L298</f>
        <v>Should</v>
      </c>
      <c r="N298" s="3" t="str">
        <f>'FSL Source'!M298</f>
        <v>Pha 1</v>
      </c>
      <c r="O298" s="3" t="str">
        <f>'FSL Source'!N298</f>
        <v>Đề xuất trong phạm vi</v>
      </c>
      <c r="P298" s="4" t="str">
        <f>'FSL Source'!O298</f>
        <v>Hiệu chỉnh theo BRD 0.9</v>
      </c>
      <c r="Q298" s="4" t="str">
        <f>'FSL Source'!P298</f>
        <v>Không xóa vật lý dữ liệu đã phát sinh giao dịch; cảnh báo rõ quan hệ phụ thuộc.</v>
      </c>
      <c r="R298" s="4">
        <f>'FSL Source'!Q298</f>
        <v>0</v>
      </c>
      <c r="S298" s="3"/>
      <c r="T298" s="3"/>
      <c r="U298" s="8"/>
      <c r="V298" s="8"/>
      <c r="W298" s="9"/>
      <c r="X298" s="9" t="str">
        <f t="shared" si="4"/>
        <v/>
      </c>
      <c r="Y298" s="3" t="s">
        <v>1860</v>
      </c>
      <c r="Z298" s="10">
        <v>0</v>
      </c>
      <c r="AA298" s="4"/>
    </row>
    <row r="299" spans="1:27" ht="25.5">
      <c r="A299" s="3" t="str">
        <f>B299&amp;"."&amp;TEXT(COUNTIF($B$5:B299,B299),"000")</f>
        <v>1.13.01.006</v>
      </c>
      <c r="B299" s="3" t="str">
        <f>IFERROR(INDEX('Work Packages'!$A$5:$A$200,MATCH(D299&amp;"|"&amp;E299,'Work Packages'!$P$5:$P$200,0)),"")</f>
        <v>1.13.01</v>
      </c>
      <c r="C299" s="3" t="str">
        <f>'FSL Source'!B299</f>
        <v>ARC-LEGAL-006</v>
      </c>
      <c r="D299" s="3" t="str">
        <f>'FSL Source'!C299</f>
        <v>Lưu trữ, Pháp lý &amp; Tra cứu</v>
      </c>
      <c r="E299" s="3" t="str">
        <f>'FSL Source'!D299</f>
        <v>Hồ sơ pháp lý</v>
      </c>
      <c r="F299" s="4" t="str">
        <f>'FSL Source'!E299</f>
        <v>Hồ sơ pháp lý</v>
      </c>
      <c r="G299" s="4" t="str">
        <f>'FSL Source'!F299</f>
        <v>Trình duyệt Hồ sơ pháp lý</v>
      </c>
      <c r="H299" s="4" t="str">
        <f>'FSL Source'!G299</f>
        <v>Kiểm tra điều kiện, khóa phiên bản trình và khởi tạo/tiếp tục quy trình phê duyệt Hồ sơ pháp lý.</v>
      </c>
      <c r="I299" s="3" t="str">
        <f>'FSL Source'!H299</f>
        <v>Người lập/Chủ nhiệm nhiệm vụ</v>
      </c>
      <c r="J299" s="3" t="str">
        <f>'FSL Source'!I299</f>
        <v>Workflow</v>
      </c>
      <c r="K299" s="3" t="str">
        <f>'FSL Source'!J299</f>
        <v>RD10</v>
      </c>
      <c r="L299" s="3" t="str">
        <f>'FSL Source'!K299</f>
        <v>CAP-06</v>
      </c>
      <c r="M299" s="3" t="str">
        <f>'FSL Source'!L299</f>
        <v>Must</v>
      </c>
      <c r="N299" s="3" t="str">
        <f>'FSL Source'!M299</f>
        <v>Pha 1</v>
      </c>
      <c r="O299" s="3" t="str">
        <f>'FSL Source'!N299</f>
        <v>Đề xuất trong phạm vi</v>
      </c>
      <c r="P299" s="4" t="str">
        <f>'FSL Source'!O299</f>
        <v>Hiệu chỉnh theo BRD 0.9</v>
      </c>
      <c r="Q299" s="4" t="str">
        <f>'FSL Source'!P299</f>
        <v>Tạo đúng process instance, business key và task đầu tiên; không submit trùng.</v>
      </c>
      <c r="R299" s="4">
        <f>'FSL Source'!Q299</f>
        <v>0</v>
      </c>
      <c r="S299" s="3"/>
      <c r="T299" s="3"/>
      <c r="U299" s="8"/>
      <c r="V299" s="8"/>
      <c r="W299" s="9"/>
      <c r="X299" s="9" t="str">
        <f t="shared" si="4"/>
        <v/>
      </c>
      <c r="Y299" s="3" t="s">
        <v>1860</v>
      </c>
      <c r="Z299" s="10">
        <v>0</v>
      </c>
      <c r="AA299" s="4"/>
    </row>
    <row r="300" spans="1:27" ht="25.5">
      <c r="A300" s="3" t="str">
        <f>B300&amp;"."&amp;TEXT(COUNTIF($B$5:B300,B300),"000")</f>
        <v>1.13.01.007</v>
      </c>
      <c r="B300" s="3" t="str">
        <f>IFERROR(INDEX('Work Packages'!$A$5:$A$200,MATCH(D300&amp;"|"&amp;E300,'Work Packages'!$P$5:$P$200,0)),"")</f>
        <v>1.13.01</v>
      </c>
      <c r="C300" s="3" t="str">
        <f>'FSL Source'!B300</f>
        <v>ARC-LEGAL-007</v>
      </c>
      <c r="D300" s="3" t="str">
        <f>'FSL Source'!C300</f>
        <v>Lưu trữ, Pháp lý &amp; Tra cứu</v>
      </c>
      <c r="E300" s="3" t="str">
        <f>'FSL Source'!D300</f>
        <v>Hồ sơ pháp lý</v>
      </c>
      <c r="F300" s="4" t="str">
        <f>'FSL Source'!E300</f>
        <v>Hồ sơ pháp lý</v>
      </c>
      <c r="G300" s="4" t="str">
        <f>'FSL Source'!F300</f>
        <v>Xem lịch sử Hồ sơ pháp lý</v>
      </c>
      <c r="H300" s="4" t="str">
        <f>'FSL Source'!G300</f>
        <v>Theo dõi phiên bản, thay đổi dữ liệu, người thực hiện và lịch sử xử lý của Hồ sơ pháp lý.</v>
      </c>
      <c r="I300" s="3" t="str">
        <f>'FSL Source'!H300</f>
        <v>Cán bộ nghiệp vụ/Quản trị</v>
      </c>
      <c r="J300" s="3" t="str">
        <f>'FSL Source'!I300</f>
        <v>Audit</v>
      </c>
      <c r="K300" s="3" t="str">
        <f>'FSL Source'!J300</f>
        <v>RD10</v>
      </c>
      <c r="L300" s="3" t="str">
        <f>'FSL Source'!K300</f>
        <v>CAP-06</v>
      </c>
      <c r="M300" s="3" t="str">
        <f>'FSL Source'!L300</f>
        <v>Must</v>
      </c>
      <c r="N300" s="3" t="str">
        <f>'FSL Source'!M300</f>
        <v>Pha 1</v>
      </c>
      <c r="O300" s="3" t="str">
        <f>'FSL Source'!N300</f>
        <v>Đề xuất trong phạm vi</v>
      </c>
      <c r="P300" s="4" t="str">
        <f>'FSL Source'!O300</f>
        <v>Hiệu chỉnh theo BRD 0.9</v>
      </c>
      <c r="Q300" s="4" t="str">
        <f>'FSL Source'!P300</f>
        <v>Lịch sử không thể sửa và truy vết được trước/sau của thay đổi quan trọng.</v>
      </c>
      <c r="R300" s="4">
        <f>'FSL Source'!Q300</f>
        <v>0</v>
      </c>
      <c r="S300" s="3"/>
      <c r="T300" s="3"/>
      <c r="U300" s="8"/>
      <c r="V300" s="8"/>
      <c r="W300" s="9"/>
      <c r="X300" s="9" t="str">
        <f t="shared" si="4"/>
        <v/>
      </c>
      <c r="Y300" s="3" t="s">
        <v>1860</v>
      </c>
      <c r="Z300" s="10">
        <v>0</v>
      </c>
      <c r="AA300" s="4"/>
    </row>
    <row r="301" spans="1:27" ht="38.25">
      <c r="A301" s="3" t="str">
        <f>B301&amp;"."&amp;TEXT(COUNTIF($B$5:B301,B301),"000")</f>
        <v>1.13.01.008</v>
      </c>
      <c r="B301" s="3" t="str">
        <f>IFERROR(INDEX('Work Packages'!$A$5:$A$200,MATCH(D301&amp;"|"&amp;E301,'Work Packages'!$P$5:$P$200,0)),"")</f>
        <v>1.13.01</v>
      </c>
      <c r="C301" s="3" t="str">
        <f>'FSL Source'!B301</f>
        <v>ARC-LEGAL-008</v>
      </c>
      <c r="D301" s="3" t="str">
        <f>'FSL Source'!C301</f>
        <v>Lưu trữ, Pháp lý &amp; Tra cứu</v>
      </c>
      <c r="E301" s="3" t="str">
        <f>'FSL Source'!D301</f>
        <v>Hồ sơ pháp lý</v>
      </c>
      <c r="F301" s="4" t="str">
        <f>'FSL Source'!E301</f>
        <v>Phân loại</v>
      </c>
      <c r="G301" s="4" t="str">
        <f>'FSL Source'!F301</f>
        <v>Phân loại quyết định, hợp đồng, phụ lục và biên bản</v>
      </c>
      <c r="H301" s="4" t="str">
        <f>'FSL Source'!G301</f>
        <v>Gắn loại tài liệu, nhiệm vụ, hiệu lực, mức mật và thời hạn lưu trữ.</v>
      </c>
      <c r="I301" s="3" t="str">
        <f>'FSL Source'!H301</f>
        <v>Cán bộ KHCN/Pháp chế</v>
      </c>
      <c r="J301" s="3" t="str">
        <f>'FSL Source'!I301</f>
        <v>Nghiệp vụ</v>
      </c>
      <c r="K301" s="3" t="str">
        <f>'FSL Source'!J301</f>
        <v>RD10</v>
      </c>
      <c r="L301" s="3" t="str">
        <f>'FSL Source'!K301</f>
        <v>CAP-06</v>
      </c>
      <c r="M301" s="3" t="str">
        <f>'FSL Source'!L301</f>
        <v>Must</v>
      </c>
      <c r="N301" s="3" t="str">
        <f>'FSL Source'!M301</f>
        <v>Pha 1</v>
      </c>
      <c r="O301" s="3" t="str">
        <f>'FSL Source'!N301</f>
        <v>Cần xác nhận</v>
      </c>
      <c r="P301" s="4" t="str">
        <f>'FSL Source'!O301</f>
        <v>RD10 thuộc Pha 1 nhưng phạm vi cần chốt theo A4/A5.</v>
      </c>
      <c r="Q301" s="4">
        <f>'FSL Source'!P301</f>
        <v>0</v>
      </c>
      <c r="R301" s="4">
        <f>'FSL Source'!Q301</f>
        <v>0</v>
      </c>
      <c r="S301" s="3"/>
      <c r="T301" s="3"/>
      <c r="U301" s="8"/>
      <c r="V301" s="8"/>
      <c r="W301" s="9"/>
      <c r="X301" s="9" t="str">
        <f t="shared" si="4"/>
        <v/>
      </c>
      <c r="Y301" s="3" t="s">
        <v>1860</v>
      </c>
      <c r="Z301" s="10">
        <v>0</v>
      </c>
      <c r="AA301" s="4"/>
    </row>
    <row r="302" spans="1:27" ht="25.5">
      <c r="A302" s="3" t="str">
        <f>B302&amp;"."&amp;TEXT(COUNTIF($B$5:B302,B302),"000")</f>
        <v>1.13.02.001</v>
      </c>
      <c r="B302" s="3" t="str">
        <f>IFERROR(INDEX('Work Packages'!$A$5:$A$200,MATCH(D302&amp;"|"&amp;E302,'Work Packages'!$P$5:$P$200,0)),"")</f>
        <v>1.13.02</v>
      </c>
      <c r="C302" s="3" t="str">
        <f>'FSL Source'!B302</f>
        <v>ARC-ARCH-001</v>
      </c>
      <c r="D302" s="3" t="str">
        <f>'FSL Source'!C302</f>
        <v>Lưu trữ, Pháp lý &amp; Tra cứu</v>
      </c>
      <c r="E302" s="3" t="str">
        <f>'FSL Source'!D302</f>
        <v>Lưu trữ điện tử</v>
      </c>
      <c r="F302" s="4" t="str">
        <f>'FSL Source'!E302</f>
        <v>Nộp lưu</v>
      </c>
      <c r="G302" s="4" t="str">
        <f>'FSL Source'!F302</f>
        <v>Đóng gói và nộp lưu hồ sơ hoàn tất</v>
      </c>
      <c r="H302" s="4" t="str">
        <f>'FSL Source'!G302</f>
        <v>Kiểm tra checklist, tạo gói hồ sơ, checksum, metadata và biên bản nộp lưu.</v>
      </c>
      <c r="I302" s="3" t="str">
        <f>'FSL Source'!H302</f>
        <v>Văn thư/Cán bộ KHCN</v>
      </c>
      <c r="J302" s="3" t="str">
        <f>'FSL Source'!I302</f>
        <v>Nghiệp vụ</v>
      </c>
      <c r="K302" s="3" t="str">
        <f>'FSL Source'!J302</f>
        <v>RD10</v>
      </c>
      <c r="L302" s="3" t="str">
        <f>'FSL Source'!K302</f>
        <v>CAP-06</v>
      </c>
      <c r="M302" s="3" t="str">
        <f>'FSL Source'!L302</f>
        <v>Must</v>
      </c>
      <c r="N302" s="3" t="str">
        <f>'FSL Source'!M302</f>
        <v>Pha 1</v>
      </c>
      <c r="O302" s="3" t="str">
        <f>'FSL Source'!N302</f>
        <v>Cần xác nhận</v>
      </c>
      <c r="P302" s="4" t="str">
        <f>'FSL Source'!O302</f>
        <v>Cần xác định Storage là hệ ngoài hay kho nội bộ.</v>
      </c>
      <c r="Q302" s="4">
        <f>'FSL Source'!P302</f>
        <v>0</v>
      </c>
      <c r="R302" s="4">
        <f>'FSL Source'!Q302</f>
        <v>0</v>
      </c>
      <c r="S302" s="3"/>
      <c r="T302" s="3"/>
      <c r="U302" s="8"/>
      <c r="V302" s="8"/>
      <c r="W302" s="9"/>
      <c r="X302" s="9" t="str">
        <f t="shared" si="4"/>
        <v/>
      </c>
      <c r="Y302" s="3" t="s">
        <v>1860</v>
      </c>
      <c r="Z302" s="10">
        <v>0</v>
      </c>
      <c r="AA302" s="4"/>
    </row>
    <row r="303" spans="1:27" ht="25.5">
      <c r="A303" s="3" t="str">
        <f>B303&amp;"."&amp;TEXT(COUNTIF($B$5:B303,B303),"000")</f>
        <v>1.13.02.002</v>
      </c>
      <c r="B303" s="3" t="str">
        <f>IFERROR(INDEX('Work Packages'!$A$5:$A$200,MATCH(D303&amp;"|"&amp;E303,'Work Packages'!$P$5:$P$200,0)),"")</f>
        <v>1.13.02</v>
      </c>
      <c r="C303" s="3" t="str">
        <f>'FSL Source'!B303</f>
        <v>ARC-ARCH-002</v>
      </c>
      <c r="D303" s="3" t="str">
        <f>'FSL Source'!C303</f>
        <v>Lưu trữ, Pháp lý &amp; Tra cứu</v>
      </c>
      <c r="E303" s="3" t="str">
        <f>'FSL Source'!D303</f>
        <v>Lưu trữ điện tử</v>
      </c>
      <c r="F303" s="4" t="str">
        <f>'FSL Source'!E303</f>
        <v>Vòng đời lưu trữ</v>
      </c>
      <c r="G303" s="4" t="str">
        <f>'FSL Source'!F303</f>
        <v>Quản lý thời hạn lưu và tiêu hủy</v>
      </c>
      <c r="H303" s="4" t="str">
        <f>'FSL Source'!G303</f>
        <v>Áp dụng retention schedule, legal hold và quy trình phê duyệt tiêu hủy.</v>
      </c>
      <c r="I303" s="3" t="str">
        <f>'FSL Source'!H303</f>
        <v>Văn thư/Pháp chế</v>
      </c>
      <c r="J303" s="3" t="str">
        <f>'FSL Source'!I303</f>
        <v>Nghiệp vụ</v>
      </c>
      <c r="K303" s="3" t="str">
        <f>'FSL Source'!J303</f>
        <v>RD10</v>
      </c>
      <c r="L303" s="3" t="str">
        <f>'FSL Source'!K303</f>
        <v>CAP-06</v>
      </c>
      <c r="M303" s="3" t="str">
        <f>'FSL Source'!L303</f>
        <v>Could</v>
      </c>
      <c r="N303" s="3" t="str">
        <f>'FSL Source'!M303</f>
        <v>Pha 3</v>
      </c>
      <c r="O303" s="3" t="str">
        <f>'FSL Source'!N303</f>
        <v>Đề xuất trong phạm vi</v>
      </c>
      <c r="P303" s="4" t="str">
        <f>'FSL Source'!O303</f>
        <v>Bổ sung</v>
      </c>
      <c r="Q303" s="4">
        <f>'FSL Source'!P303</f>
        <v>0</v>
      </c>
      <c r="R303" s="4">
        <f>'FSL Source'!Q303</f>
        <v>0</v>
      </c>
      <c r="S303" s="3"/>
      <c r="T303" s="3"/>
      <c r="U303" s="8"/>
      <c r="V303" s="8"/>
      <c r="W303" s="9"/>
      <c r="X303" s="9" t="str">
        <f t="shared" si="4"/>
        <v/>
      </c>
      <c r="Y303" s="3" t="s">
        <v>1860</v>
      </c>
      <c r="Z303" s="10">
        <v>0</v>
      </c>
      <c r="AA303" s="4"/>
    </row>
    <row r="304" spans="1:27" ht="25.5">
      <c r="A304" s="3" t="str">
        <f>B304&amp;"."&amp;TEXT(COUNTIF($B$5:B304,B304),"000")</f>
        <v>1.13.03.001</v>
      </c>
      <c r="B304" s="3" t="str">
        <f>IFERROR(INDEX('Work Packages'!$A$5:$A$200,MATCH(D304&amp;"|"&amp;E304,'Work Packages'!$P$5:$P$200,0)),"")</f>
        <v>1.13.03</v>
      </c>
      <c r="C304" s="3" t="str">
        <f>'FSL Source'!B304</f>
        <v>ARC-SEARCH-001</v>
      </c>
      <c r="D304" s="3" t="str">
        <f>'FSL Source'!C304</f>
        <v>Lưu trữ, Pháp lý &amp; Tra cứu</v>
      </c>
      <c r="E304" s="3" t="str">
        <f>'FSL Source'!D304</f>
        <v>Tra cứu toàn văn</v>
      </c>
      <c r="F304" s="4" t="str">
        <f>'FSL Source'!E304</f>
        <v>Tìm kiếm</v>
      </c>
      <c r="G304" s="4" t="str">
        <f>'FSL Source'!F304</f>
        <v>Tìm kiếm toàn cục</v>
      </c>
      <c r="H304" s="4" t="str">
        <f>'FSL Source'!G304</f>
        <v>Tìm nhiệm vụ, hồ sơ, quyết định, tài liệu, sản phẩm và metadata theo quyền.</v>
      </c>
      <c r="I304" s="3" t="str">
        <f>'FSL Source'!H304</f>
        <v>Người dùng nghiệp vụ</v>
      </c>
      <c r="J304" s="3" t="str">
        <f>'FSL Source'!I304</f>
        <v>Nền tảng</v>
      </c>
      <c r="K304" s="3">
        <f>'FSL Source'!J304</f>
        <v>0</v>
      </c>
      <c r="L304" s="3" t="str">
        <f>'FSL Source'!K304</f>
        <v>CAP-06</v>
      </c>
      <c r="M304" s="3" t="str">
        <f>'FSL Source'!L304</f>
        <v>Should</v>
      </c>
      <c r="N304" s="3" t="str">
        <f>'FSL Source'!M304</f>
        <v>Pha 2</v>
      </c>
      <c r="O304" s="3" t="str">
        <f>'FSL Source'!N304</f>
        <v>Đề xuất trong phạm vi</v>
      </c>
      <c r="P304" s="4" t="str">
        <f>'FSL Source'!O304</f>
        <v>Bổ sung</v>
      </c>
      <c r="Q304" s="4">
        <f>'FSL Source'!P304</f>
        <v>0</v>
      </c>
      <c r="R304" s="4">
        <f>'FSL Source'!Q304</f>
        <v>0</v>
      </c>
      <c r="S304" s="3"/>
      <c r="T304" s="3"/>
      <c r="U304" s="8"/>
      <c r="V304" s="8"/>
      <c r="W304" s="9"/>
      <c r="X304" s="9" t="str">
        <f t="shared" si="4"/>
        <v/>
      </c>
      <c r="Y304" s="3" t="s">
        <v>1860</v>
      </c>
      <c r="Z304" s="10">
        <v>0</v>
      </c>
      <c r="AA304" s="4"/>
    </row>
    <row r="305" spans="1:27" ht="25.5">
      <c r="A305" s="3" t="str">
        <f>B305&amp;"."&amp;TEXT(COUNTIF($B$5:B305,B305),"000")</f>
        <v>1.13.03.002</v>
      </c>
      <c r="B305" s="3" t="str">
        <f>IFERROR(INDEX('Work Packages'!$A$5:$A$200,MATCH(D305&amp;"|"&amp;E305,'Work Packages'!$P$5:$P$200,0)),"")</f>
        <v>1.13.03</v>
      </c>
      <c r="C305" s="3" t="str">
        <f>'FSL Source'!B305</f>
        <v>ARC-SEARCH-002</v>
      </c>
      <c r="D305" s="3" t="str">
        <f>'FSL Source'!C305</f>
        <v>Lưu trữ, Pháp lý &amp; Tra cứu</v>
      </c>
      <c r="E305" s="3" t="str">
        <f>'FSL Source'!D305</f>
        <v>Tra cứu toàn văn</v>
      </c>
      <c r="F305" s="4" t="str">
        <f>'FSL Source'!E305</f>
        <v>Tìm kiếm</v>
      </c>
      <c r="G305" s="4" t="str">
        <f>'FSL Source'!F305</f>
        <v>Tìm kiếm toàn văn tài liệu</v>
      </c>
      <c r="H305" s="4" t="str">
        <f>'FSL Source'!G305</f>
        <v>Đánh chỉ mục nội dung được phép, hỗ trợ từ khóa, bộ lọc và highlight.</v>
      </c>
      <c r="I305" s="3" t="str">
        <f>'FSL Source'!H305</f>
        <v>Người dùng nghiệp vụ</v>
      </c>
      <c r="J305" s="3" t="str">
        <f>'FSL Source'!I305</f>
        <v>Nền tảng</v>
      </c>
      <c r="K305" s="3">
        <f>'FSL Source'!J305</f>
        <v>0</v>
      </c>
      <c r="L305" s="3" t="str">
        <f>'FSL Source'!K305</f>
        <v>CAP-06</v>
      </c>
      <c r="M305" s="3" t="str">
        <f>'FSL Source'!L305</f>
        <v>Could</v>
      </c>
      <c r="N305" s="3" t="str">
        <f>'FSL Source'!M305</f>
        <v>Pha 3</v>
      </c>
      <c r="O305" s="3" t="str">
        <f>'FSL Source'!N305</f>
        <v>Đề xuất trong phạm vi</v>
      </c>
      <c r="P305" s="4" t="str">
        <f>'FSL Source'!O305</f>
        <v>Bổ sung</v>
      </c>
      <c r="Q305" s="4">
        <f>'FSL Source'!P305</f>
        <v>0</v>
      </c>
      <c r="R305" s="4">
        <f>'FSL Source'!Q305</f>
        <v>0</v>
      </c>
      <c r="S305" s="3"/>
      <c r="T305" s="3"/>
      <c r="U305" s="8"/>
      <c r="V305" s="8"/>
      <c r="W305" s="9"/>
      <c r="X305" s="9" t="str">
        <f t="shared" si="4"/>
        <v/>
      </c>
      <c r="Y305" s="3" t="s">
        <v>1860</v>
      </c>
      <c r="Z305" s="10">
        <v>0</v>
      </c>
      <c r="AA305" s="4"/>
    </row>
    <row r="306" spans="1:27" ht="25.5">
      <c r="A306" s="3" t="str">
        <f>B306&amp;"."&amp;TEXT(COUNTIF($B$5:B306,B306),"000")</f>
        <v>1.14.01.001</v>
      </c>
      <c r="B306" s="3" t="str">
        <f>IFERROR(INDEX('Work Packages'!$A$5:$A$200,MATCH(D306&amp;"|"&amp;E306,'Work Packages'!$P$5:$P$200,0)),"")</f>
        <v>1.14.01</v>
      </c>
      <c r="C306" s="3" t="str">
        <f>'FSL Source'!B306</f>
        <v>CFG-WFD-001</v>
      </c>
      <c r="D306" s="3" t="str">
        <f>'FSL Source'!C306</f>
        <v>Quy trình &amp; Cấu hình Nghiệp vụ</v>
      </c>
      <c r="E306" s="3" t="str">
        <f>'FSL Source'!D306</f>
        <v>Định nghĩa quy trình</v>
      </c>
      <c r="F306" s="4" t="str">
        <f>'FSL Source'!E306</f>
        <v>Quy trình nghiệp vụ</v>
      </c>
      <c r="G306" s="4" t="str">
        <f>'FSL Source'!F306</f>
        <v>Xem danh sách Quy trình nghiệp vụ</v>
      </c>
      <c r="H306" s="4" t="str">
        <f>'FSL Source'!G306</f>
        <v>Tra cứu danh sách, phân trang, sắp xếp và lọc Quy trình nghiệp vụ theo các tiêu chí nghiệp vụ.</v>
      </c>
      <c r="I306" s="3" t="str">
        <f>'FSL Source'!H306</f>
        <v>Quản trị quy trình/BA</v>
      </c>
      <c r="J306" s="3" t="str">
        <f>'FSL Source'!I306</f>
        <v>Nghiệp vụ</v>
      </c>
      <c r="K306" s="3">
        <f>'FSL Source'!J306</f>
        <v>0</v>
      </c>
      <c r="L306" s="3" t="str">
        <f>'FSL Source'!K306</f>
        <v>CAP-01</v>
      </c>
      <c r="M306" s="3" t="str">
        <f>'FSL Source'!L306</f>
        <v>Must</v>
      </c>
      <c r="N306" s="3" t="str">
        <f>'FSL Source'!M306</f>
        <v>Pha 1</v>
      </c>
      <c r="O306" s="3" t="str">
        <f>'FSL Source'!N306</f>
        <v>Đề xuất trong phạm vi</v>
      </c>
      <c r="P306" s="4" t="str">
        <f>'FSL Source'!O306</f>
        <v>Hiệu chỉnh từ VHT_WBS</v>
      </c>
      <c r="Q306" s="4" t="str">
        <f>'FSL Source'!P306</f>
        <v>Danh sách hiển thị đúng phạm vi dữ liệu và hỗ trợ lọc/xuất theo quyền.</v>
      </c>
      <c r="R306" s="4">
        <f>'FSL Source'!Q306</f>
        <v>0</v>
      </c>
      <c r="S306" s="3"/>
      <c r="T306" s="3"/>
      <c r="U306" s="8"/>
      <c r="V306" s="8"/>
      <c r="W306" s="9"/>
      <c r="X306" s="9" t="str">
        <f t="shared" si="4"/>
        <v/>
      </c>
      <c r="Y306" s="3" t="s">
        <v>1860</v>
      </c>
      <c r="Z306" s="10">
        <v>0</v>
      </c>
      <c r="AA306" s="4"/>
    </row>
    <row r="307" spans="1:27" ht="25.5">
      <c r="A307" s="3" t="str">
        <f>B307&amp;"."&amp;TEXT(COUNTIF($B$5:B307,B307),"000")</f>
        <v>1.14.01.002</v>
      </c>
      <c r="B307" s="3" t="str">
        <f>IFERROR(INDEX('Work Packages'!$A$5:$A$200,MATCH(D307&amp;"|"&amp;E307,'Work Packages'!$P$5:$P$200,0)),"")</f>
        <v>1.14.01</v>
      </c>
      <c r="C307" s="3" t="str">
        <f>'FSL Source'!B307</f>
        <v>CFG-WFD-002</v>
      </c>
      <c r="D307" s="3" t="str">
        <f>'FSL Source'!C307</f>
        <v>Quy trình &amp; Cấu hình Nghiệp vụ</v>
      </c>
      <c r="E307" s="3" t="str">
        <f>'FSL Source'!D307</f>
        <v>Định nghĩa quy trình</v>
      </c>
      <c r="F307" s="4" t="str">
        <f>'FSL Source'!E307</f>
        <v>Quy trình nghiệp vụ</v>
      </c>
      <c r="G307" s="4" t="str">
        <f>'FSL Source'!F307</f>
        <v>Tạo mới Quy trình nghiệp vụ</v>
      </c>
      <c r="H307" s="4" t="str">
        <f>'FSL Source'!G307</f>
        <v>Khởi tạo Quy trình nghiệp vụ, kiểm tra dữ liệu bắt buộc và lưu nháp trước khi hoàn tất.</v>
      </c>
      <c r="I307" s="3" t="str">
        <f>'FSL Source'!H307</f>
        <v>Quản trị quy trình/BA</v>
      </c>
      <c r="J307" s="3" t="str">
        <f>'FSL Source'!I307</f>
        <v>Nghiệp vụ</v>
      </c>
      <c r="K307" s="3">
        <f>'FSL Source'!J307</f>
        <v>0</v>
      </c>
      <c r="L307" s="3" t="str">
        <f>'FSL Source'!K307</f>
        <v>CAP-01</v>
      </c>
      <c r="M307" s="3" t="str">
        <f>'FSL Source'!L307</f>
        <v>Must</v>
      </c>
      <c r="N307" s="3" t="str">
        <f>'FSL Source'!M307</f>
        <v>Pha 1</v>
      </c>
      <c r="O307" s="3" t="str">
        <f>'FSL Source'!N307</f>
        <v>Đề xuất trong phạm vi</v>
      </c>
      <c r="P307" s="4" t="str">
        <f>'FSL Source'!O307</f>
        <v>Hiệu chỉnh từ VHT_WBS</v>
      </c>
      <c r="Q307" s="4" t="str">
        <f>'FSL Source'!P307</f>
        <v>Dữ liệu hợp lệ được lưu; lỗi validation hiển thị tại trường tương ứng.</v>
      </c>
      <c r="R307" s="4">
        <f>'FSL Source'!Q307</f>
        <v>0</v>
      </c>
      <c r="S307" s="3"/>
      <c r="T307" s="3"/>
      <c r="U307" s="8"/>
      <c r="V307" s="8"/>
      <c r="W307" s="9"/>
      <c r="X307" s="9" t="str">
        <f t="shared" si="4"/>
        <v/>
      </c>
      <c r="Y307" s="3" t="s">
        <v>1860</v>
      </c>
      <c r="Z307" s="10">
        <v>0</v>
      </c>
      <c r="AA307" s="4"/>
    </row>
    <row r="308" spans="1:27" ht="25.5">
      <c r="A308" s="3" t="str">
        <f>B308&amp;"."&amp;TEXT(COUNTIF($B$5:B308,B308),"000")</f>
        <v>1.14.01.003</v>
      </c>
      <c r="B308" s="3" t="str">
        <f>IFERROR(INDEX('Work Packages'!$A$5:$A$200,MATCH(D308&amp;"|"&amp;E308,'Work Packages'!$P$5:$P$200,0)),"")</f>
        <v>1.14.01</v>
      </c>
      <c r="C308" s="3" t="str">
        <f>'FSL Source'!B308</f>
        <v>CFG-WFD-003</v>
      </c>
      <c r="D308" s="3" t="str">
        <f>'FSL Source'!C308</f>
        <v>Quy trình &amp; Cấu hình Nghiệp vụ</v>
      </c>
      <c r="E308" s="3" t="str">
        <f>'FSL Source'!D308</f>
        <v>Định nghĩa quy trình</v>
      </c>
      <c r="F308" s="4" t="str">
        <f>'FSL Source'!E308</f>
        <v>Quy trình nghiệp vụ</v>
      </c>
      <c r="G308" s="4" t="str">
        <f>'FSL Source'!F308</f>
        <v>Sao chép Quy trình nghiệp vụ</v>
      </c>
      <c r="H308" s="4" t="str">
        <f>'FSL Source'!G308</f>
        <v>Tạo bản mới từ một Quy trình nghiệp vụ hiện hữu và loại bỏ các thông tin không được kế thừa.</v>
      </c>
      <c r="I308" s="3" t="str">
        <f>'FSL Source'!H308</f>
        <v>Quản trị quy trình/BA</v>
      </c>
      <c r="J308" s="3" t="str">
        <f>'FSL Source'!I308</f>
        <v>Nghiệp vụ</v>
      </c>
      <c r="K308" s="3">
        <f>'FSL Source'!J308</f>
        <v>0</v>
      </c>
      <c r="L308" s="3" t="str">
        <f>'FSL Source'!K308</f>
        <v>CAP-01</v>
      </c>
      <c r="M308" s="3" t="str">
        <f>'FSL Source'!L308</f>
        <v>Should</v>
      </c>
      <c r="N308" s="3" t="str">
        <f>'FSL Source'!M308</f>
        <v>Pha 1</v>
      </c>
      <c r="O308" s="3" t="str">
        <f>'FSL Source'!N308</f>
        <v>Đề xuất trong phạm vi</v>
      </c>
      <c r="P308" s="4" t="str">
        <f>'FSL Source'!O308</f>
        <v>Hiệu chỉnh từ VHT_WBS</v>
      </c>
      <c r="Q308" s="4" t="str">
        <f>'FSL Source'!P308</f>
        <v>Bản sao có mã/phiên bản mới và không làm thay đổi bản nguồn.</v>
      </c>
      <c r="R308" s="4">
        <f>'FSL Source'!Q308</f>
        <v>0</v>
      </c>
      <c r="S308" s="3"/>
      <c r="T308" s="3"/>
      <c r="U308" s="8"/>
      <c r="V308" s="8"/>
      <c r="W308" s="9"/>
      <c r="X308" s="9" t="str">
        <f t="shared" si="4"/>
        <v/>
      </c>
      <c r="Y308" s="3" t="s">
        <v>1860</v>
      </c>
      <c r="Z308" s="10">
        <v>0</v>
      </c>
      <c r="AA308" s="4"/>
    </row>
    <row r="309" spans="1:27" ht="25.5">
      <c r="A309" s="3" t="str">
        <f>B309&amp;"."&amp;TEXT(COUNTIF($B$5:B309,B309),"000")</f>
        <v>1.14.01.004</v>
      </c>
      <c r="B309" s="3" t="str">
        <f>IFERROR(INDEX('Work Packages'!$A$5:$A$200,MATCH(D309&amp;"|"&amp;E309,'Work Packages'!$P$5:$P$200,0)),"")</f>
        <v>1.14.01</v>
      </c>
      <c r="C309" s="3" t="str">
        <f>'FSL Source'!B309</f>
        <v>CFG-WFD-004</v>
      </c>
      <c r="D309" s="3" t="str">
        <f>'FSL Source'!C309</f>
        <v>Quy trình &amp; Cấu hình Nghiệp vụ</v>
      </c>
      <c r="E309" s="3" t="str">
        <f>'FSL Source'!D309</f>
        <v>Định nghĩa quy trình</v>
      </c>
      <c r="F309" s="4" t="str">
        <f>'FSL Source'!E309</f>
        <v>Quy trình nghiệp vụ</v>
      </c>
      <c r="G309" s="4" t="str">
        <f>'FSL Source'!F309</f>
        <v>Xem chi tiết Quy trình nghiệp vụ</v>
      </c>
      <c r="H309" s="4" t="str">
        <f>'FSL Source'!G309</f>
        <v>Hiển thị thông tin tổng quan, dữ liệu chi tiết, tài liệu liên quan và trạng thái của Quy trình nghiệp vụ.</v>
      </c>
      <c r="I309" s="3" t="str">
        <f>'FSL Source'!H309</f>
        <v>Quản trị quy trình/BA</v>
      </c>
      <c r="J309" s="3" t="str">
        <f>'FSL Source'!I309</f>
        <v>Nghiệp vụ</v>
      </c>
      <c r="K309" s="3">
        <f>'FSL Source'!J309</f>
        <v>0</v>
      </c>
      <c r="L309" s="3" t="str">
        <f>'FSL Source'!K309</f>
        <v>CAP-01</v>
      </c>
      <c r="M309" s="3" t="str">
        <f>'FSL Source'!L309</f>
        <v>Must</v>
      </c>
      <c r="N309" s="3" t="str">
        <f>'FSL Source'!M309</f>
        <v>Pha 1</v>
      </c>
      <c r="O309" s="3" t="str">
        <f>'FSL Source'!N309</f>
        <v>Đề xuất trong phạm vi</v>
      </c>
      <c r="P309" s="4" t="str">
        <f>'FSL Source'!O309</f>
        <v>Hiệu chỉnh từ VHT_WBS</v>
      </c>
      <c r="Q309" s="4" t="str">
        <f>'FSL Source'!P309</f>
        <v>Thông tin hiển thị đúng phiên bản và quyền truy cập.</v>
      </c>
      <c r="R309" s="4">
        <f>'FSL Source'!Q309</f>
        <v>0</v>
      </c>
      <c r="S309" s="3"/>
      <c r="T309" s="3"/>
      <c r="U309" s="8"/>
      <c r="V309" s="8"/>
      <c r="W309" s="9"/>
      <c r="X309" s="9" t="str">
        <f t="shared" si="4"/>
        <v/>
      </c>
      <c r="Y309" s="3" t="s">
        <v>1860</v>
      </c>
      <c r="Z309" s="10">
        <v>0</v>
      </c>
      <c r="AA309" s="4"/>
    </row>
    <row r="310" spans="1:27" ht="25.5">
      <c r="A310" s="3" t="str">
        <f>B310&amp;"."&amp;TEXT(COUNTIF($B$5:B310,B310),"000")</f>
        <v>1.14.01.005</v>
      </c>
      <c r="B310" s="3" t="str">
        <f>IFERROR(INDEX('Work Packages'!$A$5:$A$200,MATCH(D310&amp;"|"&amp;E310,'Work Packages'!$P$5:$P$200,0)),"")</f>
        <v>1.14.01</v>
      </c>
      <c r="C310" s="3" t="str">
        <f>'FSL Source'!B310</f>
        <v>CFG-WFD-005</v>
      </c>
      <c r="D310" s="3" t="str">
        <f>'FSL Source'!C310</f>
        <v>Quy trình &amp; Cấu hình Nghiệp vụ</v>
      </c>
      <c r="E310" s="3" t="str">
        <f>'FSL Source'!D310</f>
        <v>Định nghĩa quy trình</v>
      </c>
      <c r="F310" s="4" t="str">
        <f>'FSL Source'!E310</f>
        <v>Quy trình nghiệp vụ</v>
      </c>
      <c r="G310" s="4" t="str">
        <f>'FSL Source'!F310</f>
        <v>Chỉnh sửa Quy trình nghiệp vụ</v>
      </c>
      <c r="H310" s="4" t="str">
        <f>'FSL Source'!G310</f>
        <v>Cập nhật Quy trình nghiệp vụ khi trạng thái và quyền người dùng cho phép; kiểm soát xung đột cập nhật.</v>
      </c>
      <c r="I310" s="3" t="str">
        <f>'FSL Source'!H310</f>
        <v>Quản trị quy trình/BA</v>
      </c>
      <c r="J310" s="3" t="str">
        <f>'FSL Source'!I310</f>
        <v>Nghiệp vụ</v>
      </c>
      <c r="K310" s="3">
        <f>'FSL Source'!J310</f>
        <v>0</v>
      </c>
      <c r="L310" s="3" t="str">
        <f>'FSL Source'!K310</f>
        <v>CAP-01</v>
      </c>
      <c r="M310" s="3" t="str">
        <f>'FSL Source'!L310</f>
        <v>Must</v>
      </c>
      <c r="N310" s="3" t="str">
        <f>'FSL Source'!M310</f>
        <v>Pha 1</v>
      </c>
      <c r="O310" s="3" t="str">
        <f>'FSL Source'!N310</f>
        <v>Đề xuất trong phạm vi</v>
      </c>
      <c r="P310" s="4" t="str">
        <f>'FSL Source'!O310</f>
        <v>Hiệu chỉnh từ VHT_WBS</v>
      </c>
      <c r="Q310" s="4" t="str">
        <f>'FSL Source'!P310</f>
        <v>Chỉ trường được phép sửa có hiệu lực và thay đổi được ghi lịch sử.</v>
      </c>
      <c r="R310" s="4">
        <f>'FSL Source'!Q310</f>
        <v>0</v>
      </c>
      <c r="S310" s="3"/>
      <c r="T310" s="3"/>
      <c r="U310" s="8"/>
      <c r="V310" s="8"/>
      <c r="W310" s="9"/>
      <c r="X310" s="9" t="str">
        <f t="shared" si="4"/>
        <v/>
      </c>
      <c r="Y310" s="3" t="s">
        <v>1860</v>
      </c>
      <c r="Z310" s="10">
        <v>0</v>
      </c>
      <c r="AA310" s="4"/>
    </row>
    <row r="311" spans="1:27" ht="25.5">
      <c r="A311" s="3" t="str">
        <f>B311&amp;"."&amp;TEXT(COUNTIF($B$5:B311,B311),"000")</f>
        <v>1.14.01.006</v>
      </c>
      <c r="B311" s="3" t="str">
        <f>IFERROR(INDEX('Work Packages'!$A$5:$A$200,MATCH(D311&amp;"|"&amp;E311,'Work Packages'!$P$5:$P$200,0)),"")</f>
        <v>1.14.01</v>
      </c>
      <c r="C311" s="3" t="str">
        <f>'FSL Source'!B311</f>
        <v>CFG-WFD-006</v>
      </c>
      <c r="D311" s="3" t="str">
        <f>'FSL Source'!C311</f>
        <v>Quy trình &amp; Cấu hình Nghiệp vụ</v>
      </c>
      <c r="E311" s="3" t="str">
        <f>'FSL Source'!D311</f>
        <v>Định nghĩa quy trình</v>
      </c>
      <c r="F311" s="4" t="str">
        <f>'FSL Source'!E311</f>
        <v>Quy trình nghiệp vụ</v>
      </c>
      <c r="G311" s="4" t="str">
        <f>'FSL Source'!F311</f>
        <v>Xóa/Ngừng sử dụng Quy trình nghiệp vụ</v>
      </c>
      <c r="H311" s="4" t="str">
        <f>'FSL Source'!G311</f>
        <v>Xóa logic hoặc ngừng sử dụng Quy trình nghiệp vụ sau khi kiểm tra ràng buộc tham chiếu.</v>
      </c>
      <c r="I311" s="3" t="str">
        <f>'FSL Source'!H311</f>
        <v>Quản trị/Cán bộ nghiệp vụ</v>
      </c>
      <c r="J311" s="3" t="str">
        <f>'FSL Source'!I311</f>
        <v>Nghiệp vụ</v>
      </c>
      <c r="K311" s="3">
        <f>'FSL Source'!J311</f>
        <v>0</v>
      </c>
      <c r="L311" s="3" t="str">
        <f>'FSL Source'!K311</f>
        <v>CAP-01</v>
      </c>
      <c r="M311" s="3" t="str">
        <f>'FSL Source'!L311</f>
        <v>Should</v>
      </c>
      <c r="N311" s="3" t="str">
        <f>'FSL Source'!M311</f>
        <v>Pha 1</v>
      </c>
      <c r="O311" s="3" t="str">
        <f>'FSL Source'!N311</f>
        <v>Đề xuất trong phạm vi</v>
      </c>
      <c r="P311" s="4" t="str">
        <f>'FSL Source'!O311</f>
        <v>Hiệu chỉnh từ VHT_WBS</v>
      </c>
      <c r="Q311" s="4" t="str">
        <f>'FSL Source'!P311</f>
        <v>Không xóa vật lý dữ liệu đã phát sinh giao dịch; cảnh báo rõ quan hệ phụ thuộc.</v>
      </c>
      <c r="R311" s="4">
        <f>'FSL Source'!Q311</f>
        <v>0</v>
      </c>
      <c r="S311" s="3"/>
      <c r="T311" s="3"/>
      <c r="U311" s="8"/>
      <c r="V311" s="8"/>
      <c r="W311" s="9"/>
      <c r="X311" s="9" t="str">
        <f t="shared" si="4"/>
        <v/>
      </c>
      <c r="Y311" s="3" t="s">
        <v>1860</v>
      </c>
      <c r="Z311" s="10">
        <v>0</v>
      </c>
      <c r="AA311" s="4"/>
    </row>
    <row r="312" spans="1:27" ht="25.5">
      <c r="A312" s="3" t="str">
        <f>B312&amp;"."&amp;TEXT(COUNTIF($B$5:B312,B312),"000")</f>
        <v>1.14.01.007</v>
      </c>
      <c r="B312" s="3" t="str">
        <f>IFERROR(INDEX('Work Packages'!$A$5:$A$200,MATCH(D312&amp;"|"&amp;E312,'Work Packages'!$P$5:$P$200,0)),"")</f>
        <v>1.14.01</v>
      </c>
      <c r="C312" s="3" t="str">
        <f>'FSL Source'!B312</f>
        <v>CFG-WFD-007</v>
      </c>
      <c r="D312" s="3" t="str">
        <f>'FSL Source'!C312</f>
        <v>Quy trình &amp; Cấu hình Nghiệp vụ</v>
      </c>
      <c r="E312" s="3" t="str">
        <f>'FSL Source'!D312</f>
        <v>Định nghĩa quy trình</v>
      </c>
      <c r="F312" s="4" t="str">
        <f>'FSL Source'!E312</f>
        <v>Quy trình nghiệp vụ</v>
      </c>
      <c r="G312" s="4" t="str">
        <f>'FSL Source'!F312</f>
        <v>Xem lịch sử Quy trình nghiệp vụ</v>
      </c>
      <c r="H312" s="4" t="str">
        <f>'FSL Source'!G312</f>
        <v>Theo dõi phiên bản, thay đổi dữ liệu, người thực hiện và lịch sử xử lý của Quy trình nghiệp vụ.</v>
      </c>
      <c r="I312" s="3" t="str">
        <f>'FSL Source'!H312</f>
        <v>Cán bộ nghiệp vụ/Quản trị</v>
      </c>
      <c r="J312" s="3" t="str">
        <f>'FSL Source'!I312</f>
        <v>Audit</v>
      </c>
      <c r="K312" s="3">
        <f>'FSL Source'!J312</f>
        <v>0</v>
      </c>
      <c r="L312" s="3" t="str">
        <f>'FSL Source'!K312</f>
        <v>CAP-01</v>
      </c>
      <c r="M312" s="3" t="str">
        <f>'FSL Source'!L312</f>
        <v>Must</v>
      </c>
      <c r="N312" s="3" t="str">
        <f>'FSL Source'!M312</f>
        <v>Pha 1</v>
      </c>
      <c r="O312" s="3" t="str">
        <f>'FSL Source'!N312</f>
        <v>Đề xuất trong phạm vi</v>
      </c>
      <c r="P312" s="4" t="str">
        <f>'FSL Source'!O312</f>
        <v>Hiệu chỉnh từ VHT_WBS</v>
      </c>
      <c r="Q312" s="4" t="str">
        <f>'FSL Source'!P312</f>
        <v>Lịch sử không thể sửa và truy vết được trước/sau của thay đổi quan trọng.</v>
      </c>
      <c r="R312" s="4">
        <f>'FSL Source'!Q312</f>
        <v>0</v>
      </c>
      <c r="S312" s="3"/>
      <c r="T312" s="3"/>
      <c r="U312" s="8"/>
      <c r="V312" s="8"/>
      <c r="W312" s="9"/>
      <c r="X312" s="9" t="str">
        <f t="shared" si="4"/>
        <v/>
      </c>
      <c r="Y312" s="3" t="s">
        <v>1860</v>
      </c>
      <c r="Z312" s="10">
        <v>0</v>
      </c>
      <c r="AA312" s="4"/>
    </row>
    <row r="313" spans="1:27" ht="25.5">
      <c r="A313" s="3" t="str">
        <f>B313&amp;"."&amp;TEXT(COUNTIF($B$5:B313,B313),"000")</f>
        <v>1.14.01.008</v>
      </c>
      <c r="B313" s="3" t="str">
        <f>IFERROR(INDEX('Work Packages'!$A$5:$A$200,MATCH(D313&amp;"|"&amp;E313,'Work Packages'!$P$5:$P$200,0)),"")</f>
        <v>1.14.01</v>
      </c>
      <c r="C313" s="3" t="str">
        <f>'FSL Source'!B313</f>
        <v>CFG-WFD-008</v>
      </c>
      <c r="D313" s="3" t="str">
        <f>'FSL Source'!C313</f>
        <v>Quy trình &amp; Cấu hình Nghiệp vụ</v>
      </c>
      <c r="E313" s="3" t="str">
        <f>'FSL Source'!D313</f>
        <v>Định nghĩa quy trình</v>
      </c>
      <c r="F313" s="4" t="str">
        <f>'FSL Source'!E313</f>
        <v>Vòng đời</v>
      </c>
      <c r="G313" s="4" t="str">
        <f>'FSL Source'!F313</f>
        <v>Quản lý trạng thái Draft/Test/Deployed/Suspended/Retired</v>
      </c>
      <c r="H313" s="4" t="str">
        <f>'FSL Source'!G313</f>
        <v>Kiểm soát chuyển trạng thái, quyền thao tác và điều kiện triển khai/ngừng sử dụng.</v>
      </c>
      <c r="I313" s="3" t="str">
        <f>'FSL Source'!H313</f>
        <v>Quản trị quy trình</v>
      </c>
      <c r="J313" s="3" t="str">
        <f>'FSL Source'!I313</f>
        <v>Cấu hình</v>
      </c>
      <c r="K313" s="3">
        <f>'FSL Source'!J313</f>
        <v>0</v>
      </c>
      <c r="L313" s="3" t="str">
        <f>'FSL Source'!K313</f>
        <v>CAP-01</v>
      </c>
      <c r="M313" s="3" t="str">
        <f>'FSL Source'!L313</f>
        <v>Must</v>
      </c>
      <c r="N313" s="3" t="str">
        <f>'FSL Source'!M313</f>
        <v>Pha 1</v>
      </c>
      <c r="O313" s="3" t="str">
        <f>'FSL Source'!N313</f>
        <v>Đề xuất trong phạm vi</v>
      </c>
      <c r="P313" s="4" t="str">
        <f>'FSL Source'!O313</f>
        <v>Bổ sung</v>
      </c>
      <c r="Q313" s="4">
        <f>'FSL Source'!P313</f>
        <v>0</v>
      </c>
      <c r="R313" s="4">
        <f>'FSL Source'!Q313</f>
        <v>0</v>
      </c>
      <c r="S313" s="3"/>
      <c r="T313" s="3"/>
      <c r="U313" s="8"/>
      <c r="V313" s="8"/>
      <c r="W313" s="9"/>
      <c r="X313" s="9" t="str">
        <f t="shared" si="4"/>
        <v/>
      </c>
      <c r="Y313" s="3" t="s">
        <v>1860</v>
      </c>
      <c r="Z313" s="10">
        <v>0</v>
      </c>
      <c r="AA313" s="4"/>
    </row>
    <row r="314" spans="1:27" ht="38.25">
      <c r="A314" s="3" t="str">
        <f>B314&amp;"."&amp;TEXT(COUNTIF($B$5:B314,B314),"000")</f>
        <v>1.14.01.009</v>
      </c>
      <c r="B314" s="3" t="str">
        <f>IFERROR(INDEX('Work Packages'!$A$5:$A$200,MATCH(D314&amp;"|"&amp;E314,'Work Packages'!$P$5:$P$200,0)),"")</f>
        <v>1.14.01</v>
      </c>
      <c r="C314" s="3" t="str">
        <f>'FSL Source'!B314</f>
        <v>CFG-WFD-009</v>
      </c>
      <c r="D314" s="3" t="str">
        <f>'FSL Source'!C314</f>
        <v>Quy trình &amp; Cấu hình Nghiệp vụ</v>
      </c>
      <c r="E314" s="3" t="str">
        <f>'FSL Source'!D314</f>
        <v>Định nghĩa quy trình</v>
      </c>
      <c r="F314" s="4" t="str">
        <f>'FSL Source'!E314</f>
        <v>Phiên bản</v>
      </c>
      <c r="G314" s="4" t="str">
        <f>'FSL Source'!F314</f>
        <v>So sánh và rollback phiên bản quy trình</v>
      </c>
      <c r="H314" s="4" t="str">
        <f>'FSL Source'!G314</f>
        <v>So sánh metadata/BPMN/DMN/form; rollback bằng phiên bản mới, không sửa bản production đang chạy.</v>
      </c>
      <c r="I314" s="3" t="str">
        <f>'FSL Source'!H314</f>
        <v>Quản trị quy trình</v>
      </c>
      <c r="J314" s="3" t="str">
        <f>'FSL Source'!I314</f>
        <v>Cấu hình</v>
      </c>
      <c r="K314" s="3">
        <f>'FSL Source'!J314</f>
        <v>0</v>
      </c>
      <c r="L314" s="3" t="str">
        <f>'FSL Source'!K314</f>
        <v>CAP-01; CAP-03</v>
      </c>
      <c r="M314" s="3" t="str">
        <f>'FSL Source'!L314</f>
        <v>Must</v>
      </c>
      <c r="N314" s="3" t="str">
        <f>'FSL Source'!M314</f>
        <v>Pha 1</v>
      </c>
      <c r="O314" s="3" t="str">
        <f>'FSL Source'!N314</f>
        <v>Đề xuất trong phạm vi</v>
      </c>
      <c r="P314" s="4" t="str">
        <f>'FSL Source'!O314</f>
        <v>Bổ sung</v>
      </c>
      <c r="Q314" s="4">
        <f>'FSL Source'!P314</f>
        <v>0</v>
      </c>
      <c r="R314" s="4">
        <f>'FSL Source'!Q314</f>
        <v>0</v>
      </c>
      <c r="S314" s="3"/>
      <c r="T314" s="3"/>
      <c r="U314" s="8"/>
      <c r="V314" s="8"/>
      <c r="W314" s="9"/>
      <c r="X314" s="9" t="str">
        <f t="shared" si="4"/>
        <v/>
      </c>
      <c r="Y314" s="3" t="s">
        <v>1860</v>
      </c>
      <c r="Z314" s="10">
        <v>0</v>
      </c>
      <c r="AA314" s="4"/>
    </row>
    <row r="315" spans="1:27" ht="38.25">
      <c r="A315" s="3" t="str">
        <f>B315&amp;"."&amp;TEXT(COUNTIF($B$5:B315,B315),"000")</f>
        <v>1.14.01.010</v>
      </c>
      <c r="B315" s="3" t="str">
        <f>IFERROR(INDEX('Work Packages'!$A$5:$A$200,MATCH(D315&amp;"|"&amp;E315,'Work Packages'!$P$5:$P$200,0)),"")</f>
        <v>1.14.01</v>
      </c>
      <c r="C315" s="3" t="str">
        <f>'FSL Source'!B315</f>
        <v>CFG-WFD-010</v>
      </c>
      <c r="D315" s="3" t="str">
        <f>'FSL Source'!C315</f>
        <v>Quy trình &amp; Cấu hình Nghiệp vụ</v>
      </c>
      <c r="E315" s="3" t="str">
        <f>'FSL Source'!D315</f>
        <v>Định nghĩa quy trình</v>
      </c>
      <c r="F315" s="4" t="str">
        <f>'FSL Source'!E315</f>
        <v>Ban hành phiên bản</v>
      </c>
      <c r="G315" s="4" t="str">
        <f>'FSL Source'!F315</f>
        <v>Quản lý mã hiệu, lần ban hành và thời hạn hiệu lực</v>
      </c>
      <c r="H315" s="4" t="str">
        <f>'FSL Source'!G315</f>
        <v>Mỗi phiên bản có mã hiệu, lần ban hành, ngày hiệu lực, ngày hết hiệu lực và bảng theo dõi sửa đổi theo chuẩn văn bản VHT.</v>
      </c>
      <c r="I315" s="3" t="str">
        <f>'FSL Source'!H315</f>
        <v>Quản trị quy trình/BA</v>
      </c>
      <c r="J315" s="3" t="str">
        <f>'FSL Source'!I315</f>
        <v>Cấu hình</v>
      </c>
      <c r="K315" s="3" t="str">
        <f>'FSL Source'!J315</f>
        <v>RD10</v>
      </c>
      <c r="L315" s="3" t="str">
        <f>'FSL Source'!K315</f>
        <v>CAP-01; CAP-03</v>
      </c>
      <c r="M315" s="3" t="str">
        <f>'FSL Source'!L315</f>
        <v>Must</v>
      </c>
      <c r="N315" s="3" t="str">
        <f>'FSL Source'!M315</f>
        <v>Pha 1</v>
      </c>
      <c r="O315" s="3" t="str">
        <f>'FSL Source'!N315</f>
        <v>Đề xuất trong phạm vi</v>
      </c>
      <c r="P315" s="4" t="str">
        <f>'FSL Source'!O315</f>
        <v>Bổ sung theo CAP-03/BRD 0.9</v>
      </c>
      <c r="Q315" s="4">
        <f>'FSL Source'!P315</f>
        <v>0</v>
      </c>
      <c r="R315" s="4">
        <f>'FSL Source'!Q315</f>
        <v>0</v>
      </c>
      <c r="S315" s="3"/>
      <c r="T315" s="3"/>
      <c r="U315" s="8"/>
      <c r="V315" s="8"/>
      <c r="W315" s="9"/>
      <c r="X315" s="9" t="str">
        <f t="shared" si="4"/>
        <v/>
      </c>
      <c r="Y315" s="3" t="s">
        <v>1860</v>
      </c>
      <c r="Z315" s="10">
        <v>0</v>
      </c>
      <c r="AA315" s="4"/>
    </row>
    <row r="316" spans="1:27" ht="38.25">
      <c r="A316" s="3" t="str">
        <f>B316&amp;"."&amp;TEXT(COUNTIF($B$5:B316,B316),"000")</f>
        <v>1.14.01.011</v>
      </c>
      <c r="B316" s="3" t="str">
        <f>IFERROR(INDEX('Work Packages'!$A$5:$A$200,MATCH(D316&amp;"|"&amp;E316,'Work Packages'!$P$5:$P$200,0)),"")</f>
        <v>1.14.01</v>
      </c>
      <c r="C316" s="3" t="str">
        <f>'FSL Source'!B316</f>
        <v>CFG-WFD-011</v>
      </c>
      <c r="D316" s="3" t="str">
        <f>'FSL Source'!C316</f>
        <v>Quy trình &amp; Cấu hình Nghiệp vụ</v>
      </c>
      <c r="E316" s="3" t="str">
        <f>'FSL Source'!D316</f>
        <v>Định nghĩa quy trình</v>
      </c>
      <c r="F316" s="4" t="str">
        <f>'FSL Source'!E316</f>
        <v>Ban hành phiên bản</v>
      </c>
      <c r="G316" s="4" t="str">
        <f>'FSL Source'!F316</f>
        <v>Phê duyệt phiên bản quy trình trước khi có hiệu lực</v>
      </c>
      <c r="H316" s="4" t="str">
        <f>'FSL Source'!G316</f>
        <v>Áp dụng chuỗi Biên soạn → Kiểm tra → Thẩm định → Phê duyệt; chỉ phiên bản đã ban hành mới được dùng để khởi tạo hồ sơ.</v>
      </c>
      <c r="I316" s="3" t="str">
        <f>'FSL Source'!H316</f>
        <v>BA/Kiểm soát/Thẩm định/Phê duyệt</v>
      </c>
      <c r="J316" s="3" t="str">
        <f>'FSL Source'!I316</f>
        <v>Workflow</v>
      </c>
      <c r="K316" s="3" t="str">
        <f>'FSL Source'!J316</f>
        <v>RD10</v>
      </c>
      <c r="L316" s="3" t="str">
        <f>'FSL Source'!K316</f>
        <v>CAP-01; CAP-03</v>
      </c>
      <c r="M316" s="3" t="str">
        <f>'FSL Source'!L316</f>
        <v>Must</v>
      </c>
      <c r="N316" s="3" t="str">
        <f>'FSL Source'!M316</f>
        <v>Pha 1</v>
      </c>
      <c r="O316" s="3" t="str">
        <f>'FSL Source'!N316</f>
        <v>Cần xác nhận</v>
      </c>
      <c r="P316" s="4" t="str">
        <f>'FSL Source'!O316</f>
        <v>Cần chốt A5: RD10 hay phân hệ quy trình chịu trách nhiệm.</v>
      </c>
      <c r="Q316" s="4">
        <f>'FSL Source'!P316</f>
        <v>0</v>
      </c>
      <c r="R316" s="4">
        <f>'FSL Source'!Q316</f>
        <v>0</v>
      </c>
      <c r="S316" s="3"/>
      <c r="T316" s="3"/>
      <c r="U316" s="8"/>
      <c r="V316" s="8"/>
      <c r="W316" s="9"/>
      <c r="X316" s="9" t="str">
        <f t="shared" si="4"/>
        <v/>
      </c>
      <c r="Y316" s="3" t="s">
        <v>1860</v>
      </c>
      <c r="Z316" s="10">
        <v>0</v>
      </c>
      <c r="AA316" s="4"/>
    </row>
    <row r="317" spans="1:27" ht="38.25">
      <c r="A317" s="3" t="str">
        <f>B317&amp;"."&amp;TEXT(COUNTIF($B$5:B317,B317),"000")</f>
        <v>1.14.01.012</v>
      </c>
      <c r="B317" s="3" t="str">
        <f>IFERROR(INDEX('Work Packages'!$A$5:$A$200,MATCH(D317&amp;"|"&amp;E317,'Work Packages'!$P$5:$P$200,0)),"")</f>
        <v>1.14.01</v>
      </c>
      <c r="C317" s="3" t="str">
        <f>'FSL Source'!B317</f>
        <v>CFG-WFD-012</v>
      </c>
      <c r="D317" s="3" t="str">
        <f>'FSL Source'!C317</f>
        <v>Quy trình &amp; Cấu hình Nghiệp vụ</v>
      </c>
      <c r="E317" s="3" t="str">
        <f>'FSL Source'!D317</f>
        <v>Định nghĩa quy trình</v>
      </c>
      <c r="F317" s="4" t="str">
        <f>'FSL Source'!E317</f>
        <v>Hiệu lực phiên bản</v>
      </c>
      <c r="G317" s="4" t="str">
        <f>'FSL Source'!F317</f>
        <v>Chọn phiên bản có hiệu lực khi khởi tạo hồ sơ</v>
      </c>
      <c r="H317" s="4" t="str">
        <f>'FSL Source'!G317</f>
        <v>Hồ sơ mới dùng phiên bản có hiệu lực tại thời điểm khởi tạo; lưu cố định workflow version trên process instance.</v>
      </c>
      <c r="I317" s="3" t="str">
        <f>'FSL Source'!H317</f>
        <v>Hệ thống/Quản trị quy trình</v>
      </c>
      <c r="J317" s="3" t="str">
        <f>'FSL Source'!I317</f>
        <v>Nền tảng</v>
      </c>
      <c r="K317" s="3">
        <f>'FSL Source'!J317</f>
        <v>0</v>
      </c>
      <c r="L317" s="3" t="str">
        <f>'FSL Source'!K317</f>
        <v>CAP-01; CAP-03</v>
      </c>
      <c r="M317" s="3" t="str">
        <f>'FSL Source'!L317</f>
        <v>Must</v>
      </c>
      <c r="N317" s="3" t="str">
        <f>'FSL Source'!M317</f>
        <v>Pha 1</v>
      </c>
      <c r="O317" s="3" t="str">
        <f>'FSL Source'!N317</f>
        <v>Đề xuất trong phạm vi</v>
      </c>
      <c r="P317" s="4" t="str">
        <f>'FSL Source'!O317</f>
        <v>Bổ sung theo CAP-03/BRD 0.9</v>
      </c>
      <c r="Q317" s="4">
        <f>'FSL Source'!P317</f>
        <v>0</v>
      </c>
      <c r="R317" s="4">
        <f>'FSL Source'!Q317</f>
        <v>0</v>
      </c>
      <c r="S317" s="3"/>
      <c r="T317" s="3"/>
      <c r="U317" s="8"/>
      <c r="V317" s="8"/>
      <c r="W317" s="9"/>
      <c r="X317" s="9" t="str">
        <f t="shared" si="4"/>
        <v/>
      </c>
      <c r="Y317" s="3" t="s">
        <v>1860</v>
      </c>
      <c r="Z317" s="10">
        <v>0</v>
      </c>
      <c r="AA317" s="4"/>
    </row>
    <row r="318" spans="1:27" ht="25.5">
      <c r="A318" s="3" t="str">
        <f>B318&amp;"."&amp;TEXT(COUNTIF($B$5:B318,B318),"000")</f>
        <v>1.14.01.013</v>
      </c>
      <c r="B318" s="3" t="str">
        <f>IFERROR(INDEX('Work Packages'!$A$5:$A$200,MATCH(D318&amp;"|"&amp;E318,'Work Packages'!$P$5:$P$200,0)),"")</f>
        <v>1.14.01</v>
      </c>
      <c r="C318" s="3" t="str">
        <f>'FSL Source'!B318</f>
        <v>CFG-WFD-013</v>
      </c>
      <c r="D318" s="3" t="str">
        <f>'FSL Source'!C318</f>
        <v>Quy trình &amp; Cấu hình Nghiệp vụ</v>
      </c>
      <c r="E318" s="3" t="str">
        <f>'FSL Source'!D318</f>
        <v>Định nghĩa quy trình</v>
      </c>
      <c r="F318" s="4" t="str">
        <f>'FSL Source'!E318</f>
        <v>Hiệu lực phiên bản</v>
      </c>
      <c r="G318" s="4" t="str">
        <f>'FSL Source'!F318</f>
        <v>Giữ phiên bản cho hồ sơ đang xử lý</v>
      </c>
      <c r="H318" s="4" t="str">
        <f>'FSL Source'!G318</f>
        <v>Mặc định hồ sơ chạy hết theo phiên bản lúc khởi tạo; chỉ migration khi có quyết định và công cụ riêng.</v>
      </c>
      <c r="I318" s="3" t="str">
        <f>'FSL Source'!H318</f>
        <v>Quản trị quy trình/Vận hành</v>
      </c>
      <c r="J318" s="3" t="str">
        <f>'FSL Source'!I318</f>
        <v>Workflow</v>
      </c>
      <c r="K318" s="3">
        <f>'FSL Source'!J318</f>
        <v>0</v>
      </c>
      <c r="L318" s="3" t="str">
        <f>'FSL Source'!K318</f>
        <v>CAP-01; CAP-03</v>
      </c>
      <c r="M318" s="3" t="str">
        <f>'FSL Source'!L318</f>
        <v>Must</v>
      </c>
      <c r="N318" s="3" t="str">
        <f>'FSL Source'!M318</f>
        <v>Pha 1</v>
      </c>
      <c r="O318" s="3" t="str">
        <f>'FSL Source'!N318</f>
        <v>Cần xác nhận</v>
      </c>
      <c r="P318" s="4" t="str">
        <f>'FSL Source'!O318</f>
        <v>Chờ chốt câu hỏi B1 của BRD.</v>
      </c>
      <c r="Q318" s="4">
        <f>'FSL Source'!P318</f>
        <v>0</v>
      </c>
      <c r="R318" s="4">
        <f>'FSL Source'!Q318</f>
        <v>0</v>
      </c>
      <c r="S318" s="3"/>
      <c r="T318" s="3"/>
      <c r="U318" s="8"/>
      <c r="V318" s="8"/>
      <c r="W318" s="9"/>
      <c r="X318" s="9" t="str">
        <f t="shared" si="4"/>
        <v/>
      </c>
      <c r="Y318" s="3" t="s">
        <v>1860</v>
      </c>
      <c r="Z318" s="10">
        <v>0</v>
      </c>
      <c r="AA318" s="4"/>
    </row>
    <row r="319" spans="1:27" ht="25.5">
      <c r="A319" s="3" t="str">
        <f>B319&amp;"."&amp;TEXT(COUNTIF($B$5:B319,B319),"000")</f>
        <v>1.14.02.001</v>
      </c>
      <c r="B319" s="3" t="str">
        <f>IFERROR(INDEX('Work Packages'!$A$5:$A$200,MATCH(D319&amp;"|"&amp;E319,'Work Packages'!$P$5:$P$200,0)),"")</f>
        <v>1.14.02</v>
      </c>
      <c r="C319" s="3" t="str">
        <f>'FSL Source'!B319</f>
        <v>CFG-BPMN-001</v>
      </c>
      <c r="D319" s="3" t="str">
        <f>'FSL Source'!C319</f>
        <v>Quy trình &amp; Cấu hình Nghiệp vụ</v>
      </c>
      <c r="E319" s="3" t="str">
        <f>'FSL Source'!D319</f>
        <v>BPMN Designer</v>
      </c>
      <c r="F319" s="4" t="str">
        <f>'FSL Source'!E319</f>
        <v>Thiết kế</v>
      </c>
      <c r="G319" s="4" t="str">
        <f>'FSL Source'!F319</f>
        <v>Vẽ và import/export BPMN</v>
      </c>
      <c r="H319" s="4" t="str">
        <f>'FSL Source'!G319</f>
        <v>Canvas BPMN, palette, validation và import/export tệp .bpmn.</v>
      </c>
      <c r="I319" s="3" t="str">
        <f>'FSL Source'!H319</f>
        <v>BA/Quản trị quy trình</v>
      </c>
      <c r="J319" s="3" t="str">
        <f>'FSL Source'!I319</f>
        <v>Cấu hình</v>
      </c>
      <c r="K319" s="3">
        <f>'FSL Source'!J319</f>
        <v>0</v>
      </c>
      <c r="L319" s="3" t="str">
        <f>'FSL Source'!K319</f>
        <v>CAP-01</v>
      </c>
      <c r="M319" s="3" t="str">
        <f>'FSL Source'!L319</f>
        <v>Must</v>
      </c>
      <c r="N319" s="3" t="str">
        <f>'FSL Source'!M319</f>
        <v>Pha 1</v>
      </c>
      <c r="O319" s="3" t="str">
        <f>'FSL Source'!N319</f>
        <v>Đề xuất trong phạm vi</v>
      </c>
      <c r="P319" s="4" t="str">
        <f>'FSL Source'!O319</f>
        <v>Hiệu chỉnh từ VHT_WBS</v>
      </c>
      <c r="Q319" s="4">
        <f>'FSL Source'!P319</f>
        <v>0</v>
      </c>
      <c r="R319" s="4">
        <f>'FSL Source'!Q319</f>
        <v>0</v>
      </c>
      <c r="S319" s="3"/>
      <c r="T319" s="3"/>
      <c r="U319" s="8"/>
      <c r="V319" s="8"/>
      <c r="W319" s="9"/>
      <c r="X319" s="9" t="str">
        <f t="shared" si="4"/>
        <v/>
      </c>
      <c r="Y319" s="3" t="s">
        <v>1860</v>
      </c>
      <c r="Z319" s="10">
        <v>0</v>
      </c>
      <c r="AA319" s="4"/>
    </row>
    <row r="320" spans="1:27" ht="25.5">
      <c r="A320" s="3" t="str">
        <f>B320&amp;"."&amp;TEXT(COUNTIF($B$5:B320,B320),"000")</f>
        <v>1.14.02.002</v>
      </c>
      <c r="B320" s="3" t="str">
        <f>IFERROR(INDEX('Work Packages'!$A$5:$A$200,MATCH(D320&amp;"|"&amp;E320,'Work Packages'!$P$5:$P$200,0)),"")</f>
        <v>1.14.02</v>
      </c>
      <c r="C320" s="3" t="str">
        <f>'FSL Source'!B320</f>
        <v>CFG-BPMN-002</v>
      </c>
      <c r="D320" s="3" t="str">
        <f>'FSL Source'!C320</f>
        <v>Quy trình &amp; Cấu hình Nghiệp vụ</v>
      </c>
      <c r="E320" s="3" t="str">
        <f>'FSL Source'!D320</f>
        <v>BPMN Designer</v>
      </c>
      <c r="F320" s="4" t="str">
        <f>'FSL Source'!E320</f>
        <v>Thiết kế</v>
      </c>
      <c r="G320" s="4" t="str">
        <f>'FSL Source'!F320</f>
        <v>Thư viện element và mẫu quy trình</v>
      </c>
      <c r="H320" s="4" t="str">
        <f>'FSL Source'!G320</f>
        <v>Cung cấp element mẫu, subprocess, boundary event và template tái sử dụng.</v>
      </c>
      <c r="I320" s="3" t="str">
        <f>'FSL Source'!H320</f>
        <v>BA/Quản trị quy trình</v>
      </c>
      <c r="J320" s="3" t="str">
        <f>'FSL Source'!I320</f>
        <v>Cấu hình</v>
      </c>
      <c r="K320" s="3">
        <f>'FSL Source'!J320</f>
        <v>0</v>
      </c>
      <c r="L320" s="3" t="str">
        <f>'FSL Source'!K320</f>
        <v>CAP-01</v>
      </c>
      <c r="M320" s="3" t="str">
        <f>'FSL Source'!L320</f>
        <v>Should</v>
      </c>
      <c r="N320" s="3" t="str">
        <f>'FSL Source'!M320</f>
        <v>Pha 1</v>
      </c>
      <c r="O320" s="3" t="str">
        <f>'FSL Source'!N320</f>
        <v>Đề xuất trong phạm vi</v>
      </c>
      <c r="P320" s="4" t="str">
        <f>'FSL Source'!O320</f>
        <v>Bổ sung</v>
      </c>
      <c r="Q320" s="4">
        <f>'FSL Source'!P320</f>
        <v>0</v>
      </c>
      <c r="R320" s="4">
        <f>'FSL Source'!Q320</f>
        <v>0</v>
      </c>
      <c r="S320" s="3"/>
      <c r="T320" s="3"/>
      <c r="U320" s="8"/>
      <c r="V320" s="8"/>
      <c r="W320" s="9"/>
      <c r="X320" s="9" t="str">
        <f t="shared" si="4"/>
        <v/>
      </c>
      <c r="Y320" s="3" t="s">
        <v>1860</v>
      </c>
      <c r="Z320" s="10">
        <v>0</v>
      </c>
      <c r="AA320" s="4"/>
    </row>
    <row r="321" spans="1:27" ht="25.5">
      <c r="A321" s="3" t="str">
        <f>B321&amp;"."&amp;TEXT(COUNTIF($B$5:B321,B321),"000")</f>
        <v>1.14.02.003</v>
      </c>
      <c r="B321" s="3" t="str">
        <f>IFERROR(INDEX('Work Packages'!$A$5:$A$200,MATCH(D321&amp;"|"&amp;E321,'Work Packages'!$P$5:$P$200,0)),"")</f>
        <v>1.14.02</v>
      </c>
      <c r="C321" s="3" t="str">
        <f>'FSL Source'!B321</f>
        <v>CFG-BPMN-003</v>
      </c>
      <c r="D321" s="3" t="str">
        <f>'FSL Source'!C321</f>
        <v>Quy trình &amp; Cấu hình Nghiệp vụ</v>
      </c>
      <c r="E321" s="3" t="str">
        <f>'FSL Source'!D321</f>
        <v>BPMN Designer</v>
      </c>
      <c r="F321" s="4" t="str">
        <f>'FSL Source'!E321</f>
        <v>Kiểm tra</v>
      </c>
      <c r="G321" s="4" t="str">
        <f>'FSL Source'!F321</f>
        <v>Validate BPMN và cấu hình liên quan</v>
      </c>
      <c r="H321" s="4" t="str">
        <f>'FSL Source'!G321</f>
        <v>Kiểm tra cú pháp, user task, service task, form, action, SLA, message và biến.</v>
      </c>
      <c r="I321" s="3" t="str">
        <f>'FSL Source'!H321</f>
        <v>BA/Quản trị quy trình</v>
      </c>
      <c r="J321" s="3" t="str">
        <f>'FSL Source'!I321</f>
        <v>Cấu hình</v>
      </c>
      <c r="K321" s="3">
        <f>'FSL Source'!J321</f>
        <v>0</v>
      </c>
      <c r="L321" s="3" t="str">
        <f>'FSL Source'!K321</f>
        <v>CAP-01</v>
      </c>
      <c r="M321" s="3" t="str">
        <f>'FSL Source'!L321</f>
        <v>Must</v>
      </c>
      <c r="N321" s="3" t="str">
        <f>'FSL Source'!M321</f>
        <v>Pha 1</v>
      </c>
      <c r="O321" s="3" t="str">
        <f>'FSL Source'!N321</f>
        <v>Đề xuất trong phạm vi</v>
      </c>
      <c r="P321" s="4" t="str">
        <f>'FSL Source'!O321</f>
        <v>Bổ sung</v>
      </c>
      <c r="Q321" s="4">
        <f>'FSL Source'!P321</f>
        <v>0</v>
      </c>
      <c r="R321" s="4">
        <f>'FSL Source'!Q321</f>
        <v>0</v>
      </c>
      <c r="S321" s="3"/>
      <c r="T321" s="3"/>
      <c r="U321" s="8"/>
      <c r="V321" s="8"/>
      <c r="W321" s="9"/>
      <c r="X321" s="9" t="str">
        <f t="shared" si="4"/>
        <v/>
      </c>
      <c r="Y321" s="3" t="s">
        <v>1860</v>
      </c>
      <c r="Z321" s="10">
        <v>0</v>
      </c>
      <c r="AA321" s="4"/>
    </row>
    <row r="322" spans="1:27" ht="25.5">
      <c r="A322" s="3" t="str">
        <f>B322&amp;"."&amp;TEXT(COUNTIF($B$5:B322,B322),"000")</f>
        <v>1.14.02.004</v>
      </c>
      <c r="B322" s="3" t="str">
        <f>IFERROR(INDEX('Work Packages'!$A$5:$A$200,MATCH(D322&amp;"|"&amp;E322,'Work Packages'!$P$5:$P$200,0)),"")</f>
        <v>1.14.02</v>
      </c>
      <c r="C322" s="3" t="str">
        <f>'FSL Source'!B322</f>
        <v>CFG-BPMN-004</v>
      </c>
      <c r="D322" s="3" t="str">
        <f>'FSL Source'!C322</f>
        <v>Quy trình &amp; Cấu hình Nghiệp vụ</v>
      </c>
      <c r="E322" s="3" t="str">
        <f>'FSL Source'!D322</f>
        <v>BPMN Designer</v>
      </c>
      <c r="F322" s="4" t="str">
        <f>'FSL Source'!E322</f>
        <v>Triển khai</v>
      </c>
      <c r="G322" s="4" t="str">
        <f>'FSL Source'!F322</f>
        <v>Test deploy và deploy Camunda 8</v>
      </c>
      <c r="H322" s="4" t="str">
        <f>'FSL Source'!G322</f>
        <v>Triển khai môi trường test/production, lưu deployment key và kết quả.</v>
      </c>
      <c r="I322" s="3" t="str">
        <f>'FSL Source'!H322</f>
        <v>Quản trị quy trình</v>
      </c>
      <c r="J322" s="3" t="str">
        <f>'FSL Source'!I322</f>
        <v>Tích hợp</v>
      </c>
      <c r="K322" s="3">
        <f>'FSL Source'!J322</f>
        <v>0</v>
      </c>
      <c r="L322" s="3" t="str">
        <f>'FSL Source'!K322</f>
        <v>CAP-01</v>
      </c>
      <c r="M322" s="3" t="str">
        <f>'FSL Source'!L322</f>
        <v>Must</v>
      </c>
      <c r="N322" s="3" t="str">
        <f>'FSL Source'!M322</f>
        <v>Pha 1</v>
      </c>
      <c r="O322" s="3" t="str">
        <f>'FSL Source'!N322</f>
        <v>Đề xuất trong phạm vi</v>
      </c>
      <c r="P322" s="4" t="str">
        <f>'FSL Source'!O322</f>
        <v>Bổ sung</v>
      </c>
      <c r="Q322" s="4">
        <f>'FSL Source'!P322</f>
        <v>0</v>
      </c>
      <c r="R322" s="4">
        <f>'FSL Source'!Q322</f>
        <v>0</v>
      </c>
      <c r="S322" s="3"/>
      <c r="T322" s="3"/>
      <c r="U322" s="8"/>
      <c r="V322" s="8"/>
      <c r="W322" s="9"/>
      <c r="X322" s="9" t="str">
        <f t="shared" si="4"/>
        <v/>
      </c>
      <c r="Y322" s="3" t="s">
        <v>1860</v>
      </c>
      <c r="Z322" s="10">
        <v>0</v>
      </c>
      <c r="AA322" s="4"/>
    </row>
    <row r="323" spans="1:27" ht="25.5">
      <c r="A323" s="3" t="str">
        <f>B323&amp;"."&amp;TEXT(COUNTIF($B$5:B323,B323),"000")</f>
        <v>1.14.02.005</v>
      </c>
      <c r="B323" s="3" t="str">
        <f>IFERROR(INDEX('Work Packages'!$A$5:$A$200,MATCH(D323&amp;"|"&amp;E323,'Work Packages'!$P$5:$P$200,0)),"")</f>
        <v>1.14.02</v>
      </c>
      <c r="C323" s="3" t="str">
        <f>'FSL Source'!B323</f>
        <v>CFG-BPMN-005</v>
      </c>
      <c r="D323" s="3" t="str">
        <f>'FSL Source'!C323</f>
        <v>Quy trình &amp; Cấu hình Nghiệp vụ</v>
      </c>
      <c r="E323" s="3" t="str">
        <f>'FSL Source'!D323</f>
        <v>BPMN Designer</v>
      </c>
      <c r="F323" s="4" t="str">
        <f>'FSL Source'!E323</f>
        <v>Governance</v>
      </c>
      <c r="G323" s="4" t="str">
        <f>'FSL Source'!F323</f>
        <v>Review và phê duyệt phiên bản BPMN</v>
      </c>
      <c r="H323" s="4" t="str">
        <f>'FSL Source'!G323</f>
        <v>Áp dụng peer review, BA validation, technical validation, UAT và version lock.</v>
      </c>
      <c r="I323" s="3" t="str">
        <f>'FSL Source'!H323</f>
        <v>BA/Kỹ thuật/Quản trị quy trình</v>
      </c>
      <c r="J323" s="3" t="str">
        <f>'FSL Source'!I323</f>
        <v>Cấu hình</v>
      </c>
      <c r="K323" s="3">
        <f>'FSL Source'!J323</f>
        <v>0</v>
      </c>
      <c r="L323" s="3" t="str">
        <f>'FSL Source'!K323</f>
        <v>CAP-01</v>
      </c>
      <c r="M323" s="3" t="str">
        <f>'FSL Source'!L323</f>
        <v>Should</v>
      </c>
      <c r="N323" s="3" t="str">
        <f>'FSL Source'!M323</f>
        <v>Pha 2</v>
      </c>
      <c r="O323" s="3" t="str">
        <f>'FSL Source'!N323</f>
        <v>Đề xuất trong phạm vi</v>
      </c>
      <c r="P323" s="4" t="str">
        <f>'FSL Source'!O323</f>
        <v>Bổ sung</v>
      </c>
      <c r="Q323" s="4">
        <f>'FSL Source'!P323</f>
        <v>0</v>
      </c>
      <c r="R323" s="4">
        <f>'FSL Source'!Q323</f>
        <v>0</v>
      </c>
      <c r="S323" s="3"/>
      <c r="T323" s="3"/>
      <c r="U323" s="8"/>
      <c r="V323" s="8"/>
      <c r="W323" s="9"/>
      <c r="X323" s="9" t="str">
        <f t="shared" si="4"/>
        <v/>
      </c>
      <c r="Y323" s="3" t="s">
        <v>1860</v>
      </c>
      <c r="Z323" s="10">
        <v>0</v>
      </c>
      <c r="AA323" s="4"/>
    </row>
    <row r="324" spans="1:27" ht="25.5">
      <c r="A324" s="3" t="str">
        <f>B324&amp;"."&amp;TEXT(COUNTIF($B$5:B324,B324),"000")</f>
        <v>1.14.03.001</v>
      </c>
      <c r="B324" s="3" t="str">
        <f>IFERROR(INDEX('Work Packages'!$A$5:$A$200,MATCH(D324&amp;"|"&amp;E324,'Work Packages'!$P$5:$P$200,0)),"")</f>
        <v>1.14.03</v>
      </c>
      <c r="C324" s="3" t="str">
        <f>'FSL Source'!B324</f>
        <v>CFG-DMN-001</v>
      </c>
      <c r="D324" s="3" t="str">
        <f>'FSL Source'!C324</f>
        <v>Quy trình &amp; Cấu hình Nghiệp vụ</v>
      </c>
      <c r="E324" s="3" t="str">
        <f>'FSL Source'!D324</f>
        <v>Luật nghiệp vụ &amp; DMN</v>
      </c>
      <c r="F324" s="4" t="str">
        <f>'FSL Source'!E324</f>
        <v>Quyết định DMN</v>
      </c>
      <c r="G324" s="4" t="str">
        <f>'FSL Source'!F324</f>
        <v>Xem danh sách Quyết định DMN</v>
      </c>
      <c r="H324" s="4" t="str">
        <f>'FSL Source'!G324</f>
        <v>Tra cứu danh sách, phân trang, sắp xếp và lọc Quyết định DMN theo các tiêu chí nghiệp vụ.</v>
      </c>
      <c r="I324" s="3" t="str">
        <f>'FSL Source'!H324</f>
        <v>BA/Quản trị cấu hình</v>
      </c>
      <c r="J324" s="3" t="str">
        <f>'FSL Source'!I324</f>
        <v>Nghiệp vụ</v>
      </c>
      <c r="K324" s="3">
        <f>'FSL Source'!J324</f>
        <v>0</v>
      </c>
      <c r="L324" s="3" t="str">
        <f>'FSL Source'!K324</f>
        <v>CAP-01</v>
      </c>
      <c r="M324" s="3" t="str">
        <f>'FSL Source'!L324</f>
        <v>Must</v>
      </c>
      <c r="N324" s="3" t="str">
        <f>'FSL Source'!M324</f>
        <v>Pha 1</v>
      </c>
      <c r="O324" s="3" t="str">
        <f>'FSL Source'!N324</f>
        <v>Đề xuất trong phạm vi</v>
      </c>
      <c r="P324" s="4" t="str">
        <f>'FSL Source'!O324</f>
        <v>Hiệu chỉnh từ VHT_WBS</v>
      </c>
      <c r="Q324" s="4" t="str">
        <f>'FSL Source'!P324</f>
        <v>Danh sách hiển thị đúng phạm vi dữ liệu và hỗ trợ lọc/xuất theo quyền.</v>
      </c>
      <c r="R324" s="4">
        <f>'FSL Source'!Q324</f>
        <v>0</v>
      </c>
      <c r="S324" s="3"/>
      <c r="T324" s="3"/>
      <c r="U324" s="8"/>
      <c r="V324" s="8"/>
      <c r="W324" s="9"/>
      <c r="X324" s="9" t="str">
        <f t="shared" si="4"/>
        <v/>
      </c>
      <c r="Y324" s="3" t="s">
        <v>1860</v>
      </c>
      <c r="Z324" s="10">
        <v>0</v>
      </c>
      <c r="AA324" s="4"/>
    </row>
    <row r="325" spans="1:27" ht="25.5">
      <c r="A325" s="3" t="str">
        <f>B325&amp;"."&amp;TEXT(COUNTIF($B$5:B325,B325),"000")</f>
        <v>1.14.03.002</v>
      </c>
      <c r="B325" s="3" t="str">
        <f>IFERROR(INDEX('Work Packages'!$A$5:$A$200,MATCH(D325&amp;"|"&amp;E325,'Work Packages'!$P$5:$P$200,0)),"")</f>
        <v>1.14.03</v>
      </c>
      <c r="C325" s="3" t="str">
        <f>'FSL Source'!B325</f>
        <v>CFG-DMN-002</v>
      </c>
      <c r="D325" s="3" t="str">
        <f>'FSL Source'!C325</f>
        <v>Quy trình &amp; Cấu hình Nghiệp vụ</v>
      </c>
      <c r="E325" s="3" t="str">
        <f>'FSL Source'!D325</f>
        <v>Luật nghiệp vụ &amp; DMN</v>
      </c>
      <c r="F325" s="4" t="str">
        <f>'FSL Source'!E325</f>
        <v>Quyết định DMN</v>
      </c>
      <c r="G325" s="4" t="str">
        <f>'FSL Source'!F325</f>
        <v>Tạo mới Quyết định DMN</v>
      </c>
      <c r="H325" s="4" t="str">
        <f>'FSL Source'!G325</f>
        <v>Khởi tạo Quyết định DMN, kiểm tra dữ liệu bắt buộc và lưu nháp trước khi hoàn tất.</v>
      </c>
      <c r="I325" s="3" t="str">
        <f>'FSL Source'!H325</f>
        <v>BA/Quản trị cấu hình</v>
      </c>
      <c r="J325" s="3" t="str">
        <f>'FSL Source'!I325</f>
        <v>Nghiệp vụ</v>
      </c>
      <c r="K325" s="3">
        <f>'FSL Source'!J325</f>
        <v>0</v>
      </c>
      <c r="L325" s="3" t="str">
        <f>'FSL Source'!K325</f>
        <v>CAP-01</v>
      </c>
      <c r="M325" s="3" t="str">
        <f>'FSL Source'!L325</f>
        <v>Must</v>
      </c>
      <c r="N325" s="3" t="str">
        <f>'FSL Source'!M325</f>
        <v>Pha 1</v>
      </c>
      <c r="O325" s="3" t="str">
        <f>'FSL Source'!N325</f>
        <v>Đề xuất trong phạm vi</v>
      </c>
      <c r="P325" s="4" t="str">
        <f>'FSL Source'!O325</f>
        <v>Hiệu chỉnh từ VHT_WBS</v>
      </c>
      <c r="Q325" s="4" t="str">
        <f>'FSL Source'!P325</f>
        <v>Dữ liệu hợp lệ được lưu; lỗi validation hiển thị tại trường tương ứng.</v>
      </c>
      <c r="R325" s="4">
        <f>'FSL Source'!Q325</f>
        <v>0</v>
      </c>
      <c r="S325" s="3"/>
      <c r="T325" s="3"/>
      <c r="U325" s="8"/>
      <c r="V325" s="8"/>
      <c r="W325" s="9"/>
      <c r="X325" s="9" t="str">
        <f t="shared" ref="X325:X388" si="5">IF(OR(W325="",V325=""),"",WORKDAY(W325,V325-1))</f>
        <v/>
      </c>
      <c r="Y325" s="3" t="s">
        <v>1860</v>
      </c>
      <c r="Z325" s="10">
        <v>0</v>
      </c>
      <c r="AA325" s="4"/>
    </row>
    <row r="326" spans="1:27" ht="25.5">
      <c r="A326" s="3" t="str">
        <f>B326&amp;"."&amp;TEXT(COUNTIF($B$5:B326,B326),"000")</f>
        <v>1.14.03.003</v>
      </c>
      <c r="B326" s="3" t="str">
        <f>IFERROR(INDEX('Work Packages'!$A$5:$A$200,MATCH(D326&amp;"|"&amp;E326,'Work Packages'!$P$5:$P$200,0)),"")</f>
        <v>1.14.03</v>
      </c>
      <c r="C326" s="3" t="str">
        <f>'FSL Source'!B326</f>
        <v>CFG-DMN-003</v>
      </c>
      <c r="D326" s="3" t="str">
        <f>'FSL Source'!C326</f>
        <v>Quy trình &amp; Cấu hình Nghiệp vụ</v>
      </c>
      <c r="E326" s="3" t="str">
        <f>'FSL Source'!D326</f>
        <v>Luật nghiệp vụ &amp; DMN</v>
      </c>
      <c r="F326" s="4" t="str">
        <f>'FSL Source'!E326</f>
        <v>Quyết định DMN</v>
      </c>
      <c r="G326" s="4" t="str">
        <f>'FSL Source'!F326</f>
        <v>Sao chép Quyết định DMN</v>
      </c>
      <c r="H326" s="4" t="str">
        <f>'FSL Source'!G326</f>
        <v>Tạo bản mới từ một Quyết định DMN hiện hữu và loại bỏ các thông tin không được kế thừa.</v>
      </c>
      <c r="I326" s="3" t="str">
        <f>'FSL Source'!H326</f>
        <v>BA/Quản trị cấu hình</v>
      </c>
      <c r="J326" s="3" t="str">
        <f>'FSL Source'!I326</f>
        <v>Nghiệp vụ</v>
      </c>
      <c r="K326" s="3">
        <f>'FSL Source'!J326</f>
        <v>0</v>
      </c>
      <c r="L326" s="3" t="str">
        <f>'FSL Source'!K326</f>
        <v>CAP-01</v>
      </c>
      <c r="M326" s="3" t="str">
        <f>'FSL Source'!L326</f>
        <v>Should</v>
      </c>
      <c r="N326" s="3" t="str">
        <f>'FSL Source'!M326</f>
        <v>Pha 1</v>
      </c>
      <c r="O326" s="3" t="str">
        <f>'FSL Source'!N326</f>
        <v>Đề xuất trong phạm vi</v>
      </c>
      <c r="P326" s="4" t="str">
        <f>'FSL Source'!O326</f>
        <v>Hiệu chỉnh từ VHT_WBS</v>
      </c>
      <c r="Q326" s="4" t="str">
        <f>'FSL Source'!P326</f>
        <v>Bản sao có mã/phiên bản mới và không làm thay đổi bản nguồn.</v>
      </c>
      <c r="R326" s="4">
        <f>'FSL Source'!Q326</f>
        <v>0</v>
      </c>
      <c r="S326" s="3"/>
      <c r="T326" s="3"/>
      <c r="U326" s="8"/>
      <c r="V326" s="8"/>
      <c r="W326" s="9"/>
      <c r="X326" s="9" t="str">
        <f t="shared" si="5"/>
        <v/>
      </c>
      <c r="Y326" s="3" t="s">
        <v>1860</v>
      </c>
      <c r="Z326" s="10">
        <v>0</v>
      </c>
      <c r="AA326" s="4"/>
    </row>
    <row r="327" spans="1:27" ht="25.5">
      <c r="A327" s="3" t="str">
        <f>B327&amp;"."&amp;TEXT(COUNTIF($B$5:B327,B327),"000")</f>
        <v>1.14.03.004</v>
      </c>
      <c r="B327" s="3" t="str">
        <f>IFERROR(INDEX('Work Packages'!$A$5:$A$200,MATCH(D327&amp;"|"&amp;E327,'Work Packages'!$P$5:$P$200,0)),"")</f>
        <v>1.14.03</v>
      </c>
      <c r="C327" s="3" t="str">
        <f>'FSL Source'!B327</f>
        <v>CFG-DMN-004</v>
      </c>
      <c r="D327" s="3" t="str">
        <f>'FSL Source'!C327</f>
        <v>Quy trình &amp; Cấu hình Nghiệp vụ</v>
      </c>
      <c r="E327" s="3" t="str">
        <f>'FSL Source'!D327</f>
        <v>Luật nghiệp vụ &amp; DMN</v>
      </c>
      <c r="F327" s="4" t="str">
        <f>'FSL Source'!E327</f>
        <v>Quyết định DMN</v>
      </c>
      <c r="G327" s="4" t="str">
        <f>'FSL Source'!F327</f>
        <v>Xem chi tiết Quyết định DMN</v>
      </c>
      <c r="H327" s="4" t="str">
        <f>'FSL Source'!G327</f>
        <v>Hiển thị thông tin tổng quan, dữ liệu chi tiết, tài liệu liên quan và trạng thái của Quyết định DMN.</v>
      </c>
      <c r="I327" s="3" t="str">
        <f>'FSL Source'!H327</f>
        <v>BA/Quản trị cấu hình</v>
      </c>
      <c r="J327" s="3" t="str">
        <f>'FSL Source'!I327</f>
        <v>Nghiệp vụ</v>
      </c>
      <c r="K327" s="3">
        <f>'FSL Source'!J327</f>
        <v>0</v>
      </c>
      <c r="L327" s="3" t="str">
        <f>'FSL Source'!K327</f>
        <v>CAP-01</v>
      </c>
      <c r="M327" s="3" t="str">
        <f>'FSL Source'!L327</f>
        <v>Must</v>
      </c>
      <c r="N327" s="3" t="str">
        <f>'FSL Source'!M327</f>
        <v>Pha 1</v>
      </c>
      <c r="O327" s="3" t="str">
        <f>'FSL Source'!N327</f>
        <v>Đề xuất trong phạm vi</v>
      </c>
      <c r="P327" s="4" t="str">
        <f>'FSL Source'!O327</f>
        <v>Hiệu chỉnh từ VHT_WBS</v>
      </c>
      <c r="Q327" s="4" t="str">
        <f>'FSL Source'!P327</f>
        <v>Thông tin hiển thị đúng phiên bản và quyền truy cập.</v>
      </c>
      <c r="R327" s="4">
        <f>'FSL Source'!Q327</f>
        <v>0</v>
      </c>
      <c r="S327" s="3"/>
      <c r="T327" s="3"/>
      <c r="U327" s="8"/>
      <c r="V327" s="8"/>
      <c r="W327" s="9"/>
      <c r="X327" s="9" t="str">
        <f t="shared" si="5"/>
        <v/>
      </c>
      <c r="Y327" s="3" t="s">
        <v>1860</v>
      </c>
      <c r="Z327" s="10">
        <v>0</v>
      </c>
      <c r="AA327" s="4"/>
    </row>
    <row r="328" spans="1:27" ht="25.5">
      <c r="A328" s="3" t="str">
        <f>B328&amp;"."&amp;TEXT(COUNTIF($B$5:B328,B328),"000")</f>
        <v>1.14.03.005</v>
      </c>
      <c r="B328" s="3" t="str">
        <f>IFERROR(INDEX('Work Packages'!$A$5:$A$200,MATCH(D328&amp;"|"&amp;E328,'Work Packages'!$P$5:$P$200,0)),"")</f>
        <v>1.14.03</v>
      </c>
      <c r="C328" s="3" t="str">
        <f>'FSL Source'!B328</f>
        <v>CFG-DMN-005</v>
      </c>
      <c r="D328" s="3" t="str">
        <f>'FSL Source'!C328</f>
        <v>Quy trình &amp; Cấu hình Nghiệp vụ</v>
      </c>
      <c r="E328" s="3" t="str">
        <f>'FSL Source'!D328</f>
        <v>Luật nghiệp vụ &amp; DMN</v>
      </c>
      <c r="F328" s="4" t="str">
        <f>'FSL Source'!E328</f>
        <v>Quyết định DMN</v>
      </c>
      <c r="G328" s="4" t="str">
        <f>'FSL Source'!F328</f>
        <v>Chỉnh sửa Quyết định DMN</v>
      </c>
      <c r="H328" s="4" t="str">
        <f>'FSL Source'!G328</f>
        <v>Cập nhật Quyết định DMN khi trạng thái và quyền người dùng cho phép; kiểm soát xung đột cập nhật.</v>
      </c>
      <c r="I328" s="3" t="str">
        <f>'FSL Source'!H328</f>
        <v>BA/Quản trị cấu hình</v>
      </c>
      <c r="J328" s="3" t="str">
        <f>'FSL Source'!I328</f>
        <v>Nghiệp vụ</v>
      </c>
      <c r="K328" s="3">
        <f>'FSL Source'!J328</f>
        <v>0</v>
      </c>
      <c r="L328" s="3" t="str">
        <f>'FSL Source'!K328</f>
        <v>CAP-01</v>
      </c>
      <c r="M328" s="3" t="str">
        <f>'FSL Source'!L328</f>
        <v>Must</v>
      </c>
      <c r="N328" s="3" t="str">
        <f>'FSL Source'!M328</f>
        <v>Pha 1</v>
      </c>
      <c r="O328" s="3" t="str">
        <f>'FSL Source'!N328</f>
        <v>Đề xuất trong phạm vi</v>
      </c>
      <c r="P328" s="4" t="str">
        <f>'FSL Source'!O328</f>
        <v>Hiệu chỉnh từ VHT_WBS</v>
      </c>
      <c r="Q328" s="4" t="str">
        <f>'FSL Source'!P328</f>
        <v>Chỉ trường được phép sửa có hiệu lực và thay đổi được ghi lịch sử.</v>
      </c>
      <c r="R328" s="4">
        <f>'FSL Source'!Q328</f>
        <v>0</v>
      </c>
      <c r="S328" s="3"/>
      <c r="T328" s="3"/>
      <c r="U328" s="8"/>
      <c r="V328" s="8"/>
      <c r="W328" s="9"/>
      <c r="X328" s="9" t="str">
        <f t="shared" si="5"/>
        <v/>
      </c>
      <c r="Y328" s="3" t="s">
        <v>1860</v>
      </c>
      <c r="Z328" s="10">
        <v>0</v>
      </c>
      <c r="AA328" s="4"/>
    </row>
    <row r="329" spans="1:27" ht="25.5">
      <c r="A329" s="3" t="str">
        <f>B329&amp;"."&amp;TEXT(COUNTIF($B$5:B329,B329),"000")</f>
        <v>1.14.03.006</v>
      </c>
      <c r="B329" s="3" t="str">
        <f>IFERROR(INDEX('Work Packages'!$A$5:$A$200,MATCH(D329&amp;"|"&amp;E329,'Work Packages'!$P$5:$P$200,0)),"")</f>
        <v>1.14.03</v>
      </c>
      <c r="C329" s="3" t="str">
        <f>'FSL Source'!B329</f>
        <v>CFG-DMN-006</v>
      </c>
      <c r="D329" s="3" t="str">
        <f>'FSL Source'!C329</f>
        <v>Quy trình &amp; Cấu hình Nghiệp vụ</v>
      </c>
      <c r="E329" s="3" t="str">
        <f>'FSL Source'!D329</f>
        <v>Luật nghiệp vụ &amp; DMN</v>
      </c>
      <c r="F329" s="4" t="str">
        <f>'FSL Source'!E329</f>
        <v>Quyết định DMN</v>
      </c>
      <c r="G329" s="4" t="str">
        <f>'FSL Source'!F329</f>
        <v>Xóa/Ngừng sử dụng Quyết định DMN</v>
      </c>
      <c r="H329" s="4" t="str">
        <f>'FSL Source'!G329</f>
        <v>Xóa logic hoặc ngừng sử dụng Quyết định DMN sau khi kiểm tra ràng buộc tham chiếu.</v>
      </c>
      <c r="I329" s="3" t="str">
        <f>'FSL Source'!H329</f>
        <v>Quản trị/Cán bộ nghiệp vụ</v>
      </c>
      <c r="J329" s="3" t="str">
        <f>'FSL Source'!I329</f>
        <v>Nghiệp vụ</v>
      </c>
      <c r="K329" s="3">
        <f>'FSL Source'!J329</f>
        <v>0</v>
      </c>
      <c r="L329" s="3" t="str">
        <f>'FSL Source'!K329</f>
        <v>CAP-01</v>
      </c>
      <c r="M329" s="3" t="str">
        <f>'FSL Source'!L329</f>
        <v>Should</v>
      </c>
      <c r="N329" s="3" t="str">
        <f>'FSL Source'!M329</f>
        <v>Pha 1</v>
      </c>
      <c r="O329" s="3" t="str">
        <f>'FSL Source'!N329</f>
        <v>Đề xuất trong phạm vi</v>
      </c>
      <c r="P329" s="4" t="str">
        <f>'FSL Source'!O329</f>
        <v>Hiệu chỉnh từ VHT_WBS</v>
      </c>
      <c r="Q329" s="4" t="str">
        <f>'FSL Source'!P329</f>
        <v>Không xóa vật lý dữ liệu đã phát sinh giao dịch; cảnh báo rõ quan hệ phụ thuộc.</v>
      </c>
      <c r="R329" s="4">
        <f>'FSL Source'!Q329</f>
        <v>0</v>
      </c>
      <c r="S329" s="3"/>
      <c r="T329" s="3"/>
      <c r="U329" s="8"/>
      <c r="V329" s="8"/>
      <c r="W329" s="9"/>
      <c r="X329" s="9" t="str">
        <f t="shared" si="5"/>
        <v/>
      </c>
      <c r="Y329" s="3" t="s">
        <v>1860</v>
      </c>
      <c r="Z329" s="10">
        <v>0</v>
      </c>
      <c r="AA329" s="4"/>
    </row>
    <row r="330" spans="1:27" ht="25.5">
      <c r="A330" s="3" t="str">
        <f>B330&amp;"."&amp;TEXT(COUNTIF($B$5:B330,B330),"000")</f>
        <v>1.14.03.007</v>
      </c>
      <c r="B330" s="3" t="str">
        <f>IFERROR(INDEX('Work Packages'!$A$5:$A$200,MATCH(D330&amp;"|"&amp;E330,'Work Packages'!$P$5:$P$200,0)),"")</f>
        <v>1.14.03</v>
      </c>
      <c r="C330" s="3" t="str">
        <f>'FSL Source'!B330</f>
        <v>CFG-DMN-007</v>
      </c>
      <c r="D330" s="3" t="str">
        <f>'FSL Source'!C330</f>
        <v>Quy trình &amp; Cấu hình Nghiệp vụ</v>
      </c>
      <c r="E330" s="3" t="str">
        <f>'FSL Source'!D330</f>
        <v>Luật nghiệp vụ &amp; DMN</v>
      </c>
      <c r="F330" s="4" t="str">
        <f>'FSL Source'!E330</f>
        <v>Quyết định DMN</v>
      </c>
      <c r="G330" s="4" t="str">
        <f>'FSL Source'!F330</f>
        <v>Xem lịch sử Quyết định DMN</v>
      </c>
      <c r="H330" s="4" t="str">
        <f>'FSL Source'!G330</f>
        <v>Theo dõi phiên bản, thay đổi dữ liệu, người thực hiện và lịch sử xử lý của Quyết định DMN.</v>
      </c>
      <c r="I330" s="3" t="str">
        <f>'FSL Source'!H330</f>
        <v>Cán bộ nghiệp vụ/Quản trị</v>
      </c>
      <c r="J330" s="3" t="str">
        <f>'FSL Source'!I330</f>
        <v>Audit</v>
      </c>
      <c r="K330" s="3">
        <f>'FSL Source'!J330</f>
        <v>0</v>
      </c>
      <c r="L330" s="3" t="str">
        <f>'FSL Source'!K330</f>
        <v>CAP-01</v>
      </c>
      <c r="M330" s="3" t="str">
        <f>'FSL Source'!L330</f>
        <v>Must</v>
      </c>
      <c r="N330" s="3" t="str">
        <f>'FSL Source'!M330</f>
        <v>Pha 1</v>
      </c>
      <c r="O330" s="3" t="str">
        <f>'FSL Source'!N330</f>
        <v>Đề xuất trong phạm vi</v>
      </c>
      <c r="P330" s="4" t="str">
        <f>'FSL Source'!O330</f>
        <v>Hiệu chỉnh từ VHT_WBS</v>
      </c>
      <c r="Q330" s="4" t="str">
        <f>'FSL Source'!P330</f>
        <v>Lịch sử không thể sửa và truy vết được trước/sau của thay đổi quan trọng.</v>
      </c>
      <c r="R330" s="4">
        <f>'FSL Source'!Q330</f>
        <v>0</v>
      </c>
      <c r="S330" s="3"/>
      <c r="T330" s="3"/>
      <c r="U330" s="8"/>
      <c r="V330" s="8"/>
      <c r="W330" s="9"/>
      <c r="X330" s="9" t="str">
        <f t="shared" si="5"/>
        <v/>
      </c>
      <c r="Y330" s="3" t="s">
        <v>1860</v>
      </c>
      <c r="Z330" s="10">
        <v>0</v>
      </c>
      <c r="AA330" s="4"/>
    </row>
    <row r="331" spans="1:27" ht="25.5">
      <c r="A331" s="3" t="str">
        <f>B331&amp;"."&amp;TEXT(COUNTIF($B$5:B331,B331),"000")</f>
        <v>1.14.03.008</v>
      </c>
      <c r="B331" s="3" t="str">
        <f>IFERROR(INDEX('Work Packages'!$A$5:$A$200,MATCH(D331&amp;"|"&amp;E331,'Work Packages'!$P$5:$P$200,0)),"")</f>
        <v>1.14.03</v>
      </c>
      <c r="C331" s="3" t="str">
        <f>'FSL Source'!B331</f>
        <v>CFG-DMN-008</v>
      </c>
      <c r="D331" s="3" t="str">
        <f>'FSL Source'!C331</f>
        <v>Quy trình &amp; Cấu hình Nghiệp vụ</v>
      </c>
      <c r="E331" s="3" t="str">
        <f>'FSL Source'!D331</f>
        <v>Luật nghiệp vụ &amp; DMN</v>
      </c>
      <c r="F331" s="4" t="str">
        <f>'FSL Source'!E331</f>
        <v>Thiết kế</v>
      </c>
      <c r="G331" s="4" t="str">
        <f>'FSL Source'!F331</f>
        <v>Thiết kế decision table, FEEL và DRD</v>
      </c>
      <c r="H331" s="4" t="str">
        <f>'FSL Source'!G331</f>
        <v>Quản lý input/output, hit policy, expression, quan hệ quyết định và kiểm tra cú pháp.</v>
      </c>
      <c r="I331" s="3" t="str">
        <f>'FSL Source'!H331</f>
        <v>BA/Quản trị cấu hình</v>
      </c>
      <c r="J331" s="3" t="str">
        <f>'FSL Source'!I331</f>
        <v>Cấu hình</v>
      </c>
      <c r="K331" s="3">
        <f>'FSL Source'!J331</f>
        <v>0</v>
      </c>
      <c r="L331" s="3" t="str">
        <f>'FSL Source'!K331</f>
        <v>CAP-01</v>
      </c>
      <c r="M331" s="3" t="str">
        <f>'FSL Source'!L331</f>
        <v>Must</v>
      </c>
      <c r="N331" s="3" t="str">
        <f>'FSL Source'!M331</f>
        <v>Pha 1</v>
      </c>
      <c r="O331" s="3" t="str">
        <f>'FSL Source'!N331</f>
        <v>Đề xuất trong phạm vi</v>
      </c>
      <c r="P331" s="4" t="str">
        <f>'FSL Source'!O331</f>
        <v>Bổ sung</v>
      </c>
      <c r="Q331" s="4">
        <f>'FSL Source'!P331</f>
        <v>0</v>
      </c>
      <c r="R331" s="4">
        <f>'FSL Source'!Q331</f>
        <v>0</v>
      </c>
      <c r="S331" s="3"/>
      <c r="T331" s="3"/>
      <c r="U331" s="8"/>
      <c r="V331" s="8"/>
      <c r="W331" s="9"/>
      <c r="X331" s="9" t="str">
        <f t="shared" si="5"/>
        <v/>
      </c>
      <c r="Y331" s="3" t="s">
        <v>1860</v>
      </c>
      <c r="Z331" s="10">
        <v>0</v>
      </c>
      <c r="AA331" s="4"/>
    </row>
    <row r="332" spans="1:27" ht="25.5">
      <c r="A332" s="3" t="str">
        <f>B332&amp;"."&amp;TEXT(COUNTIF($B$5:B332,B332),"000")</f>
        <v>1.14.03.009</v>
      </c>
      <c r="B332" s="3" t="str">
        <f>IFERROR(INDEX('Work Packages'!$A$5:$A$200,MATCH(D332&amp;"|"&amp;E332,'Work Packages'!$P$5:$P$200,0)),"")</f>
        <v>1.14.03</v>
      </c>
      <c r="C332" s="3" t="str">
        <f>'FSL Source'!B332</f>
        <v>CFG-DMN-009</v>
      </c>
      <c r="D332" s="3" t="str">
        <f>'FSL Source'!C332</f>
        <v>Quy trình &amp; Cấu hình Nghiệp vụ</v>
      </c>
      <c r="E332" s="3" t="str">
        <f>'FSL Source'!D332</f>
        <v>Luật nghiệp vụ &amp; DMN</v>
      </c>
      <c r="F332" s="4" t="str">
        <f>'FSL Source'!E332</f>
        <v>Kiểm thử</v>
      </c>
      <c r="G332" s="4" t="str">
        <f>'FSL Source'!F332</f>
        <v>Test và mô phỏng quyết định</v>
      </c>
      <c r="H332" s="4" t="str">
        <f>'FSL Source'!G332</f>
        <v>Chạy bộ dữ liệu test, hiển thị rule match và kết quả giải thích được.</v>
      </c>
      <c r="I332" s="3" t="str">
        <f>'FSL Source'!H332</f>
        <v>BA/QA</v>
      </c>
      <c r="J332" s="3" t="str">
        <f>'FSL Source'!I332</f>
        <v>Cấu hình</v>
      </c>
      <c r="K332" s="3">
        <f>'FSL Source'!J332</f>
        <v>0</v>
      </c>
      <c r="L332" s="3" t="str">
        <f>'FSL Source'!K332</f>
        <v>CAP-01</v>
      </c>
      <c r="M332" s="3" t="str">
        <f>'FSL Source'!L332</f>
        <v>Must</v>
      </c>
      <c r="N332" s="3" t="str">
        <f>'FSL Source'!M332</f>
        <v>Pha 1</v>
      </c>
      <c r="O332" s="3" t="str">
        <f>'FSL Source'!N332</f>
        <v>Đề xuất trong phạm vi</v>
      </c>
      <c r="P332" s="4" t="str">
        <f>'FSL Source'!O332</f>
        <v>Bổ sung</v>
      </c>
      <c r="Q332" s="4">
        <f>'FSL Source'!P332</f>
        <v>0</v>
      </c>
      <c r="R332" s="4">
        <f>'FSL Source'!Q332</f>
        <v>0</v>
      </c>
      <c r="S332" s="3"/>
      <c r="T332" s="3"/>
      <c r="U332" s="8"/>
      <c r="V332" s="8"/>
      <c r="W332" s="9"/>
      <c r="X332" s="9" t="str">
        <f t="shared" si="5"/>
        <v/>
      </c>
      <c r="Y332" s="3" t="s">
        <v>1860</v>
      </c>
      <c r="Z332" s="10">
        <v>0</v>
      </c>
      <c r="AA332" s="4"/>
    </row>
    <row r="333" spans="1:27" ht="25.5">
      <c r="A333" s="3" t="str">
        <f>B333&amp;"."&amp;TEXT(COUNTIF($B$5:B333,B333),"000")</f>
        <v>1.14.03.010</v>
      </c>
      <c r="B333" s="3" t="str">
        <f>IFERROR(INDEX('Work Packages'!$A$5:$A$200,MATCH(D333&amp;"|"&amp;E333,'Work Packages'!$P$5:$P$200,0)),"")</f>
        <v>1.14.03</v>
      </c>
      <c r="C333" s="3" t="str">
        <f>'FSL Source'!B333</f>
        <v>CFG-DMN-010</v>
      </c>
      <c r="D333" s="3" t="str">
        <f>'FSL Source'!C333</f>
        <v>Quy trình &amp; Cấu hình Nghiệp vụ</v>
      </c>
      <c r="E333" s="3" t="str">
        <f>'FSL Source'!D333</f>
        <v>Luật nghiệp vụ &amp; DMN</v>
      </c>
      <c r="F333" s="4" t="str">
        <f>'FSL Source'!E333</f>
        <v>Tái sử dụng</v>
      </c>
      <c r="G333" s="4" t="str">
        <f>'FSL Source'!F333</f>
        <v>Quản lý rule set dùng chung</v>
      </c>
      <c r="H333" s="4" t="str">
        <f>'FSL Source'!G333</f>
        <v>Cho phép nhiều workflow/module gọi chung một quyết định có version.</v>
      </c>
      <c r="I333" s="3" t="str">
        <f>'FSL Source'!H333</f>
        <v>BA/Quản trị cấu hình</v>
      </c>
      <c r="J333" s="3" t="str">
        <f>'FSL Source'!I333</f>
        <v>Cấu hình</v>
      </c>
      <c r="K333" s="3">
        <f>'FSL Source'!J333</f>
        <v>0</v>
      </c>
      <c r="L333" s="3" t="str">
        <f>'FSL Source'!K333</f>
        <v>CAP-01</v>
      </c>
      <c r="M333" s="3" t="str">
        <f>'FSL Source'!L333</f>
        <v>Should</v>
      </c>
      <c r="N333" s="3" t="str">
        <f>'FSL Source'!M333</f>
        <v>Pha 2</v>
      </c>
      <c r="O333" s="3" t="str">
        <f>'FSL Source'!N333</f>
        <v>Đề xuất trong phạm vi</v>
      </c>
      <c r="P333" s="4" t="str">
        <f>'FSL Source'!O333</f>
        <v>Bổ sung</v>
      </c>
      <c r="Q333" s="4">
        <f>'FSL Source'!P333</f>
        <v>0</v>
      </c>
      <c r="R333" s="4">
        <f>'FSL Source'!Q333</f>
        <v>0</v>
      </c>
      <c r="S333" s="3"/>
      <c r="T333" s="3"/>
      <c r="U333" s="8"/>
      <c r="V333" s="8"/>
      <c r="W333" s="9"/>
      <c r="X333" s="9" t="str">
        <f t="shared" si="5"/>
        <v/>
      </c>
      <c r="Y333" s="3" t="s">
        <v>1860</v>
      </c>
      <c r="Z333" s="10">
        <v>0</v>
      </c>
      <c r="AA333" s="4"/>
    </row>
    <row r="334" spans="1:27" ht="25.5">
      <c r="A334" s="3" t="str">
        <f>B334&amp;"."&amp;TEXT(COUNTIF($B$5:B334,B334),"000")</f>
        <v>1.14.04.001</v>
      </c>
      <c r="B334" s="3" t="str">
        <f>IFERROR(INDEX('Work Packages'!$A$5:$A$200,MATCH(D334&amp;"|"&amp;E334,'Work Packages'!$P$5:$P$200,0)),"")</f>
        <v>1.14.04</v>
      </c>
      <c r="C334" s="3" t="str">
        <f>'FSL Source'!B334</f>
        <v>CFG-APM-001</v>
      </c>
      <c r="D334" s="3" t="str">
        <f>'FSL Source'!C334</f>
        <v>Quy trình &amp; Cấu hình Nghiệp vụ</v>
      </c>
      <c r="E334" s="3" t="str">
        <f>'FSL Source'!D334</f>
        <v>Ma trận phê duyệt</v>
      </c>
      <c r="F334" s="4" t="str">
        <f>'FSL Source'!E334</f>
        <v>Ma trận phê duyệt</v>
      </c>
      <c r="G334" s="4" t="str">
        <f>'FSL Source'!F334</f>
        <v>Xem danh sách Ma trận phê duyệt</v>
      </c>
      <c r="H334" s="4" t="str">
        <f>'FSL Source'!G334</f>
        <v>Tra cứu danh sách, phân trang, sắp xếp và lọc Ma trận phê duyệt theo các tiêu chí nghiệp vụ.</v>
      </c>
      <c r="I334" s="3" t="str">
        <f>'FSL Source'!H334</f>
        <v>BA/Quản trị cấu hình</v>
      </c>
      <c r="J334" s="3" t="str">
        <f>'FSL Source'!I334</f>
        <v>Nghiệp vụ</v>
      </c>
      <c r="K334" s="3">
        <f>'FSL Source'!J334</f>
        <v>0</v>
      </c>
      <c r="L334" s="3" t="str">
        <f>'FSL Source'!K334</f>
        <v>CAP-08</v>
      </c>
      <c r="M334" s="3" t="str">
        <f>'FSL Source'!L334</f>
        <v>Must</v>
      </c>
      <c r="N334" s="3" t="str">
        <f>'FSL Source'!M334</f>
        <v>Pha 1</v>
      </c>
      <c r="O334" s="3" t="str">
        <f>'FSL Source'!N334</f>
        <v>Đề xuất trong phạm vi</v>
      </c>
      <c r="P334" s="4" t="str">
        <f>'FSL Source'!O334</f>
        <v>Hiệu chỉnh từ VHT_WBS</v>
      </c>
      <c r="Q334" s="4" t="str">
        <f>'FSL Source'!P334</f>
        <v>Danh sách hiển thị đúng phạm vi dữ liệu và hỗ trợ lọc/xuất theo quyền.</v>
      </c>
      <c r="R334" s="4">
        <f>'FSL Source'!Q334</f>
        <v>0</v>
      </c>
      <c r="S334" s="3"/>
      <c r="T334" s="3"/>
      <c r="U334" s="8"/>
      <c r="V334" s="8"/>
      <c r="W334" s="9"/>
      <c r="X334" s="9" t="str">
        <f t="shared" si="5"/>
        <v/>
      </c>
      <c r="Y334" s="3" t="s">
        <v>1860</v>
      </c>
      <c r="Z334" s="10">
        <v>0</v>
      </c>
      <c r="AA334" s="4"/>
    </row>
    <row r="335" spans="1:27" ht="25.5">
      <c r="A335" s="3" t="str">
        <f>B335&amp;"."&amp;TEXT(COUNTIF($B$5:B335,B335),"000")</f>
        <v>1.14.04.002</v>
      </c>
      <c r="B335" s="3" t="str">
        <f>IFERROR(INDEX('Work Packages'!$A$5:$A$200,MATCH(D335&amp;"|"&amp;E335,'Work Packages'!$P$5:$P$200,0)),"")</f>
        <v>1.14.04</v>
      </c>
      <c r="C335" s="3" t="str">
        <f>'FSL Source'!B335</f>
        <v>CFG-APM-002</v>
      </c>
      <c r="D335" s="3" t="str">
        <f>'FSL Source'!C335</f>
        <v>Quy trình &amp; Cấu hình Nghiệp vụ</v>
      </c>
      <c r="E335" s="3" t="str">
        <f>'FSL Source'!D335</f>
        <v>Ma trận phê duyệt</v>
      </c>
      <c r="F335" s="4" t="str">
        <f>'FSL Source'!E335</f>
        <v>Ma trận phê duyệt</v>
      </c>
      <c r="G335" s="4" t="str">
        <f>'FSL Source'!F335</f>
        <v>Tạo mới Ma trận phê duyệt</v>
      </c>
      <c r="H335" s="4" t="str">
        <f>'FSL Source'!G335</f>
        <v>Khởi tạo Ma trận phê duyệt, kiểm tra dữ liệu bắt buộc và lưu nháp trước khi hoàn tất.</v>
      </c>
      <c r="I335" s="3" t="str">
        <f>'FSL Source'!H335</f>
        <v>BA/Quản trị cấu hình</v>
      </c>
      <c r="J335" s="3" t="str">
        <f>'FSL Source'!I335</f>
        <v>Nghiệp vụ</v>
      </c>
      <c r="K335" s="3">
        <f>'FSL Source'!J335</f>
        <v>0</v>
      </c>
      <c r="L335" s="3" t="str">
        <f>'FSL Source'!K335</f>
        <v>CAP-08</v>
      </c>
      <c r="M335" s="3" t="str">
        <f>'FSL Source'!L335</f>
        <v>Must</v>
      </c>
      <c r="N335" s="3" t="str">
        <f>'FSL Source'!M335</f>
        <v>Pha 1</v>
      </c>
      <c r="O335" s="3" t="str">
        <f>'FSL Source'!N335</f>
        <v>Đề xuất trong phạm vi</v>
      </c>
      <c r="P335" s="4" t="str">
        <f>'FSL Source'!O335</f>
        <v>Hiệu chỉnh từ VHT_WBS</v>
      </c>
      <c r="Q335" s="4" t="str">
        <f>'FSL Source'!P335</f>
        <v>Dữ liệu hợp lệ được lưu; lỗi validation hiển thị tại trường tương ứng.</v>
      </c>
      <c r="R335" s="4">
        <f>'FSL Source'!Q335</f>
        <v>0</v>
      </c>
      <c r="S335" s="3"/>
      <c r="T335" s="3"/>
      <c r="U335" s="8"/>
      <c r="V335" s="8"/>
      <c r="W335" s="9"/>
      <c r="X335" s="9" t="str">
        <f t="shared" si="5"/>
        <v/>
      </c>
      <c r="Y335" s="3" t="s">
        <v>1860</v>
      </c>
      <c r="Z335" s="10">
        <v>0</v>
      </c>
      <c r="AA335" s="4"/>
    </row>
    <row r="336" spans="1:27" ht="25.5">
      <c r="A336" s="3" t="str">
        <f>B336&amp;"."&amp;TEXT(COUNTIF($B$5:B336,B336),"000")</f>
        <v>1.14.04.003</v>
      </c>
      <c r="B336" s="3" t="str">
        <f>IFERROR(INDEX('Work Packages'!$A$5:$A$200,MATCH(D336&amp;"|"&amp;E336,'Work Packages'!$P$5:$P$200,0)),"")</f>
        <v>1.14.04</v>
      </c>
      <c r="C336" s="3" t="str">
        <f>'FSL Source'!B336</f>
        <v>CFG-APM-003</v>
      </c>
      <c r="D336" s="3" t="str">
        <f>'FSL Source'!C336</f>
        <v>Quy trình &amp; Cấu hình Nghiệp vụ</v>
      </c>
      <c r="E336" s="3" t="str">
        <f>'FSL Source'!D336</f>
        <v>Ma trận phê duyệt</v>
      </c>
      <c r="F336" s="4" t="str">
        <f>'FSL Source'!E336</f>
        <v>Ma trận phê duyệt</v>
      </c>
      <c r="G336" s="4" t="str">
        <f>'FSL Source'!F336</f>
        <v>Sao chép Ma trận phê duyệt</v>
      </c>
      <c r="H336" s="4" t="str">
        <f>'FSL Source'!G336</f>
        <v>Tạo bản mới từ một Ma trận phê duyệt hiện hữu và loại bỏ các thông tin không được kế thừa.</v>
      </c>
      <c r="I336" s="3" t="str">
        <f>'FSL Source'!H336</f>
        <v>BA/Quản trị cấu hình</v>
      </c>
      <c r="J336" s="3" t="str">
        <f>'FSL Source'!I336</f>
        <v>Nghiệp vụ</v>
      </c>
      <c r="K336" s="3">
        <f>'FSL Source'!J336</f>
        <v>0</v>
      </c>
      <c r="L336" s="3" t="str">
        <f>'FSL Source'!K336</f>
        <v>CAP-08</v>
      </c>
      <c r="M336" s="3" t="str">
        <f>'FSL Source'!L336</f>
        <v>Should</v>
      </c>
      <c r="N336" s="3" t="str">
        <f>'FSL Source'!M336</f>
        <v>Pha 1</v>
      </c>
      <c r="O336" s="3" t="str">
        <f>'FSL Source'!N336</f>
        <v>Đề xuất trong phạm vi</v>
      </c>
      <c r="P336" s="4" t="str">
        <f>'FSL Source'!O336</f>
        <v>Hiệu chỉnh từ VHT_WBS</v>
      </c>
      <c r="Q336" s="4" t="str">
        <f>'FSL Source'!P336</f>
        <v>Bản sao có mã/phiên bản mới và không làm thay đổi bản nguồn.</v>
      </c>
      <c r="R336" s="4">
        <f>'FSL Source'!Q336</f>
        <v>0</v>
      </c>
      <c r="S336" s="3"/>
      <c r="T336" s="3"/>
      <c r="U336" s="8"/>
      <c r="V336" s="8"/>
      <c r="W336" s="9"/>
      <c r="X336" s="9" t="str">
        <f t="shared" si="5"/>
        <v/>
      </c>
      <c r="Y336" s="3" t="s">
        <v>1860</v>
      </c>
      <c r="Z336" s="10">
        <v>0</v>
      </c>
      <c r="AA336" s="4"/>
    </row>
    <row r="337" spans="1:27" ht="25.5">
      <c r="A337" s="3" t="str">
        <f>B337&amp;"."&amp;TEXT(COUNTIF($B$5:B337,B337),"000")</f>
        <v>1.14.04.004</v>
      </c>
      <c r="B337" s="3" t="str">
        <f>IFERROR(INDEX('Work Packages'!$A$5:$A$200,MATCH(D337&amp;"|"&amp;E337,'Work Packages'!$P$5:$P$200,0)),"")</f>
        <v>1.14.04</v>
      </c>
      <c r="C337" s="3" t="str">
        <f>'FSL Source'!B337</f>
        <v>CFG-APM-004</v>
      </c>
      <c r="D337" s="3" t="str">
        <f>'FSL Source'!C337</f>
        <v>Quy trình &amp; Cấu hình Nghiệp vụ</v>
      </c>
      <c r="E337" s="3" t="str">
        <f>'FSL Source'!D337</f>
        <v>Ma trận phê duyệt</v>
      </c>
      <c r="F337" s="4" t="str">
        <f>'FSL Source'!E337</f>
        <v>Ma trận phê duyệt</v>
      </c>
      <c r="G337" s="4" t="str">
        <f>'FSL Source'!F337</f>
        <v>Xem chi tiết Ma trận phê duyệt</v>
      </c>
      <c r="H337" s="4" t="str">
        <f>'FSL Source'!G337</f>
        <v>Hiển thị thông tin tổng quan, dữ liệu chi tiết, tài liệu liên quan và trạng thái của Ma trận phê duyệt.</v>
      </c>
      <c r="I337" s="3" t="str">
        <f>'FSL Source'!H337</f>
        <v>BA/Quản trị cấu hình</v>
      </c>
      <c r="J337" s="3" t="str">
        <f>'FSL Source'!I337</f>
        <v>Nghiệp vụ</v>
      </c>
      <c r="K337" s="3">
        <f>'FSL Source'!J337</f>
        <v>0</v>
      </c>
      <c r="L337" s="3" t="str">
        <f>'FSL Source'!K337</f>
        <v>CAP-08</v>
      </c>
      <c r="M337" s="3" t="str">
        <f>'FSL Source'!L337</f>
        <v>Must</v>
      </c>
      <c r="N337" s="3" t="str">
        <f>'FSL Source'!M337</f>
        <v>Pha 1</v>
      </c>
      <c r="O337" s="3" t="str">
        <f>'FSL Source'!N337</f>
        <v>Đề xuất trong phạm vi</v>
      </c>
      <c r="P337" s="4" t="str">
        <f>'FSL Source'!O337</f>
        <v>Hiệu chỉnh từ VHT_WBS</v>
      </c>
      <c r="Q337" s="4" t="str">
        <f>'FSL Source'!P337</f>
        <v>Thông tin hiển thị đúng phiên bản và quyền truy cập.</v>
      </c>
      <c r="R337" s="4">
        <f>'FSL Source'!Q337</f>
        <v>0</v>
      </c>
      <c r="S337" s="3"/>
      <c r="T337" s="3"/>
      <c r="U337" s="8"/>
      <c r="V337" s="8"/>
      <c r="W337" s="9"/>
      <c r="X337" s="9" t="str">
        <f t="shared" si="5"/>
        <v/>
      </c>
      <c r="Y337" s="3" t="s">
        <v>1860</v>
      </c>
      <c r="Z337" s="10">
        <v>0</v>
      </c>
      <c r="AA337" s="4"/>
    </row>
    <row r="338" spans="1:27" ht="25.5">
      <c r="A338" s="3" t="str">
        <f>B338&amp;"."&amp;TEXT(COUNTIF($B$5:B338,B338),"000")</f>
        <v>1.14.04.005</v>
      </c>
      <c r="B338" s="3" t="str">
        <f>IFERROR(INDEX('Work Packages'!$A$5:$A$200,MATCH(D338&amp;"|"&amp;E338,'Work Packages'!$P$5:$P$200,0)),"")</f>
        <v>1.14.04</v>
      </c>
      <c r="C338" s="3" t="str">
        <f>'FSL Source'!B338</f>
        <v>CFG-APM-005</v>
      </c>
      <c r="D338" s="3" t="str">
        <f>'FSL Source'!C338</f>
        <v>Quy trình &amp; Cấu hình Nghiệp vụ</v>
      </c>
      <c r="E338" s="3" t="str">
        <f>'FSL Source'!D338</f>
        <v>Ma trận phê duyệt</v>
      </c>
      <c r="F338" s="4" t="str">
        <f>'FSL Source'!E338</f>
        <v>Ma trận phê duyệt</v>
      </c>
      <c r="G338" s="4" t="str">
        <f>'FSL Source'!F338</f>
        <v>Chỉnh sửa Ma trận phê duyệt</v>
      </c>
      <c r="H338" s="4" t="str">
        <f>'FSL Source'!G338</f>
        <v>Cập nhật Ma trận phê duyệt khi trạng thái và quyền người dùng cho phép; kiểm soát xung đột cập nhật.</v>
      </c>
      <c r="I338" s="3" t="str">
        <f>'FSL Source'!H338</f>
        <v>BA/Quản trị cấu hình</v>
      </c>
      <c r="J338" s="3" t="str">
        <f>'FSL Source'!I338</f>
        <v>Nghiệp vụ</v>
      </c>
      <c r="K338" s="3">
        <f>'FSL Source'!J338</f>
        <v>0</v>
      </c>
      <c r="L338" s="3" t="str">
        <f>'FSL Source'!K338</f>
        <v>CAP-08</v>
      </c>
      <c r="M338" s="3" t="str">
        <f>'FSL Source'!L338</f>
        <v>Must</v>
      </c>
      <c r="N338" s="3" t="str">
        <f>'FSL Source'!M338</f>
        <v>Pha 1</v>
      </c>
      <c r="O338" s="3" t="str">
        <f>'FSL Source'!N338</f>
        <v>Đề xuất trong phạm vi</v>
      </c>
      <c r="P338" s="4" t="str">
        <f>'FSL Source'!O338</f>
        <v>Hiệu chỉnh từ VHT_WBS</v>
      </c>
      <c r="Q338" s="4" t="str">
        <f>'FSL Source'!P338</f>
        <v>Chỉ trường được phép sửa có hiệu lực và thay đổi được ghi lịch sử.</v>
      </c>
      <c r="R338" s="4">
        <f>'FSL Source'!Q338</f>
        <v>0</v>
      </c>
      <c r="S338" s="3"/>
      <c r="T338" s="3"/>
      <c r="U338" s="8"/>
      <c r="V338" s="8"/>
      <c r="W338" s="9"/>
      <c r="X338" s="9" t="str">
        <f t="shared" si="5"/>
        <v/>
      </c>
      <c r="Y338" s="3" t="s">
        <v>1860</v>
      </c>
      <c r="Z338" s="10">
        <v>0</v>
      </c>
      <c r="AA338" s="4"/>
    </row>
    <row r="339" spans="1:27" ht="25.5">
      <c r="A339" s="3" t="str">
        <f>B339&amp;"."&amp;TEXT(COUNTIF($B$5:B339,B339),"000")</f>
        <v>1.14.04.006</v>
      </c>
      <c r="B339" s="3" t="str">
        <f>IFERROR(INDEX('Work Packages'!$A$5:$A$200,MATCH(D339&amp;"|"&amp;E339,'Work Packages'!$P$5:$P$200,0)),"")</f>
        <v>1.14.04</v>
      </c>
      <c r="C339" s="3" t="str">
        <f>'FSL Source'!B339</f>
        <v>CFG-APM-006</v>
      </c>
      <c r="D339" s="3" t="str">
        <f>'FSL Source'!C339</f>
        <v>Quy trình &amp; Cấu hình Nghiệp vụ</v>
      </c>
      <c r="E339" s="3" t="str">
        <f>'FSL Source'!D339</f>
        <v>Ma trận phê duyệt</v>
      </c>
      <c r="F339" s="4" t="str">
        <f>'FSL Source'!E339</f>
        <v>Ma trận phê duyệt</v>
      </c>
      <c r="G339" s="4" t="str">
        <f>'FSL Source'!F339</f>
        <v>Xóa/Ngừng sử dụng Ma trận phê duyệt</v>
      </c>
      <c r="H339" s="4" t="str">
        <f>'FSL Source'!G339</f>
        <v>Xóa logic hoặc ngừng sử dụng Ma trận phê duyệt sau khi kiểm tra ràng buộc tham chiếu.</v>
      </c>
      <c r="I339" s="3" t="str">
        <f>'FSL Source'!H339</f>
        <v>Quản trị/Cán bộ nghiệp vụ</v>
      </c>
      <c r="J339" s="3" t="str">
        <f>'FSL Source'!I339</f>
        <v>Nghiệp vụ</v>
      </c>
      <c r="K339" s="3">
        <f>'FSL Source'!J339</f>
        <v>0</v>
      </c>
      <c r="L339" s="3" t="str">
        <f>'FSL Source'!K339</f>
        <v>CAP-08</v>
      </c>
      <c r="M339" s="3" t="str">
        <f>'FSL Source'!L339</f>
        <v>Should</v>
      </c>
      <c r="N339" s="3" t="str">
        <f>'FSL Source'!M339</f>
        <v>Pha 1</v>
      </c>
      <c r="O339" s="3" t="str">
        <f>'FSL Source'!N339</f>
        <v>Đề xuất trong phạm vi</v>
      </c>
      <c r="P339" s="4" t="str">
        <f>'FSL Source'!O339</f>
        <v>Hiệu chỉnh từ VHT_WBS</v>
      </c>
      <c r="Q339" s="4" t="str">
        <f>'FSL Source'!P339</f>
        <v>Không xóa vật lý dữ liệu đã phát sinh giao dịch; cảnh báo rõ quan hệ phụ thuộc.</v>
      </c>
      <c r="R339" s="4">
        <f>'FSL Source'!Q339</f>
        <v>0</v>
      </c>
      <c r="S339" s="3"/>
      <c r="T339" s="3"/>
      <c r="U339" s="8"/>
      <c r="V339" s="8"/>
      <c r="W339" s="9"/>
      <c r="X339" s="9" t="str">
        <f t="shared" si="5"/>
        <v/>
      </c>
      <c r="Y339" s="3" t="s">
        <v>1860</v>
      </c>
      <c r="Z339" s="10">
        <v>0</v>
      </c>
      <c r="AA339" s="4"/>
    </row>
    <row r="340" spans="1:27" ht="25.5">
      <c r="A340" s="3" t="str">
        <f>B340&amp;"."&amp;TEXT(COUNTIF($B$5:B340,B340),"000")</f>
        <v>1.14.04.007</v>
      </c>
      <c r="B340" s="3" t="str">
        <f>IFERROR(INDEX('Work Packages'!$A$5:$A$200,MATCH(D340&amp;"|"&amp;E340,'Work Packages'!$P$5:$P$200,0)),"")</f>
        <v>1.14.04</v>
      </c>
      <c r="C340" s="3" t="str">
        <f>'FSL Source'!B340</f>
        <v>CFG-APM-007</v>
      </c>
      <c r="D340" s="3" t="str">
        <f>'FSL Source'!C340</f>
        <v>Quy trình &amp; Cấu hình Nghiệp vụ</v>
      </c>
      <c r="E340" s="3" t="str">
        <f>'FSL Source'!D340</f>
        <v>Ma trận phê duyệt</v>
      </c>
      <c r="F340" s="4" t="str">
        <f>'FSL Source'!E340</f>
        <v>Ma trận phê duyệt</v>
      </c>
      <c r="G340" s="4" t="str">
        <f>'FSL Source'!F340</f>
        <v>Xem lịch sử Ma trận phê duyệt</v>
      </c>
      <c r="H340" s="4" t="str">
        <f>'FSL Source'!G340</f>
        <v>Theo dõi phiên bản, thay đổi dữ liệu, người thực hiện và lịch sử xử lý của Ma trận phê duyệt.</v>
      </c>
      <c r="I340" s="3" t="str">
        <f>'FSL Source'!H340</f>
        <v>Cán bộ nghiệp vụ/Quản trị</v>
      </c>
      <c r="J340" s="3" t="str">
        <f>'FSL Source'!I340</f>
        <v>Audit</v>
      </c>
      <c r="K340" s="3">
        <f>'FSL Source'!J340</f>
        <v>0</v>
      </c>
      <c r="L340" s="3" t="str">
        <f>'FSL Source'!K340</f>
        <v>CAP-08</v>
      </c>
      <c r="M340" s="3" t="str">
        <f>'FSL Source'!L340</f>
        <v>Must</v>
      </c>
      <c r="N340" s="3" t="str">
        <f>'FSL Source'!M340</f>
        <v>Pha 1</v>
      </c>
      <c r="O340" s="3" t="str">
        <f>'FSL Source'!N340</f>
        <v>Đề xuất trong phạm vi</v>
      </c>
      <c r="P340" s="4" t="str">
        <f>'FSL Source'!O340</f>
        <v>Hiệu chỉnh từ VHT_WBS</v>
      </c>
      <c r="Q340" s="4" t="str">
        <f>'FSL Source'!P340</f>
        <v>Lịch sử không thể sửa và truy vết được trước/sau của thay đổi quan trọng.</v>
      </c>
      <c r="R340" s="4">
        <f>'FSL Source'!Q340</f>
        <v>0</v>
      </c>
      <c r="S340" s="3"/>
      <c r="T340" s="3"/>
      <c r="U340" s="8"/>
      <c r="V340" s="8"/>
      <c r="W340" s="9"/>
      <c r="X340" s="9" t="str">
        <f t="shared" si="5"/>
        <v/>
      </c>
      <c r="Y340" s="3" t="s">
        <v>1860</v>
      </c>
      <c r="Z340" s="10">
        <v>0</v>
      </c>
      <c r="AA340" s="4"/>
    </row>
    <row r="341" spans="1:27" ht="25.5">
      <c r="A341" s="3" t="str">
        <f>B341&amp;"."&amp;TEXT(COUNTIF($B$5:B341,B341),"000")</f>
        <v>1.14.04.008</v>
      </c>
      <c r="B341" s="3" t="str">
        <f>IFERROR(INDEX('Work Packages'!$A$5:$A$200,MATCH(D341&amp;"|"&amp;E341,'Work Packages'!$P$5:$P$200,0)),"")</f>
        <v>1.14.04</v>
      </c>
      <c r="C341" s="3" t="str">
        <f>'FSL Source'!B341</f>
        <v>CFG-APM-008</v>
      </c>
      <c r="D341" s="3" t="str">
        <f>'FSL Source'!C341</f>
        <v>Quy trình &amp; Cấu hình Nghiệp vụ</v>
      </c>
      <c r="E341" s="3" t="str">
        <f>'FSL Source'!D341</f>
        <v>Ma trận phê duyệt</v>
      </c>
      <c r="F341" s="4" t="str">
        <f>'FSL Source'!E341</f>
        <v>Routing</v>
      </c>
      <c r="G341" s="4" t="str">
        <f>'FSL Source'!F341</f>
        <v>Cấu hình tuyến tuần tự/song song</v>
      </c>
      <c r="H341" s="4" t="str">
        <f>'FSL Source'!G341</f>
        <v>Định nghĩa step, approver resolver, quorum, sequence và điều kiện áp dụng.</v>
      </c>
      <c r="I341" s="3" t="str">
        <f>'FSL Source'!H341</f>
        <v>BA/Quản trị cấu hình</v>
      </c>
      <c r="J341" s="3" t="str">
        <f>'FSL Source'!I341</f>
        <v>Cấu hình</v>
      </c>
      <c r="K341" s="3">
        <f>'FSL Source'!J341</f>
        <v>0</v>
      </c>
      <c r="L341" s="3" t="str">
        <f>'FSL Source'!K341</f>
        <v>CAP-08</v>
      </c>
      <c r="M341" s="3" t="str">
        <f>'FSL Source'!L341</f>
        <v>Must</v>
      </c>
      <c r="N341" s="3" t="str">
        <f>'FSL Source'!M341</f>
        <v>Pha 1</v>
      </c>
      <c r="O341" s="3" t="str">
        <f>'FSL Source'!N341</f>
        <v>Đề xuất trong phạm vi</v>
      </c>
      <c r="P341" s="4" t="str">
        <f>'FSL Source'!O341</f>
        <v>Bổ sung</v>
      </c>
      <c r="Q341" s="4">
        <f>'FSL Source'!P341</f>
        <v>0</v>
      </c>
      <c r="R341" s="4">
        <f>'FSL Source'!Q341</f>
        <v>0</v>
      </c>
      <c r="S341" s="3"/>
      <c r="T341" s="3"/>
      <c r="U341" s="8"/>
      <c r="V341" s="8"/>
      <c r="W341" s="9"/>
      <c r="X341" s="9" t="str">
        <f t="shared" si="5"/>
        <v/>
      </c>
      <c r="Y341" s="3" t="s">
        <v>1860</v>
      </c>
      <c r="Z341" s="10">
        <v>0</v>
      </c>
      <c r="AA341" s="4"/>
    </row>
    <row r="342" spans="1:27" ht="25.5">
      <c r="A342" s="3" t="str">
        <f>B342&amp;"."&amp;TEXT(COUNTIF($B$5:B342,B342),"000")</f>
        <v>1.14.04.009</v>
      </c>
      <c r="B342" s="3" t="str">
        <f>IFERROR(INDEX('Work Packages'!$A$5:$A$200,MATCH(D342&amp;"|"&amp;E342,'Work Packages'!$P$5:$P$200,0)),"")</f>
        <v>1.14.04</v>
      </c>
      <c r="C342" s="3" t="str">
        <f>'FSL Source'!B342</f>
        <v>CFG-APM-009</v>
      </c>
      <c r="D342" s="3" t="str">
        <f>'FSL Source'!C342</f>
        <v>Quy trình &amp; Cấu hình Nghiệp vụ</v>
      </c>
      <c r="E342" s="3" t="str">
        <f>'FSL Source'!D342</f>
        <v>Ma trận phê duyệt</v>
      </c>
      <c r="F342" s="4" t="str">
        <f>'FSL Source'!E342</f>
        <v>Resolver</v>
      </c>
      <c r="G342" s="4" t="str">
        <f>'FSL Source'!F342</f>
        <v>Xác định người xử lý động</v>
      </c>
      <c r="H342" s="4" t="str">
        <f>'FSL Source'!G342</f>
        <v>Resolve theo role, đơn vị, cấp trên, hội đồng, danh sách chỉ định, delegation và substitute.</v>
      </c>
      <c r="I342" s="3" t="str">
        <f>'FSL Source'!H342</f>
        <v>BA/Quản trị cấu hình</v>
      </c>
      <c r="J342" s="3" t="str">
        <f>'FSL Source'!I342</f>
        <v>Cấu hình</v>
      </c>
      <c r="K342" s="3">
        <f>'FSL Source'!J342</f>
        <v>0</v>
      </c>
      <c r="L342" s="3" t="str">
        <f>'FSL Source'!K342</f>
        <v>CAP-08</v>
      </c>
      <c r="M342" s="3" t="str">
        <f>'FSL Source'!L342</f>
        <v>Must</v>
      </c>
      <c r="N342" s="3" t="str">
        <f>'FSL Source'!M342</f>
        <v>Pha 1</v>
      </c>
      <c r="O342" s="3" t="str">
        <f>'FSL Source'!N342</f>
        <v>Đề xuất trong phạm vi</v>
      </c>
      <c r="P342" s="4" t="str">
        <f>'FSL Source'!O342</f>
        <v>Bổ sung</v>
      </c>
      <c r="Q342" s="4">
        <f>'FSL Source'!P342</f>
        <v>0</v>
      </c>
      <c r="R342" s="4">
        <f>'FSL Source'!Q342</f>
        <v>0</v>
      </c>
      <c r="S342" s="3"/>
      <c r="T342" s="3"/>
      <c r="U342" s="8"/>
      <c r="V342" s="8"/>
      <c r="W342" s="9"/>
      <c r="X342" s="9" t="str">
        <f t="shared" si="5"/>
        <v/>
      </c>
      <c r="Y342" s="3" t="s">
        <v>1860</v>
      </c>
      <c r="Z342" s="10">
        <v>0</v>
      </c>
      <c r="AA342" s="4"/>
    </row>
    <row r="343" spans="1:27" ht="25.5">
      <c r="A343" s="3" t="str">
        <f>B343&amp;"."&amp;TEXT(COUNTIF($B$5:B343,B343),"000")</f>
        <v>1.14.04.010</v>
      </c>
      <c r="B343" s="3" t="str">
        <f>IFERROR(INDEX('Work Packages'!$A$5:$A$200,MATCH(D343&amp;"|"&amp;E343,'Work Packages'!$P$5:$P$200,0)),"")</f>
        <v>1.14.04</v>
      </c>
      <c r="C343" s="3" t="str">
        <f>'FSL Source'!B343</f>
        <v>CFG-APM-010</v>
      </c>
      <c r="D343" s="3" t="str">
        <f>'FSL Source'!C343</f>
        <v>Quy trình &amp; Cấu hình Nghiệp vụ</v>
      </c>
      <c r="E343" s="3" t="str">
        <f>'FSL Source'!D343</f>
        <v>Ma trận phê duyệt</v>
      </c>
      <c r="F343" s="4" t="str">
        <f>'FSL Source'!E343</f>
        <v>Kiểm thử</v>
      </c>
      <c r="G343" s="4" t="str">
        <f>'FSL Source'!F343</f>
        <v>Mô phỏng tuyến phê duyệt</v>
      </c>
      <c r="H343" s="4" t="str">
        <f>'FSL Source'!G343</f>
        <v>Nhập ngữ cảnh nhiệm vụ và giải thích tuyến, người xử lý, rule áp dụng.</v>
      </c>
      <c r="I343" s="3" t="str">
        <f>'FSL Source'!H343</f>
        <v>BA/QA</v>
      </c>
      <c r="J343" s="3" t="str">
        <f>'FSL Source'!I343</f>
        <v>Cấu hình</v>
      </c>
      <c r="K343" s="3">
        <f>'FSL Source'!J343</f>
        <v>0</v>
      </c>
      <c r="L343" s="3" t="str">
        <f>'FSL Source'!K343</f>
        <v>CAP-08</v>
      </c>
      <c r="M343" s="3" t="str">
        <f>'FSL Source'!L343</f>
        <v>Must</v>
      </c>
      <c r="N343" s="3" t="str">
        <f>'FSL Source'!M343</f>
        <v>Pha 1</v>
      </c>
      <c r="O343" s="3" t="str">
        <f>'FSL Source'!N343</f>
        <v>Đề xuất trong phạm vi</v>
      </c>
      <c r="P343" s="4" t="str">
        <f>'FSL Source'!O343</f>
        <v>Bổ sung</v>
      </c>
      <c r="Q343" s="4">
        <f>'FSL Source'!P343</f>
        <v>0</v>
      </c>
      <c r="R343" s="4">
        <f>'FSL Source'!Q343</f>
        <v>0</v>
      </c>
      <c r="S343" s="3"/>
      <c r="T343" s="3"/>
      <c r="U343" s="8"/>
      <c r="V343" s="8"/>
      <c r="W343" s="9"/>
      <c r="X343" s="9" t="str">
        <f t="shared" si="5"/>
        <v/>
      </c>
      <c r="Y343" s="3" t="s">
        <v>1860</v>
      </c>
      <c r="Z343" s="10">
        <v>0</v>
      </c>
      <c r="AA343" s="4"/>
    </row>
    <row r="344" spans="1:27" ht="25.5">
      <c r="A344" s="3" t="str">
        <f>B344&amp;"."&amp;TEXT(COUNTIF($B$5:B344,B344),"000")</f>
        <v>1.14.04.011</v>
      </c>
      <c r="B344" s="3" t="str">
        <f>IFERROR(INDEX('Work Packages'!$A$5:$A$200,MATCH(D344&amp;"|"&amp;E344,'Work Packages'!$P$5:$P$200,0)),"")</f>
        <v>1.14.04</v>
      </c>
      <c r="C344" s="3" t="str">
        <f>'FSL Source'!B344</f>
        <v>CFG-APM-011</v>
      </c>
      <c r="D344" s="3" t="str">
        <f>'FSL Source'!C344</f>
        <v>Quy trình &amp; Cấu hình Nghiệp vụ</v>
      </c>
      <c r="E344" s="3" t="str">
        <f>'FSL Source'!D344</f>
        <v>Ma trận phê duyệt</v>
      </c>
      <c r="F344" s="4" t="str">
        <f>'FSL Source'!E344</f>
        <v>Loại phê duyệt</v>
      </c>
      <c r="G344" s="4" t="str">
        <f>'FSL Source'!F344</f>
        <v>Quản lý danh mục loại phê duyệt</v>
      </c>
      <c r="H344" s="4" t="str">
        <f>'FSL Source'!G344</f>
        <v>CRUD, trạng thái, thứ tự, quan hệ với action/outcome và kiểm tra sử dụng.</v>
      </c>
      <c r="I344" s="3" t="str">
        <f>'FSL Source'!H344</f>
        <v>Quản trị cấu hình</v>
      </c>
      <c r="J344" s="3" t="str">
        <f>'FSL Source'!I344</f>
        <v>Cấu hình</v>
      </c>
      <c r="K344" s="3">
        <f>'FSL Source'!J344</f>
        <v>0</v>
      </c>
      <c r="L344" s="3" t="str">
        <f>'FSL Source'!K344</f>
        <v>CAP-08</v>
      </c>
      <c r="M344" s="3" t="str">
        <f>'FSL Source'!L344</f>
        <v>Should</v>
      </c>
      <c r="N344" s="3" t="str">
        <f>'FSL Source'!M344</f>
        <v>Pha 1</v>
      </c>
      <c r="O344" s="3" t="str">
        <f>'FSL Source'!N344</f>
        <v>Đề xuất trong phạm vi</v>
      </c>
      <c r="P344" s="4" t="str">
        <f>'FSL Source'!O344</f>
        <v>Sửa lỗi nhóm dòng 33-36 VHT_WBS</v>
      </c>
      <c r="Q344" s="4">
        <f>'FSL Source'!P344</f>
        <v>0</v>
      </c>
      <c r="R344" s="4">
        <f>'FSL Source'!Q344</f>
        <v>0</v>
      </c>
      <c r="S344" s="3"/>
      <c r="T344" s="3"/>
      <c r="U344" s="8"/>
      <c r="V344" s="8"/>
      <c r="W344" s="9"/>
      <c r="X344" s="9" t="str">
        <f t="shared" si="5"/>
        <v/>
      </c>
      <c r="Y344" s="3" t="s">
        <v>1860</v>
      </c>
      <c r="Z344" s="10">
        <v>0</v>
      </c>
      <c r="AA344" s="4"/>
    </row>
    <row r="345" spans="1:27" ht="25.5">
      <c r="A345" s="3" t="str">
        <f>B345&amp;"."&amp;TEXT(COUNTIF($B$5:B345,B345),"000")</f>
        <v>1.14.05.001</v>
      </c>
      <c r="B345" s="3" t="str">
        <f>IFERROR(INDEX('Work Packages'!$A$5:$A$200,MATCH(D345&amp;"|"&amp;E345,'Work Packages'!$P$5:$P$200,0)),"")</f>
        <v>1.14.05</v>
      </c>
      <c r="C345" s="3" t="str">
        <f>'FSL Source'!B345</f>
        <v>CFG-ACT-001</v>
      </c>
      <c r="D345" s="3" t="str">
        <f>'FSL Source'!C345</f>
        <v>Quy trình &amp; Cấu hình Nghiệp vụ</v>
      </c>
      <c r="E345" s="3" t="str">
        <f>'FSL Source'!D345</f>
        <v>Cấu hình hành động</v>
      </c>
      <c r="F345" s="4" t="str">
        <f>'FSL Source'!E345</f>
        <v>Luật hiển thị hành động</v>
      </c>
      <c r="G345" s="4" t="str">
        <f>'FSL Source'!F345</f>
        <v>Xem danh sách Luật hiển thị hành động</v>
      </c>
      <c r="H345" s="4" t="str">
        <f>'FSL Source'!G345</f>
        <v>Tra cứu danh sách, phân trang, sắp xếp và lọc Luật hiển thị hành động theo các tiêu chí nghiệp vụ.</v>
      </c>
      <c r="I345" s="3" t="str">
        <f>'FSL Source'!H345</f>
        <v>BA/Quản trị cấu hình</v>
      </c>
      <c r="J345" s="3" t="str">
        <f>'FSL Source'!I345</f>
        <v>Nghiệp vụ</v>
      </c>
      <c r="K345" s="3">
        <f>'FSL Source'!J345</f>
        <v>0</v>
      </c>
      <c r="L345" s="3" t="str">
        <f>'FSL Source'!K345</f>
        <v>CAP-08</v>
      </c>
      <c r="M345" s="3" t="str">
        <f>'FSL Source'!L345</f>
        <v>Must</v>
      </c>
      <c r="N345" s="3" t="str">
        <f>'FSL Source'!M345</f>
        <v>Pha 1</v>
      </c>
      <c r="O345" s="3" t="str">
        <f>'FSL Source'!N345</f>
        <v>Đề xuất trong phạm vi</v>
      </c>
      <c r="P345" s="4" t="str">
        <f>'FSL Source'!O345</f>
        <v>Hiệu chỉnh từ VHT_WBS</v>
      </c>
      <c r="Q345" s="4" t="str">
        <f>'FSL Source'!P345</f>
        <v>Danh sách hiển thị đúng phạm vi dữ liệu và hỗ trợ lọc/xuất theo quyền.</v>
      </c>
      <c r="R345" s="4">
        <f>'FSL Source'!Q345</f>
        <v>0</v>
      </c>
      <c r="S345" s="3"/>
      <c r="T345" s="3"/>
      <c r="U345" s="8"/>
      <c r="V345" s="8"/>
      <c r="W345" s="9"/>
      <c r="X345" s="9" t="str">
        <f t="shared" si="5"/>
        <v/>
      </c>
      <c r="Y345" s="3" t="s">
        <v>1860</v>
      </c>
      <c r="Z345" s="10">
        <v>0</v>
      </c>
      <c r="AA345" s="4"/>
    </row>
    <row r="346" spans="1:27" ht="25.5">
      <c r="A346" s="3" t="str">
        <f>B346&amp;"."&amp;TEXT(COUNTIF($B$5:B346,B346),"000")</f>
        <v>1.14.05.002</v>
      </c>
      <c r="B346" s="3" t="str">
        <f>IFERROR(INDEX('Work Packages'!$A$5:$A$200,MATCH(D346&amp;"|"&amp;E346,'Work Packages'!$P$5:$P$200,0)),"")</f>
        <v>1.14.05</v>
      </c>
      <c r="C346" s="3" t="str">
        <f>'FSL Source'!B346</f>
        <v>CFG-ACT-002</v>
      </c>
      <c r="D346" s="3" t="str">
        <f>'FSL Source'!C346</f>
        <v>Quy trình &amp; Cấu hình Nghiệp vụ</v>
      </c>
      <c r="E346" s="3" t="str">
        <f>'FSL Source'!D346</f>
        <v>Cấu hình hành động</v>
      </c>
      <c r="F346" s="4" t="str">
        <f>'FSL Source'!E346</f>
        <v>Luật hiển thị hành động</v>
      </c>
      <c r="G346" s="4" t="str">
        <f>'FSL Source'!F346</f>
        <v>Tạo mới Luật hiển thị hành động</v>
      </c>
      <c r="H346" s="4" t="str">
        <f>'FSL Source'!G346</f>
        <v>Khởi tạo Luật hiển thị hành động, kiểm tra dữ liệu bắt buộc và lưu nháp trước khi hoàn tất.</v>
      </c>
      <c r="I346" s="3" t="str">
        <f>'FSL Source'!H346</f>
        <v>BA/Quản trị cấu hình</v>
      </c>
      <c r="J346" s="3" t="str">
        <f>'FSL Source'!I346</f>
        <v>Nghiệp vụ</v>
      </c>
      <c r="K346" s="3">
        <f>'FSL Source'!J346</f>
        <v>0</v>
      </c>
      <c r="L346" s="3" t="str">
        <f>'FSL Source'!K346</f>
        <v>CAP-08</v>
      </c>
      <c r="M346" s="3" t="str">
        <f>'FSL Source'!L346</f>
        <v>Must</v>
      </c>
      <c r="N346" s="3" t="str">
        <f>'FSL Source'!M346</f>
        <v>Pha 1</v>
      </c>
      <c r="O346" s="3" t="str">
        <f>'FSL Source'!N346</f>
        <v>Đề xuất trong phạm vi</v>
      </c>
      <c r="P346" s="4" t="str">
        <f>'FSL Source'!O346</f>
        <v>Hiệu chỉnh từ VHT_WBS</v>
      </c>
      <c r="Q346" s="4" t="str">
        <f>'FSL Source'!P346</f>
        <v>Dữ liệu hợp lệ được lưu; lỗi validation hiển thị tại trường tương ứng.</v>
      </c>
      <c r="R346" s="4">
        <f>'FSL Source'!Q346</f>
        <v>0</v>
      </c>
      <c r="S346" s="3"/>
      <c r="T346" s="3"/>
      <c r="U346" s="8"/>
      <c r="V346" s="8"/>
      <c r="W346" s="9"/>
      <c r="X346" s="9" t="str">
        <f t="shared" si="5"/>
        <v/>
      </c>
      <c r="Y346" s="3" t="s">
        <v>1860</v>
      </c>
      <c r="Z346" s="10">
        <v>0</v>
      </c>
      <c r="AA346" s="4"/>
    </row>
    <row r="347" spans="1:27" ht="25.5">
      <c r="A347" s="3" t="str">
        <f>B347&amp;"."&amp;TEXT(COUNTIF($B$5:B347,B347),"000")</f>
        <v>1.14.05.003</v>
      </c>
      <c r="B347" s="3" t="str">
        <f>IFERROR(INDEX('Work Packages'!$A$5:$A$200,MATCH(D347&amp;"|"&amp;E347,'Work Packages'!$P$5:$P$200,0)),"")</f>
        <v>1.14.05</v>
      </c>
      <c r="C347" s="3" t="str">
        <f>'FSL Source'!B347</f>
        <v>CFG-ACT-003</v>
      </c>
      <c r="D347" s="3" t="str">
        <f>'FSL Source'!C347</f>
        <v>Quy trình &amp; Cấu hình Nghiệp vụ</v>
      </c>
      <c r="E347" s="3" t="str">
        <f>'FSL Source'!D347</f>
        <v>Cấu hình hành động</v>
      </c>
      <c r="F347" s="4" t="str">
        <f>'FSL Source'!E347</f>
        <v>Luật hiển thị hành động</v>
      </c>
      <c r="G347" s="4" t="str">
        <f>'FSL Source'!F347</f>
        <v>Xem chi tiết Luật hiển thị hành động</v>
      </c>
      <c r="H347" s="4" t="str">
        <f>'FSL Source'!G347</f>
        <v>Hiển thị thông tin tổng quan, dữ liệu chi tiết, tài liệu liên quan và trạng thái của Luật hiển thị hành động.</v>
      </c>
      <c r="I347" s="3" t="str">
        <f>'FSL Source'!H347</f>
        <v>BA/Quản trị cấu hình</v>
      </c>
      <c r="J347" s="3" t="str">
        <f>'FSL Source'!I347</f>
        <v>Nghiệp vụ</v>
      </c>
      <c r="K347" s="3">
        <f>'FSL Source'!J347</f>
        <v>0</v>
      </c>
      <c r="L347" s="3" t="str">
        <f>'FSL Source'!K347</f>
        <v>CAP-08</v>
      </c>
      <c r="M347" s="3" t="str">
        <f>'FSL Source'!L347</f>
        <v>Must</v>
      </c>
      <c r="N347" s="3" t="str">
        <f>'FSL Source'!M347</f>
        <v>Pha 1</v>
      </c>
      <c r="O347" s="3" t="str">
        <f>'FSL Source'!N347</f>
        <v>Đề xuất trong phạm vi</v>
      </c>
      <c r="P347" s="4" t="str">
        <f>'FSL Source'!O347</f>
        <v>Hiệu chỉnh từ VHT_WBS</v>
      </c>
      <c r="Q347" s="4" t="str">
        <f>'FSL Source'!P347</f>
        <v>Thông tin hiển thị đúng phiên bản và quyền truy cập.</v>
      </c>
      <c r="R347" s="4">
        <f>'FSL Source'!Q347</f>
        <v>0</v>
      </c>
      <c r="S347" s="3"/>
      <c r="T347" s="3"/>
      <c r="U347" s="8"/>
      <c r="V347" s="8"/>
      <c r="W347" s="9"/>
      <c r="X347" s="9" t="str">
        <f t="shared" si="5"/>
        <v/>
      </c>
      <c r="Y347" s="3" t="s">
        <v>1860</v>
      </c>
      <c r="Z347" s="10">
        <v>0</v>
      </c>
      <c r="AA347" s="4"/>
    </row>
    <row r="348" spans="1:27" ht="38.25">
      <c r="A348" s="3" t="str">
        <f>B348&amp;"."&amp;TEXT(COUNTIF($B$5:B348,B348),"000")</f>
        <v>1.14.05.004</v>
      </c>
      <c r="B348" s="3" t="str">
        <f>IFERROR(INDEX('Work Packages'!$A$5:$A$200,MATCH(D348&amp;"|"&amp;E348,'Work Packages'!$P$5:$P$200,0)),"")</f>
        <v>1.14.05</v>
      </c>
      <c r="C348" s="3" t="str">
        <f>'FSL Source'!B348</f>
        <v>CFG-ACT-004</v>
      </c>
      <c r="D348" s="3" t="str">
        <f>'FSL Source'!C348</f>
        <v>Quy trình &amp; Cấu hình Nghiệp vụ</v>
      </c>
      <c r="E348" s="3" t="str">
        <f>'FSL Source'!D348</f>
        <v>Cấu hình hành động</v>
      </c>
      <c r="F348" s="4" t="str">
        <f>'FSL Source'!E348</f>
        <v>Luật hiển thị hành động</v>
      </c>
      <c r="G348" s="4" t="str">
        <f>'FSL Source'!F348</f>
        <v>Chỉnh sửa Luật hiển thị hành động</v>
      </c>
      <c r="H348" s="4" t="str">
        <f>'FSL Source'!G348</f>
        <v>Cập nhật Luật hiển thị hành động khi trạng thái và quyền người dùng cho phép; kiểm soát xung đột cập nhật.</v>
      </c>
      <c r="I348" s="3" t="str">
        <f>'FSL Source'!H348</f>
        <v>BA/Quản trị cấu hình</v>
      </c>
      <c r="J348" s="3" t="str">
        <f>'FSL Source'!I348</f>
        <v>Nghiệp vụ</v>
      </c>
      <c r="K348" s="3">
        <f>'FSL Source'!J348</f>
        <v>0</v>
      </c>
      <c r="L348" s="3" t="str">
        <f>'FSL Source'!K348</f>
        <v>CAP-08</v>
      </c>
      <c r="M348" s="3" t="str">
        <f>'FSL Source'!L348</f>
        <v>Must</v>
      </c>
      <c r="N348" s="3" t="str">
        <f>'FSL Source'!M348</f>
        <v>Pha 1</v>
      </c>
      <c r="O348" s="3" t="str">
        <f>'FSL Source'!N348</f>
        <v>Đề xuất trong phạm vi</v>
      </c>
      <c r="P348" s="4" t="str">
        <f>'FSL Source'!O348</f>
        <v>Hiệu chỉnh từ VHT_WBS</v>
      </c>
      <c r="Q348" s="4" t="str">
        <f>'FSL Source'!P348</f>
        <v>Chỉ trường được phép sửa có hiệu lực và thay đổi được ghi lịch sử.</v>
      </c>
      <c r="R348" s="4">
        <f>'FSL Source'!Q348</f>
        <v>0</v>
      </c>
      <c r="S348" s="3"/>
      <c r="T348" s="3"/>
      <c r="U348" s="8"/>
      <c r="V348" s="8"/>
      <c r="W348" s="9"/>
      <c r="X348" s="9" t="str">
        <f t="shared" si="5"/>
        <v/>
      </c>
      <c r="Y348" s="3" t="s">
        <v>1860</v>
      </c>
      <c r="Z348" s="10">
        <v>0</v>
      </c>
      <c r="AA348" s="4"/>
    </row>
    <row r="349" spans="1:27" ht="25.5">
      <c r="A349" s="3" t="str">
        <f>B349&amp;"."&amp;TEXT(COUNTIF($B$5:B349,B349),"000")</f>
        <v>1.14.05.005</v>
      </c>
      <c r="B349" s="3" t="str">
        <f>IFERROR(INDEX('Work Packages'!$A$5:$A$200,MATCH(D349&amp;"|"&amp;E349,'Work Packages'!$P$5:$P$200,0)),"")</f>
        <v>1.14.05</v>
      </c>
      <c r="C349" s="3" t="str">
        <f>'FSL Source'!B349</f>
        <v>CFG-ACT-005</v>
      </c>
      <c r="D349" s="3" t="str">
        <f>'FSL Source'!C349</f>
        <v>Quy trình &amp; Cấu hình Nghiệp vụ</v>
      </c>
      <c r="E349" s="3" t="str">
        <f>'FSL Source'!D349</f>
        <v>Cấu hình hành động</v>
      </c>
      <c r="F349" s="4" t="str">
        <f>'FSL Source'!E349</f>
        <v>Luật hiển thị hành động</v>
      </c>
      <c r="G349" s="4" t="str">
        <f>'FSL Source'!F349</f>
        <v>Xóa/Ngừng sử dụng Luật hiển thị hành động</v>
      </c>
      <c r="H349" s="4" t="str">
        <f>'FSL Source'!G349</f>
        <v>Xóa logic hoặc ngừng sử dụng Luật hiển thị hành động sau khi kiểm tra ràng buộc tham chiếu.</v>
      </c>
      <c r="I349" s="3" t="str">
        <f>'FSL Source'!H349</f>
        <v>Quản trị/Cán bộ nghiệp vụ</v>
      </c>
      <c r="J349" s="3" t="str">
        <f>'FSL Source'!I349</f>
        <v>Nghiệp vụ</v>
      </c>
      <c r="K349" s="3">
        <f>'FSL Source'!J349</f>
        <v>0</v>
      </c>
      <c r="L349" s="3" t="str">
        <f>'FSL Source'!K349</f>
        <v>CAP-08</v>
      </c>
      <c r="M349" s="3" t="str">
        <f>'FSL Source'!L349</f>
        <v>Should</v>
      </c>
      <c r="N349" s="3" t="str">
        <f>'FSL Source'!M349</f>
        <v>Pha 1</v>
      </c>
      <c r="O349" s="3" t="str">
        <f>'FSL Source'!N349</f>
        <v>Đề xuất trong phạm vi</v>
      </c>
      <c r="P349" s="4" t="str">
        <f>'FSL Source'!O349</f>
        <v>Hiệu chỉnh từ VHT_WBS</v>
      </c>
      <c r="Q349" s="4" t="str">
        <f>'FSL Source'!P349</f>
        <v>Không xóa vật lý dữ liệu đã phát sinh giao dịch; cảnh báo rõ quan hệ phụ thuộc.</v>
      </c>
      <c r="R349" s="4">
        <f>'FSL Source'!Q349</f>
        <v>0</v>
      </c>
      <c r="S349" s="3"/>
      <c r="T349" s="3"/>
      <c r="U349" s="8"/>
      <c r="V349" s="8"/>
      <c r="W349" s="9"/>
      <c r="X349" s="9" t="str">
        <f t="shared" si="5"/>
        <v/>
      </c>
      <c r="Y349" s="3" t="s">
        <v>1860</v>
      </c>
      <c r="Z349" s="10">
        <v>0</v>
      </c>
      <c r="AA349" s="4"/>
    </row>
    <row r="350" spans="1:27" ht="25.5">
      <c r="A350" s="3" t="str">
        <f>B350&amp;"."&amp;TEXT(COUNTIF($B$5:B350,B350),"000")</f>
        <v>1.14.05.006</v>
      </c>
      <c r="B350" s="3" t="str">
        <f>IFERROR(INDEX('Work Packages'!$A$5:$A$200,MATCH(D350&amp;"|"&amp;E350,'Work Packages'!$P$5:$P$200,0)),"")</f>
        <v>1.14.05</v>
      </c>
      <c r="C350" s="3" t="str">
        <f>'FSL Source'!B350</f>
        <v>CFG-ACT-006</v>
      </c>
      <c r="D350" s="3" t="str">
        <f>'FSL Source'!C350</f>
        <v>Quy trình &amp; Cấu hình Nghiệp vụ</v>
      </c>
      <c r="E350" s="3" t="str">
        <f>'FSL Source'!D350</f>
        <v>Cấu hình hành động</v>
      </c>
      <c r="F350" s="4" t="str">
        <f>'FSL Source'!E350</f>
        <v>Luật hiển thị hành động</v>
      </c>
      <c r="G350" s="4" t="str">
        <f>'FSL Source'!F350</f>
        <v>Xem lịch sử Luật hiển thị hành động</v>
      </c>
      <c r="H350" s="4" t="str">
        <f>'FSL Source'!G350</f>
        <v>Theo dõi phiên bản, thay đổi dữ liệu, người thực hiện và lịch sử xử lý của Luật hiển thị hành động.</v>
      </c>
      <c r="I350" s="3" t="str">
        <f>'FSL Source'!H350</f>
        <v>Cán bộ nghiệp vụ/Quản trị</v>
      </c>
      <c r="J350" s="3" t="str">
        <f>'FSL Source'!I350</f>
        <v>Audit</v>
      </c>
      <c r="K350" s="3">
        <f>'FSL Source'!J350</f>
        <v>0</v>
      </c>
      <c r="L350" s="3" t="str">
        <f>'FSL Source'!K350</f>
        <v>CAP-08</v>
      </c>
      <c r="M350" s="3" t="str">
        <f>'FSL Source'!L350</f>
        <v>Must</v>
      </c>
      <c r="N350" s="3" t="str">
        <f>'FSL Source'!M350</f>
        <v>Pha 1</v>
      </c>
      <c r="O350" s="3" t="str">
        <f>'FSL Source'!N350</f>
        <v>Đề xuất trong phạm vi</v>
      </c>
      <c r="P350" s="4" t="str">
        <f>'FSL Source'!O350</f>
        <v>Hiệu chỉnh từ VHT_WBS</v>
      </c>
      <c r="Q350" s="4" t="str">
        <f>'FSL Source'!P350</f>
        <v>Lịch sử không thể sửa và truy vết được trước/sau của thay đổi quan trọng.</v>
      </c>
      <c r="R350" s="4">
        <f>'FSL Source'!Q350</f>
        <v>0</v>
      </c>
      <c r="S350" s="3"/>
      <c r="T350" s="3"/>
      <c r="U350" s="8"/>
      <c r="V350" s="8"/>
      <c r="W350" s="9"/>
      <c r="X350" s="9" t="str">
        <f t="shared" si="5"/>
        <v/>
      </c>
      <c r="Y350" s="3" t="s">
        <v>1860</v>
      </c>
      <c r="Z350" s="10">
        <v>0</v>
      </c>
      <c r="AA350" s="4"/>
    </row>
    <row r="351" spans="1:27" ht="38.25">
      <c r="A351" s="3" t="str">
        <f>B351&amp;"."&amp;TEXT(COUNTIF($B$5:B351,B351),"000")</f>
        <v>1.14.05.007</v>
      </c>
      <c r="B351" s="3" t="str">
        <f>IFERROR(INDEX('Work Packages'!$A$5:$A$200,MATCH(D351&amp;"|"&amp;E351,'Work Packages'!$P$5:$P$200,0)),"")</f>
        <v>1.14.05</v>
      </c>
      <c r="C351" s="3" t="str">
        <f>'FSL Source'!B351</f>
        <v>CFG-ACT-007</v>
      </c>
      <c r="D351" s="3" t="str">
        <f>'FSL Source'!C351</f>
        <v>Quy trình &amp; Cấu hình Nghiệp vụ</v>
      </c>
      <c r="E351" s="3" t="str">
        <f>'FSL Source'!D351</f>
        <v>Cấu hình hành động</v>
      </c>
      <c r="F351" s="4" t="str">
        <f>'FSL Source'!E351</f>
        <v>Action Registry</v>
      </c>
      <c r="G351" s="4" t="str">
        <f>'FSL Source'!F351</f>
        <v>Xem danh mục hành động hệ thống</v>
      </c>
      <c r="H351" s="4" t="str">
        <f>'FSL Source'!G351</f>
        <v>Quản lý metadata hiển thị cho action chuẩn/support/exception; không cho tạo logic action tùy ý.</v>
      </c>
      <c r="I351" s="3" t="str">
        <f>'FSL Source'!H351</f>
        <v>BA/Quản trị cấu hình</v>
      </c>
      <c r="J351" s="3" t="str">
        <f>'FSL Source'!I351</f>
        <v>Cấu hình</v>
      </c>
      <c r="K351" s="3">
        <f>'FSL Source'!J351</f>
        <v>0</v>
      </c>
      <c r="L351" s="3" t="str">
        <f>'FSL Source'!K351</f>
        <v>CAP-08</v>
      </c>
      <c r="M351" s="3" t="str">
        <f>'FSL Source'!L351</f>
        <v>Must</v>
      </c>
      <c r="N351" s="3" t="str">
        <f>'FSL Source'!M351</f>
        <v>Pha 1</v>
      </c>
      <c r="O351" s="3" t="str">
        <f>'FSL Source'!N351</f>
        <v>Đề xuất trong phạm vi</v>
      </c>
      <c r="P351" s="4" t="str">
        <f>'FSL Source'!O351</f>
        <v>Bổ sung</v>
      </c>
      <c r="Q351" s="4">
        <f>'FSL Source'!P351</f>
        <v>0</v>
      </c>
      <c r="R351" s="4">
        <f>'FSL Source'!Q351</f>
        <v>0</v>
      </c>
      <c r="S351" s="3"/>
      <c r="T351" s="3"/>
      <c r="U351" s="8"/>
      <c r="V351" s="8"/>
      <c r="W351" s="9"/>
      <c r="X351" s="9" t="str">
        <f t="shared" si="5"/>
        <v/>
      </c>
      <c r="Y351" s="3" t="s">
        <v>1860</v>
      </c>
      <c r="Z351" s="10">
        <v>0</v>
      </c>
      <c r="AA351" s="4"/>
    </row>
    <row r="352" spans="1:27" ht="25.5">
      <c r="A352" s="3" t="str">
        <f>B352&amp;"."&amp;TEXT(COUNTIF($B$5:B352,B352),"000")</f>
        <v>1.14.05.008</v>
      </c>
      <c r="B352" s="3" t="str">
        <f>IFERROR(INDEX('Work Packages'!$A$5:$A$200,MATCH(D352&amp;"|"&amp;E352,'Work Packages'!$P$5:$P$200,0)),"")</f>
        <v>1.14.05</v>
      </c>
      <c r="C352" s="3" t="str">
        <f>'FSL Source'!B352</f>
        <v>CFG-ACT-008</v>
      </c>
      <c r="D352" s="3" t="str">
        <f>'FSL Source'!C352</f>
        <v>Quy trình &amp; Cấu hình Nghiệp vụ</v>
      </c>
      <c r="E352" s="3" t="str">
        <f>'FSL Source'!D352</f>
        <v>Cấu hình hành động</v>
      </c>
      <c r="F352" s="4" t="str">
        <f>'FSL Source'!E352</f>
        <v>Presentation</v>
      </c>
      <c r="G352" s="4" t="str">
        <f>'FSL Source'!F352</f>
        <v>Cấu hình nhãn, icon, tooltip, nhóm và thứ tự</v>
      </c>
      <c r="H352" s="4" t="str">
        <f>'FSL Source'!G352</f>
        <v>Tùy biến trình bày theo workflow/step mà không thay đổi hành vi backend.</v>
      </c>
      <c r="I352" s="3" t="str">
        <f>'FSL Source'!H352</f>
        <v>BA/Quản trị cấu hình</v>
      </c>
      <c r="J352" s="3" t="str">
        <f>'FSL Source'!I352</f>
        <v>Cấu hình</v>
      </c>
      <c r="K352" s="3">
        <f>'FSL Source'!J352</f>
        <v>0</v>
      </c>
      <c r="L352" s="3" t="str">
        <f>'FSL Source'!K352</f>
        <v>CAP-08</v>
      </c>
      <c r="M352" s="3" t="str">
        <f>'FSL Source'!L352</f>
        <v>Must</v>
      </c>
      <c r="N352" s="3" t="str">
        <f>'FSL Source'!M352</f>
        <v>Pha 1</v>
      </c>
      <c r="O352" s="3" t="str">
        <f>'FSL Source'!N352</f>
        <v>Đề xuất trong phạm vi</v>
      </c>
      <c r="P352" s="4" t="str">
        <f>'FSL Source'!O352</f>
        <v>Bổ sung</v>
      </c>
      <c r="Q352" s="4">
        <f>'FSL Source'!P352</f>
        <v>0</v>
      </c>
      <c r="R352" s="4">
        <f>'FSL Source'!Q352</f>
        <v>0</v>
      </c>
      <c r="S352" s="3"/>
      <c r="T352" s="3"/>
      <c r="U352" s="8"/>
      <c r="V352" s="8"/>
      <c r="W352" s="9"/>
      <c r="X352" s="9" t="str">
        <f t="shared" si="5"/>
        <v/>
      </c>
      <c r="Y352" s="3" t="s">
        <v>1860</v>
      </c>
      <c r="Z352" s="10">
        <v>0</v>
      </c>
      <c r="AA352" s="4"/>
    </row>
    <row r="353" spans="1:27" ht="25.5">
      <c r="A353" s="3" t="str">
        <f>B353&amp;"."&amp;TEXT(COUNTIF($B$5:B353,B353),"000")</f>
        <v>1.14.05.009</v>
      </c>
      <c r="B353" s="3" t="str">
        <f>IFERROR(INDEX('Work Packages'!$A$5:$A$200,MATCH(D353&amp;"|"&amp;E353,'Work Packages'!$P$5:$P$200,0)),"")</f>
        <v>1.14.05</v>
      </c>
      <c r="C353" s="3" t="str">
        <f>'FSL Source'!B353</f>
        <v>CFG-ACT-009</v>
      </c>
      <c r="D353" s="3" t="str">
        <f>'FSL Source'!C353</f>
        <v>Quy trình &amp; Cấu hình Nghiệp vụ</v>
      </c>
      <c r="E353" s="3" t="str">
        <f>'FSL Source'!D353</f>
        <v>Cấu hình hành động</v>
      </c>
      <c r="F353" s="4" t="str">
        <f>'FSL Source'!E353</f>
        <v>Đối soát BPMN</v>
      </c>
      <c r="G353" s="4" t="str">
        <f>'FSL Source'!F353</f>
        <v>Đồng bộ và đối soát User Task với action policy</v>
      </c>
      <c r="H353" s="4" t="str">
        <f>'FSL Source'!G353</f>
        <v>Phát hiện step thiếu policy, action không hợp lệ và cấu hình không còn tham chiếu.</v>
      </c>
      <c r="I353" s="3" t="str">
        <f>'FSL Source'!H353</f>
        <v>BA/Quản trị cấu hình</v>
      </c>
      <c r="J353" s="3" t="str">
        <f>'FSL Source'!I353</f>
        <v>Cấu hình</v>
      </c>
      <c r="K353" s="3">
        <f>'FSL Source'!J353</f>
        <v>0</v>
      </c>
      <c r="L353" s="3" t="str">
        <f>'FSL Source'!K353</f>
        <v>CAP-08</v>
      </c>
      <c r="M353" s="3" t="str">
        <f>'FSL Source'!L353</f>
        <v>Must</v>
      </c>
      <c r="N353" s="3" t="str">
        <f>'FSL Source'!M353</f>
        <v>Pha 1</v>
      </c>
      <c r="O353" s="3" t="str">
        <f>'FSL Source'!N353</f>
        <v>Đề xuất trong phạm vi</v>
      </c>
      <c r="P353" s="4" t="str">
        <f>'FSL Source'!O353</f>
        <v>Bổ sung</v>
      </c>
      <c r="Q353" s="4">
        <f>'FSL Source'!P353</f>
        <v>0</v>
      </c>
      <c r="R353" s="4">
        <f>'FSL Source'!Q353</f>
        <v>0</v>
      </c>
      <c r="S353" s="3"/>
      <c r="T353" s="3"/>
      <c r="U353" s="8"/>
      <c r="V353" s="8"/>
      <c r="W353" s="9"/>
      <c r="X353" s="9" t="str">
        <f t="shared" si="5"/>
        <v/>
      </c>
      <c r="Y353" s="3" t="s">
        <v>1860</v>
      </c>
      <c r="Z353" s="10">
        <v>0</v>
      </c>
      <c r="AA353" s="4"/>
    </row>
    <row r="354" spans="1:27" ht="25.5">
      <c r="A354" s="3" t="str">
        <f>B354&amp;"."&amp;TEXT(COUNTIF($B$5:B354,B354),"000")</f>
        <v>1.14.05.010</v>
      </c>
      <c r="B354" s="3" t="str">
        <f>IFERROR(INDEX('Work Packages'!$A$5:$A$200,MATCH(D354&amp;"|"&amp;E354,'Work Packages'!$P$5:$P$200,0)),"")</f>
        <v>1.14.05</v>
      </c>
      <c r="C354" s="3" t="str">
        <f>'FSL Source'!B354</f>
        <v>CFG-ACT-010</v>
      </c>
      <c r="D354" s="3" t="str">
        <f>'FSL Source'!C354</f>
        <v>Quy trình &amp; Cấu hình Nghiệp vụ</v>
      </c>
      <c r="E354" s="3" t="str">
        <f>'FSL Source'!D354</f>
        <v>Cấu hình hành động</v>
      </c>
      <c r="F354" s="4" t="str">
        <f>'FSL Source'!E354</f>
        <v>Mô phỏng</v>
      </c>
      <c r="G354" s="4" t="str">
        <f>'FSL Source'!F354</f>
        <v>Mô phỏng available-actions</v>
      </c>
      <c r="H354" s="4" t="str">
        <f>'FSL Source'!G354</f>
        <v>Giải thích action hiển thị/ẩn theo workflow context, permission, rule, dossier state và exception policy.</v>
      </c>
      <c r="I354" s="3" t="str">
        <f>'FSL Source'!H354</f>
        <v>BA/QA</v>
      </c>
      <c r="J354" s="3" t="str">
        <f>'FSL Source'!I354</f>
        <v>Cấu hình</v>
      </c>
      <c r="K354" s="3">
        <f>'FSL Source'!J354</f>
        <v>0</v>
      </c>
      <c r="L354" s="3" t="str">
        <f>'FSL Source'!K354</f>
        <v>CAP-08</v>
      </c>
      <c r="M354" s="3" t="str">
        <f>'FSL Source'!L354</f>
        <v>Should</v>
      </c>
      <c r="N354" s="3" t="str">
        <f>'FSL Source'!M354</f>
        <v>Pha 2</v>
      </c>
      <c r="O354" s="3" t="str">
        <f>'FSL Source'!N354</f>
        <v>Đề xuất trong phạm vi</v>
      </c>
      <c r="P354" s="4" t="str">
        <f>'FSL Source'!O354</f>
        <v>Bổ sung</v>
      </c>
      <c r="Q354" s="4">
        <f>'FSL Source'!P354</f>
        <v>0</v>
      </c>
      <c r="R354" s="4">
        <f>'FSL Source'!Q354</f>
        <v>0</v>
      </c>
      <c r="S354" s="3"/>
      <c r="T354" s="3"/>
      <c r="U354" s="8"/>
      <c r="V354" s="8"/>
      <c r="W354" s="9"/>
      <c r="X354" s="9" t="str">
        <f t="shared" si="5"/>
        <v/>
      </c>
      <c r="Y354" s="3" t="s">
        <v>1860</v>
      </c>
      <c r="Z354" s="10">
        <v>0</v>
      </c>
      <c r="AA354" s="4"/>
    </row>
    <row r="355" spans="1:27" ht="25.5">
      <c r="A355" s="3" t="str">
        <f>B355&amp;"."&amp;TEXT(COUNTIF($B$5:B355,B355),"000")</f>
        <v>1.14.06.001</v>
      </c>
      <c r="B355" s="3" t="str">
        <f>IFERROR(INDEX('Work Packages'!$A$5:$A$200,MATCH(D355&amp;"|"&amp;E355,'Work Packages'!$P$5:$P$200,0)),"")</f>
        <v>1.14.06</v>
      </c>
      <c r="C355" s="3" t="str">
        <f>'FSL Source'!B355</f>
        <v>CFG-NTF-001</v>
      </c>
      <c r="D355" s="3" t="str">
        <f>'FSL Source'!C355</f>
        <v>Quy trình &amp; Cấu hình Nghiệp vụ</v>
      </c>
      <c r="E355" s="3" t="str">
        <f>'FSL Source'!D355</f>
        <v>Thông báo</v>
      </c>
      <c r="F355" s="4" t="str">
        <f>'FSL Source'!E355</f>
        <v>Mẫu thông báo</v>
      </c>
      <c r="G355" s="4" t="str">
        <f>'FSL Source'!F355</f>
        <v>Xem danh sách Mẫu thông báo</v>
      </c>
      <c r="H355" s="4" t="str">
        <f>'FSL Source'!G355</f>
        <v>Tra cứu danh sách, phân trang, sắp xếp và lọc Mẫu thông báo theo các tiêu chí nghiệp vụ.</v>
      </c>
      <c r="I355" s="3" t="str">
        <f>'FSL Source'!H355</f>
        <v>Quản trị cấu hình</v>
      </c>
      <c r="J355" s="3" t="str">
        <f>'FSL Source'!I355</f>
        <v>Nghiệp vụ</v>
      </c>
      <c r="K355" s="3">
        <f>'FSL Source'!J355</f>
        <v>0</v>
      </c>
      <c r="L355" s="3" t="str">
        <f>'FSL Source'!K355</f>
        <v>N/A</v>
      </c>
      <c r="M355" s="3" t="str">
        <f>'FSL Source'!L355</f>
        <v>Should</v>
      </c>
      <c r="N355" s="3" t="str">
        <f>'FSL Source'!M355</f>
        <v>Pha 2</v>
      </c>
      <c r="O355" s="3" t="str">
        <f>'FSL Source'!N355</f>
        <v>Đề xuất trong phạm vi</v>
      </c>
      <c r="P355" s="4" t="str">
        <f>'FSL Source'!O355</f>
        <v>Bổ sung theo EPIC10</v>
      </c>
      <c r="Q355" s="4" t="str">
        <f>'FSL Source'!P355</f>
        <v>Danh sách hiển thị đúng phạm vi dữ liệu và hỗ trợ lọc/xuất theo quyền.</v>
      </c>
      <c r="R355" s="4">
        <f>'FSL Source'!Q355</f>
        <v>0</v>
      </c>
      <c r="S355" s="3"/>
      <c r="T355" s="3"/>
      <c r="U355" s="8"/>
      <c r="V355" s="8"/>
      <c r="W355" s="9"/>
      <c r="X355" s="9" t="str">
        <f t="shared" si="5"/>
        <v/>
      </c>
      <c r="Y355" s="3" t="s">
        <v>1860</v>
      </c>
      <c r="Z355" s="10">
        <v>0</v>
      </c>
      <c r="AA355" s="4"/>
    </row>
    <row r="356" spans="1:27" ht="25.5">
      <c r="A356" s="3" t="str">
        <f>B356&amp;"."&amp;TEXT(COUNTIF($B$5:B356,B356),"000")</f>
        <v>1.14.06.002</v>
      </c>
      <c r="B356" s="3" t="str">
        <f>IFERROR(INDEX('Work Packages'!$A$5:$A$200,MATCH(D356&amp;"|"&amp;E356,'Work Packages'!$P$5:$P$200,0)),"")</f>
        <v>1.14.06</v>
      </c>
      <c r="C356" s="3" t="str">
        <f>'FSL Source'!B356</f>
        <v>CFG-NTF-002</v>
      </c>
      <c r="D356" s="3" t="str">
        <f>'FSL Source'!C356</f>
        <v>Quy trình &amp; Cấu hình Nghiệp vụ</v>
      </c>
      <c r="E356" s="3" t="str">
        <f>'FSL Source'!D356</f>
        <v>Thông báo</v>
      </c>
      <c r="F356" s="4" t="str">
        <f>'FSL Source'!E356</f>
        <v>Mẫu thông báo</v>
      </c>
      <c r="G356" s="4" t="str">
        <f>'FSL Source'!F356</f>
        <v>Tạo mới Mẫu thông báo</v>
      </c>
      <c r="H356" s="4" t="str">
        <f>'FSL Source'!G356</f>
        <v>Khởi tạo Mẫu thông báo, kiểm tra dữ liệu bắt buộc và lưu nháp trước khi hoàn tất.</v>
      </c>
      <c r="I356" s="3" t="str">
        <f>'FSL Source'!H356</f>
        <v>Quản trị cấu hình</v>
      </c>
      <c r="J356" s="3" t="str">
        <f>'FSL Source'!I356</f>
        <v>Nghiệp vụ</v>
      </c>
      <c r="K356" s="3">
        <f>'FSL Source'!J356</f>
        <v>0</v>
      </c>
      <c r="L356" s="3" t="str">
        <f>'FSL Source'!K356</f>
        <v>N/A</v>
      </c>
      <c r="M356" s="3" t="str">
        <f>'FSL Source'!L356</f>
        <v>Should</v>
      </c>
      <c r="N356" s="3" t="str">
        <f>'FSL Source'!M356</f>
        <v>Pha 2</v>
      </c>
      <c r="O356" s="3" t="str">
        <f>'FSL Source'!N356</f>
        <v>Đề xuất trong phạm vi</v>
      </c>
      <c r="P356" s="4" t="str">
        <f>'FSL Source'!O356</f>
        <v>Bổ sung theo EPIC10</v>
      </c>
      <c r="Q356" s="4" t="str">
        <f>'FSL Source'!P356</f>
        <v>Dữ liệu hợp lệ được lưu; lỗi validation hiển thị tại trường tương ứng.</v>
      </c>
      <c r="R356" s="4">
        <f>'FSL Source'!Q356</f>
        <v>0</v>
      </c>
      <c r="S356" s="3"/>
      <c r="T356" s="3"/>
      <c r="U356" s="8"/>
      <c r="V356" s="8"/>
      <c r="W356" s="9"/>
      <c r="X356" s="9" t="str">
        <f t="shared" si="5"/>
        <v/>
      </c>
      <c r="Y356" s="3" t="s">
        <v>1860</v>
      </c>
      <c r="Z356" s="10">
        <v>0</v>
      </c>
      <c r="AA356" s="4"/>
    </row>
    <row r="357" spans="1:27" ht="25.5">
      <c r="A357" s="3" t="str">
        <f>B357&amp;"."&amp;TEXT(COUNTIF($B$5:B357,B357),"000")</f>
        <v>1.14.06.003</v>
      </c>
      <c r="B357" s="3" t="str">
        <f>IFERROR(INDEX('Work Packages'!$A$5:$A$200,MATCH(D357&amp;"|"&amp;E357,'Work Packages'!$P$5:$P$200,0)),"")</f>
        <v>1.14.06</v>
      </c>
      <c r="C357" s="3" t="str">
        <f>'FSL Source'!B357</f>
        <v>CFG-NTF-003</v>
      </c>
      <c r="D357" s="3" t="str">
        <f>'FSL Source'!C357</f>
        <v>Quy trình &amp; Cấu hình Nghiệp vụ</v>
      </c>
      <c r="E357" s="3" t="str">
        <f>'FSL Source'!D357</f>
        <v>Thông báo</v>
      </c>
      <c r="F357" s="4" t="str">
        <f>'FSL Source'!E357</f>
        <v>Mẫu thông báo</v>
      </c>
      <c r="G357" s="4" t="str">
        <f>'FSL Source'!F357</f>
        <v>Sao chép Mẫu thông báo</v>
      </c>
      <c r="H357" s="4" t="str">
        <f>'FSL Source'!G357</f>
        <v>Tạo bản mới từ một Mẫu thông báo hiện hữu và loại bỏ các thông tin không được kế thừa.</v>
      </c>
      <c r="I357" s="3" t="str">
        <f>'FSL Source'!H357</f>
        <v>Quản trị cấu hình</v>
      </c>
      <c r="J357" s="3" t="str">
        <f>'FSL Source'!I357</f>
        <v>Nghiệp vụ</v>
      </c>
      <c r="K357" s="3">
        <f>'FSL Source'!J357</f>
        <v>0</v>
      </c>
      <c r="L357" s="3" t="str">
        <f>'FSL Source'!K357</f>
        <v>N/A</v>
      </c>
      <c r="M357" s="3" t="str">
        <f>'FSL Source'!L357</f>
        <v>Should</v>
      </c>
      <c r="N357" s="3" t="str">
        <f>'FSL Source'!M357</f>
        <v>Pha 2</v>
      </c>
      <c r="O357" s="3" t="str">
        <f>'FSL Source'!N357</f>
        <v>Đề xuất trong phạm vi</v>
      </c>
      <c r="P357" s="4" t="str">
        <f>'FSL Source'!O357</f>
        <v>Bổ sung theo EPIC10</v>
      </c>
      <c r="Q357" s="4" t="str">
        <f>'FSL Source'!P357</f>
        <v>Bản sao có mã/phiên bản mới và không làm thay đổi bản nguồn.</v>
      </c>
      <c r="R357" s="4">
        <f>'FSL Source'!Q357</f>
        <v>0</v>
      </c>
      <c r="S357" s="3"/>
      <c r="T357" s="3"/>
      <c r="U357" s="8"/>
      <c r="V357" s="8"/>
      <c r="W357" s="9"/>
      <c r="X357" s="9" t="str">
        <f t="shared" si="5"/>
        <v/>
      </c>
      <c r="Y357" s="3" t="s">
        <v>1860</v>
      </c>
      <c r="Z357" s="10">
        <v>0</v>
      </c>
      <c r="AA357" s="4"/>
    </row>
    <row r="358" spans="1:27" ht="25.5">
      <c r="A358" s="3" t="str">
        <f>B358&amp;"."&amp;TEXT(COUNTIF($B$5:B358,B358),"000")</f>
        <v>1.14.06.004</v>
      </c>
      <c r="B358" s="3" t="str">
        <f>IFERROR(INDEX('Work Packages'!$A$5:$A$200,MATCH(D358&amp;"|"&amp;E358,'Work Packages'!$P$5:$P$200,0)),"")</f>
        <v>1.14.06</v>
      </c>
      <c r="C358" s="3" t="str">
        <f>'FSL Source'!B358</f>
        <v>CFG-NTF-004</v>
      </c>
      <c r="D358" s="3" t="str">
        <f>'FSL Source'!C358</f>
        <v>Quy trình &amp; Cấu hình Nghiệp vụ</v>
      </c>
      <c r="E358" s="3" t="str">
        <f>'FSL Source'!D358</f>
        <v>Thông báo</v>
      </c>
      <c r="F358" s="4" t="str">
        <f>'FSL Source'!E358</f>
        <v>Mẫu thông báo</v>
      </c>
      <c r="G358" s="4" t="str">
        <f>'FSL Source'!F358</f>
        <v>Xem chi tiết Mẫu thông báo</v>
      </c>
      <c r="H358" s="4" t="str">
        <f>'FSL Source'!G358</f>
        <v>Hiển thị thông tin tổng quan, dữ liệu chi tiết, tài liệu liên quan và trạng thái của Mẫu thông báo.</v>
      </c>
      <c r="I358" s="3" t="str">
        <f>'FSL Source'!H358</f>
        <v>Quản trị cấu hình</v>
      </c>
      <c r="J358" s="3" t="str">
        <f>'FSL Source'!I358</f>
        <v>Nghiệp vụ</v>
      </c>
      <c r="K358" s="3">
        <f>'FSL Source'!J358</f>
        <v>0</v>
      </c>
      <c r="L358" s="3" t="str">
        <f>'FSL Source'!K358</f>
        <v>N/A</v>
      </c>
      <c r="M358" s="3" t="str">
        <f>'FSL Source'!L358</f>
        <v>Should</v>
      </c>
      <c r="N358" s="3" t="str">
        <f>'FSL Source'!M358</f>
        <v>Pha 2</v>
      </c>
      <c r="O358" s="3" t="str">
        <f>'FSL Source'!N358</f>
        <v>Đề xuất trong phạm vi</v>
      </c>
      <c r="P358" s="4" t="str">
        <f>'FSL Source'!O358</f>
        <v>Bổ sung theo EPIC10</v>
      </c>
      <c r="Q358" s="4" t="str">
        <f>'FSL Source'!P358</f>
        <v>Thông tin hiển thị đúng phiên bản và quyền truy cập.</v>
      </c>
      <c r="R358" s="4">
        <f>'FSL Source'!Q358</f>
        <v>0</v>
      </c>
      <c r="S358" s="3"/>
      <c r="T358" s="3"/>
      <c r="U358" s="8"/>
      <c r="V358" s="8"/>
      <c r="W358" s="9"/>
      <c r="X358" s="9" t="str">
        <f t="shared" si="5"/>
        <v/>
      </c>
      <c r="Y358" s="3" t="s">
        <v>1860</v>
      </c>
      <c r="Z358" s="10">
        <v>0</v>
      </c>
      <c r="AA358" s="4"/>
    </row>
    <row r="359" spans="1:27" ht="25.5">
      <c r="A359" s="3" t="str">
        <f>B359&amp;"."&amp;TEXT(COUNTIF($B$5:B359,B359),"000")</f>
        <v>1.14.06.005</v>
      </c>
      <c r="B359" s="3" t="str">
        <f>IFERROR(INDEX('Work Packages'!$A$5:$A$200,MATCH(D359&amp;"|"&amp;E359,'Work Packages'!$P$5:$P$200,0)),"")</f>
        <v>1.14.06</v>
      </c>
      <c r="C359" s="3" t="str">
        <f>'FSL Source'!B359</f>
        <v>CFG-NTF-005</v>
      </c>
      <c r="D359" s="3" t="str">
        <f>'FSL Source'!C359</f>
        <v>Quy trình &amp; Cấu hình Nghiệp vụ</v>
      </c>
      <c r="E359" s="3" t="str">
        <f>'FSL Source'!D359</f>
        <v>Thông báo</v>
      </c>
      <c r="F359" s="4" t="str">
        <f>'FSL Source'!E359</f>
        <v>Mẫu thông báo</v>
      </c>
      <c r="G359" s="4" t="str">
        <f>'FSL Source'!F359</f>
        <v>Chỉnh sửa Mẫu thông báo</v>
      </c>
      <c r="H359" s="4" t="str">
        <f>'FSL Source'!G359</f>
        <v>Cập nhật Mẫu thông báo khi trạng thái và quyền người dùng cho phép; kiểm soát xung đột cập nhật.</v>
      </c>
      <c r="I359" s="3" t="str">
        <f>'FSL Source'!H359</f>
        <v>Quản trị cấu hình</v>
      </c>
      <c r="J359" s="3" t="str">
        <f>'FSL Source'!I359</f>
        <v>Nghiệp vụ</v>
      </c>
      <c r="K359" s="3">
        <f>'FSL Source'!J359</f>
        <v>0</v>
      </c>
      <c r="L359" s="3" t="str">
        <f>'FSL Source'!K359</f>
        <v>N/A</v>
      </c>
      <c r="M359" s="3" t="str">
        <f>'FSL Source'!L359</f>
        <v>Should</v>
      </c>
      <c r="N359" s="3" t="str">
        <f>'FSL Source'!M359</f>
        <v>Pha 2</v>
      </c>
      <c r="O359" s="3" t="str">
        <f>'FSL Source'!N359</f>
        <v>Đề xuất trong phạm vi</v>
      </c>
      <c r="P359" s="4" t="str">
        <f>'FSL Source'!O359</f>
        <v>Bổ sung theo EPIC10</v>
      </c>
      <c r="Q359" s="4" t="str">
        <f>'FSL Source'!P359</f>
        <v>Chỉ trường được phép sửa có hiệu lực và thay đổi được ghi lịch sử.</v>
      </c>
      <c r="R359" s="4">
        <f>'FSL Source'!Q359</f>
        <v>0</v>
      </c>
      <c r="S359" s="3"/>
      <c r="T359" s="3"/>
      <c r="U359" s="8"/>
      <c r="V359" s="8"/>
      <c r="W359" s="9"/>
      <c r="X359" s="9" t="str">
        <f t="shared" si="5"/>
        <v/>
      </c>
      <c r="Y359" s="3" t="s">
        <v>1860</v>
      </c>
      <c r="Z359" s="10">
        <v>0</v>
      </c>
      <c r="AA359" s="4"/>
    </row>
    <row r="360" spans="1:27" ht="25.5">
      <c r="A360" s="3" t="str">
        <f>B360&amp;"."&amp;TEXT(COUNTIF($B$5:B360,B360),"000")</f>
        <v>1.14.06.006</v>
      </c>
      <c r="B360" s="3" t="str">
        <f>IFERROR(INDEX('Work Packages'!$A$5:$A$200,MATCH(D360&amp;"|"&amp;E360,'Work Packages'!$P$5:$P$200,0)),"")</f>
        <v>1.14.06</v>
      </c>
      <c r="C360" s="3" t="str">
        <f>'FSL Source'!B360</f>
        <v>CFG-NTF-006</v>
      </c>
      <c r="D360" s="3" t="str">
        <f>'FSL Source'!C360</f>
        <v>Quy trình &amp; Cấu hình Nghiệp vụ</v>
      </c>
      <c r="E360" s="3" t="str">
        <f>'FSL Source'!D360</f>
        <v>Thông báo</v>
      </c>
      <c r="F360" s="4" t="str">
        <f>'FSL Source'!E360</f>
        <v>Mẫu thông báo</v>
      </c>
      <c r="G360" s="4" t="str">
        <f>'FSL Source'!F360</f>
        <v>Xóa/Ngừng sử dụng Mẫu thông báo</v>
      </c>
      <c r="H360" s="4" t="str">
        <f>'FSL Source'!G360</f>
        <v>Xóa logic hoặc ngừng sử dụng Mẫu thông báo sau khi kiểm tra ràng buộc tham chiếu.</v>
      </c>
      <c r="I360" s="3" t="str">
        <f>'FSL Source'!H360</f>
        <v>Quản trị/Cán bộ nghiệp vụ</v>
      </c>
      <c r="J360" s="3" t="str">
        <f>'FSL Source'!I360</f>
        <v>Nghiệp vụ</v>
      </c>
      <c r="K360" s="3">
        <f>'FSL Source'!J360</f>
        <v>0</v>
      </c>
      <c r="L360" s="3" t="str">
        <f>'FSL Source'!K360</f>
        <v>N/A</v>
      </c>
      <c r="M360" s="3" t="str">
        <f>'FSL Source'!L360</f>
        <v>Should</v>
      </c>
      <c r="N360" s="3" t="str">
        <f>'FSL Source'!M360</f>
        <v>Pha 2</v>
      </c>
      <c r="O360" s="3" t="str">
        <f>'FSL Source'!N360</f>
        <v>Đề xuất trong phạm vi</v>
      </c>
      <c r="P360" s="4" t="str">
        <f>'FSL Source'!O360</f>
        <v>Bổ sung theo EPIC10</v>
      </c>
      <c r="Q360" s="4" t="str">
        <f>'FSL Source'!P360</f>
        <v>Không xóa vật lý dữ liệu đã phát sinh giao dịch; cảnh báo rõ quan hệ phụ thuộc.</v>
      </c>
      <c r="R360" s="4">
        <f>'FSL Source'!Q360</f>
        <v>0</v>
      </c>
      <c r="S360" s="3"/>
      <c r="T360" s="3"/>
      <c r="U360" s="8"/>
      <c r="V360" s="8"/>
      <c r="W360" s="9"/>
      <c r="X360" s="9" t="str">
        <f t="shared" si="5"/>
        <v/>
      </c>
      <c r="Y360" s="3" t="s">
        <v>1860</v>
      </c>
      <c r="Z360" s="10">
        <v>0</v>
      </c>
      <c r="AA360" s="4"/>
    </row>
    <row r="361" spans="1:27" ht="25.5">
      <c r="A361" s="3" t="str">
        <f>B361&amp;"."&amp;TEXT(COUNTIF($B$5:B361,B361),"000")</f>
        <v>1.14.06.007</v>
      </c>
      <c r="B361" s="3" t="str">
        <f>IFERROR(INDEX('Work Packages'!$A$5:$A$200,MATCH(D361&amp;"|"&amp;E361,'Work Packages'!$P$5:$P$200,0)),"")</f>
        <v>1.14.06</v>
      </c>
      <c r="C361" s="3" t="str">
        <f>'FSL Source'!B361</f>
        <v>CFG-NTF-007</v>
      </c>
      <c r="D361" s="3" t="str">
        <f>'FSL Source'!C361</f>
        <v>Quy trình &amp; Cấu hình Nghiệp vụ</v>
      </c>
      <c r="E361" s="3" t="str">
        <f>'FSL Source'!D361</f>
        <v>Thông báo</v>
      </c>
      <c r="F361" s="4" t="str">
        <f>'FSL Source'!E361</f>
        <v>Mẫu thông báo</v>
      </c>
      <c r="G361" s="4" t="str">
        <f>'FSL Source'!F361</f>
        <v>Xem lịch sử Mẫu thông báo</v>
      </c>
      <c r="H361" s="4" t="str">
        <f>'FSL Source'!G361</f>
        <v>Theo dõi phiên bản, thay đổi dữ liệu, người thực hiện và lịch sử xử lý của Mẫu thông báo.</v>
      </c>
      <c r="I361" s="3" t="str">
        <f>'FSL Source'!H361</f>
        <v>Cán bộ nghiệp vụ/Quản trị</v>
      </c>
      <c r="J361" s="3" t="str">
        <f>'FSL Source'!I361</f>
        <v>Audit</v>
      </c>
      <c r="K361" s="3">
        <f>'FSL Source'!J361</f>
        <v>0</v>
      </c>
      <c r="L361" s="3" t="str">
        <f>'FSL Source'!K361</f>
        <v>N/A</v>
      </c>
      <c r="M361" s="3" t="str">
        <f>'FSL Source'!L361</f>
        <v>Must</v>
      </c>
      <c r="N361" s="3" t="str">
        <f>'FSL Source'!M361</f>
        <v>Pha 2</v>
      </c>
      <c r="O361" s="3" t="str">
        <f>'FSL Source'!N361</f>
        <v>Đề xuất trong phạm vi</v>
      </c>
      <c r="P361" s="4" t="str">
        <f>'FSL Source'!O361</f>
        <v>Bổ sung theo EPIC10</v>
      </c>
      <c r="Q361" s="4" t="str">
        <f>'FSL Source'!P361</f>
        <v>Lịch sử không thể sửa và truy vết được trước/sau của thay đổi quan trọng.</v>
      </c>
      <c r="R361" s="4">
        <f>'FSL Source'!Q361</f>
        <v>0</v>
      </c>
      <c r="S361" s="3"/>
      <c r="T361" s="3"/>
      <c r="U361" s="8"/>
      <c r="V361" s="8"/>
      <c r="W361" s="9"/>
      <c r="X361" s="9" t="str">
        <f t="shared" si="5"/>
        <v/>
      </c>
      <c r="Y361" s="3" t="s">
        <v>1860</v>
      </c>
      <c r="Z361" s="10">
        <v>0</v>
      </c>
      <c r="AA361" s="4"/>
    </row>
    <row r="362" spans="1:27">
      <c r="A362" s="3" t="str">
        <f>B362&amp;"."&amp;TEXT(COUNTIF($B$5:B362,B362),"000")</f>
        <v>1.14.06.008</v>
      </c>
      <c r="B362" s="3" t="str">
        <f>IFERROR(INDEX('Work Packages'!$A$5:$A$200,MATCH(D362&amp;"|"&amp;E362,'Work Packages'!$P$5:$P$200,0)),"")</f>
        <v>1.14.06</v>
      </c>
      <c r="C362" s="3" t="str">
        <f>'FSL Source'!B362</f>
        <v>CFG-NTF-008</v>
      </c>
      <c r="D362" s="3" t="str">
        <f>'FSL Source'!C362</f>
        <v>Quy trình &amp; Cấu hình Nghiệp vụ</v>
      </c>
      <c r="E362" s="3" t="str">
        <f>'FSL Source'!D362</f>
        <v>Thông báo</v>
      </c>
      <c r="F362" s="4" t="str">
        <f>'FSL Source'!E362</f>
        <v>Kênh</v>
      </c>
      <c r="G362" s="4" t="str">
        <f>'FSL Source'!F362</f>
        <v>Cấu hình Email/SMS/Web/App/Teams</v>
      </c>
      <c r="H362" s="4" t="str">
        <f>'FSL Source'!G362</f>
        <v>Quản lý kênh, endpoint, sender, giới hạn và fallback.</v>
      </c>
      <c r="I362" s="3" t="str">
        <f>'FSL Source'!H362</f>
        <v>Quản trị cấu hình</v>
      </c>
      <c r="J362" s="3" t="str">
        <f>'FSL Source'!I362</f>
        <v>Cấu hình</v>
      </c>
      <c r="K362" s="3">
        <f>'FSL Source'!J362</f>
        <v>0</v>
      </c>
      <c r="L362" s="3" t="str">
        <f>'FSL Source'!K362</f>
        <v>N/A</v>
      </c>
      <c r="M362" s="3" t="str">
        <f>'FSL Source'!L362</f>
        <v>Should</v>
      </c>
      <c r="N362" s="3" t="str">
        <f>'FSL Source'!M362</f>
        <v>Pha 2</v>
      </c>
      <c r="O362" s="3" t="str">
        <f>'FSL Source'!N362</f>
        <v>Đề xuất trong phạm vi</v>
      </c>
      <c r="P362" s="4" t="str">
        <f>'FSL Source'!O362</f>
        <v>Bổ sung</v>
      </c>
      <c r="Q362" s="4">
        <f>'FSL Source'!P362</f>
        <v>0</v>
      </c>
      <c r="R362" s="4">
        <f>'FSL Source'!Q362</f>
        <v>0</v>
      </c>
      <c r="S362" s="3"/>
      <c r="T362" s="3"/>
      <c r="U362" s="8"/>
      <c r="V362" s="8"/>
      <c r="W362" s="9"/>
      <c r="X362" s="9" t="str">
        <f t="shared" si="5"/>
        <v/>
      </c>
      <c r="Y362" s="3" t="s">
        <v>1860</v>
      </c>
      <c r="Z362" s="10">
        <v>0</v>
      </c>
      <c r="AA362" s="4"/>
    </row>
    <row r="363" spans="1:27" ht="25.5">
      <c r="A363" s="3" t="str">
        <f>B363&amp;"."&amp;TEXT(COUNTIF($B$5:B363,B363),"000")</f>
        <v>1.14.06.009</v>
      </c>
      <c r="B363" s="3" t="str">
        <f>IFERROR(INDEX('Work Packages'!$A$5:$A$200,MATCH(D363&amp;"|"&amp;E363,'Work Packages'!$P$5:$P$200,0)),"")</f>
        <v>1.14.06</v>
      </c>
      <c r="C363" s="3" t="str">
        <f>'FSL Source'!B363</f>
        <v>CFG-NTF-009</v>
      </c>
      <c r="D363" s="3" t="str">
        <f>'FSL Source'!C363</f>
        <v>Quy trình &amp; Cấu hình Nghiệp vụ</v>
      </c>
      <c r="E363" s="3" t="str">
        <f>'FSL Source'!D363</f>
        <v>Thông báo</v>
      </c>
      <c r="F363" s="4" t="str">
        <f>'FSL Source'!E363</f>
        <v>Trigger</v>
      </c>
      <c r="G363" s="4" t="str">
        <f>'FSL Source'!F363</f>
        <v>Gắn thông báo với sự kiện nghiệp vụ</v>
      </c>
      <c r="H363" s="4" t="str">
        <f>'FSL Source'!G363</f>
        <v>Cấu hình event, đối tượng nhận, mẫu, delay và điều kiện gửi.</v>
      </c>
      <c r="I363" s="3" t="str">
        <f>'FSL Source'!H363</f>
        <v>BA/Quản trị cấu hình</v>
      </c>
      <c r="J363" s="3" t="str">
        <f>'FSL Source'!I363</f>
        <v>Cấu hình</v>
      </c>
      <c r="K363" s="3">
        <f>'FSL Source'!J363</f>
        <v>0</v>
      </c>
      <c r="L363" s="3" t="str">
        <f>'FSL Source'!K363</f>
        <v>N/A</v>
      </c>
      <c r="M363" s="3" t="str">
        <f>'FSL Source'!L363</f>
        <v>Should</v>
      </c>
      <c r="N363" s="3" t="str">
        <f>'FSL Source'!M363</f>
        <v>Pha 2</v>
      </c>
      <c r="O363" s="3" t="str">
        <f>'FSL Source'!N363</f>
        <v>Đề xuất trong phạm vi</v>
      </c>
      <c r="P363" s="4" t="str">
        <f>'FSL Source'!O363</f>
        <v>Bổ sung</v>
      </c>
      <c r="Q363" s="4">
        <f>'FSL Source'!P363</f>
        <v>0</v>
      </c>
      <c r="R363" s="4">
        <f>'FSL Source'!Q363</f>
        <v>0</v>
      </c>
      <c r="S363" s="3"/>
      <c r="T363" s="3"/>
      <c r="U363" s="8"/>
      <c r="V363" s="8"/>
      <c r="W363" s="9"/>
      <c r="X363" s="9" t="str">
        <f t="shared" si="5"/>
        <v/>
      </c>
      <c r="Y363" s="3" t="s">
        <v>1860</v>
      </c>
      <c r="Z363" s="10">
        <v>0</v>
      </c>
      <c r="AA363" s="4"/>
    </row>
    <row r="364" spans="1:27" ht="25.5">
      <c r="A364" s="3" t="str">
        <f>B364&amp;"."&amp;TEXT(COUNTIF($B$5:B364,B364),"000")</f>
        <v>1.14.06.010</v>
      </c>
      <c r="B364" s="3" t="str">
        <f>IFERROR(INDEX('Work Packages'!$A$5:$A$200,MATCH(D364&amp;"|"&amp;E364,'Work Packages'!$P$5:$P$200,0)),"")</f>
        <v>1.14.06</v>
      </c>
      <c r="C364" s="3" t="str">
        <f>'FSL Source'!B364</f>
        <v>CFG-NTF-010</v>
      </c>
      <c r="D364" s="3" t="str">
        <f>'FSL Source'!C364</f>
        <v>Quy trình &amp; Cấu hình Nghiệp vụ</v>
      </c>
      <c r="E364" s="3" t="str">
        <f>'FSL Source'!D364</f>
        <v>Thông báo</v>
      </c>
      <c r="F364" s="4" t="str">
        <f>'FSL Source'!E364</f>
        <v>Theo dõi</v>
      </c>
      <c r="G364" s="4" t="str">
        <f>'FSL Source'!F364</f>
        <v>Theo dõi trạng thái gửi và gửi lại</v>
      </c>
      <c r="H364" s="4" t="str">
        <f>'FSL Source'!G364</f>
        <v>Ghi nhận pending/sent/failed, retry có kiểm soát và audit.</v>
      </c>
      <c r="I364" s="3" t="str">
        <f>'FSL Source'!H364</f>
        <v>Quản trị vận hành</v>
      </c>
      <c r="J364" s="3" t="str">
        <f>'FSL Source'!I364</f>
        <v>Vận hành</v>
      </c>
      <c r="K364" s="3">
        <f>'FSL Source'!J364</f>
        <v>0</v>
      </c>
      <c r="L364" s="3" t="str">
        <f>'FSL Source'!K364</f>
        <v>N/A</v>
      </c>
      <c r="M364" s="3" t="str">
        <f>'FSL Source'!L364</f>
        <v>Should</v>
      </c>
      <c r="N364" s="3" t="str">
        <f>'FSL Source'!M364</f>
        <v>Pha 2</v>
      </c>
      <c r="O364" s="3" t="str">
        <f>'FSL Source'!N364</f>
        <v>Đề xuất trong phạm vi</v>
      </c>
      <c r="P364" s="4" t="str">
        <f>'FSL Source'!O364</f>
        <v>Bổ sung</v>
      </c>
      <c r="Q364" s="4">
        <f>'FSL Source'!P364</f>
        <v>0</v>
      </c>
      <c r="R364" s="4">
        <f>'FSL Source'!Q364</f>
        <v>0</v>
      </c>
      <c r="S364" s="3"/>
      <c r="T364" s="3"/>
      <c r="U364" s="8"/>
      <c r="V364" s="8"/>
      <c r="W364" s="9"/>
      <c r="X364" s="9" t="str">
        <f t="shared" si="5"/>
        <v/>
      </c>
      <c r="Y364" s="3" t="s">
        <v>1860</v>
      </c>
      <c r="Z364" s="10">
        <v>0</v>
      </c>
      <c r="AA364" s="4"/>
    </row>
    <row r="365" spans="1:27" ht="25.5">
      <c r="A365" s="3" t="str">
        <f>B365&amp;"."&amp;TEXT(COUNTIF($B$5:B365,B365),"000")</f>
        <v>1.14.07.001</v>
      </c>
      <c r="B365" s="3" t="str">
        <f>IFERROR(INDEX('Work Packages'!$A$5:$A$200,MATCH(D365&amp;"|"&amp;E365,'Work Packages'!$P$5:$P$200,0)),"")</f>
        <v>1.14.07</v>
      </c>
      <c r="C365" s="3" t="str">
        <f>'FSL Source'!B365</f>
        <v>CFG-SLA-001</v>
      </c>
      <c r="D365" s="3" t="str">
        <f>'FSL Source'!C365</f>
        <v>Quy trình &amp; Cấu hình Nghiệp vụ</v>
      </c>
      <c r="E365" s="3" t="str">
        <f>'FSL Source'!D365</f>
        <v>SLA &amp; Escalation</v>
      </c>
      <c r="F365" s="4" t="str">
        <f>'FSL Source'!E365</f>
        <v>Chính sách SLA</v>
      </c>
      <c r="G365" s="4" t="str">
        <f>'FSL Source'!F365</f>
        <v>Xem danh sách Chính sách SLA</v>
      </c>
      <c r="H365" s="4" t="str">
        <f>'FSL Source'!G365</f>
        <v>Tra cứu danh sách, phân trang, sắp xếp và lọc Chính sách SLA theo các tiêu chí nghiệp vụ.</v>
      </c>
      <c r="I365" s="3" t="str">
        <f>'FSL Source'!H365</f>
        <v>BA/Quản trị cấu hình</v>
      </c>
      <c r="J365" s="3" t="str">
        <f>'FSL Source'!I365</f>
        <v>Nghiệp vụ</v>
      </c>
      <c r="K365" s="3">
        <f>'FSL Source'!J365</f>
        <v>0</v>
      </c>
      <c r="L365" s="3" t="str">
        <f>'FSL Source'!K365</f>
        <v>CAP-17</v>
      </c>
      <c r="M365" s="3" t="str">
        <f>'FSL Source'!L365</f>
        <v>Should</v>
      </c>
      <c r="N365" s="3" t="str">
        <f>'FSL Source'!M365</f>
        <v>Pha 2</v>
      </c>
      <c r="O365" s="3" t="str">
        <f>'FSL Source'!N365</f>
        <v>Đề xuất trong phạm vi</v>
      </c>
      <c r="P365" s="4" t="str">
        <f>'FSL Source'!O365</f>
        <v>Bổ sung theo EPIC11</v>
      </c>
      <c r="Q365" s="4" t="str">
        <f>'FSL Source'!P365</f>
        <v>Danh sách hiển thị đúng phạm vi dữ liệu và hỗ trợ lọc/xuất theo quyền.</v>
      </c>
      <c r="R365" s="4">
        <f>'FSL Source'!Q365</f>
        <v>0</v>
      </c>
      <c r="S365" s="3"/>
      <c r="T365" s="3"/>
      <c r="U365" s="8"/>
      <c r="V365" s="8"/>
      <c r="W365" s="9"/>
      <c r="X365" s="9" t="str">
        <f t="shared" si="5"/>
        <v/>
      </c>
      <c r="Y365" s="3" t="s">
        <v>1860</v>
      </c>
      <c r="Z365" s="10">
        <v>0</v>
      </c>
      <c r="AA365" s="4"/>
    </row>
    <row r="366" spans="1:27" ht="25.5">
      <c r="A366" s="3" t="str">
        <f>B366&amp;"."&amp;TEXT(COUNTIF($B$5:B366,B366),"000")</f>
        <v>1.14.07.002</v>
      </c>
      <c r="B366" s="3" t="str">
        <f>IFERROR(INDEX('Work Packages'!$A$5:$A$200,MATCH(D366&amp;"|"&amp;E366,'Work Packages'!$P$5:$P$200,0)),"")</f>
        <v>1.14.07</v>
      </c>
      <c r="C366" s="3" t="str">
        <f>'FSL Source'!B366</f>
        <v>CFG-SLA-002</v>
      </c>
      <c r="D366" s="3" t="str">
        <f>'FSL Source'!C366</f>
        <v>Quy trình &amp; Cấu hình Nghiệp vụ</v>
      </c>
      <c r="E366" s="3" t="str">
        <f>'FSL Source'!D366</f>
        <v>SLA &amp; Escalation</v>
      </c>
      <c r="F366" s="4" t="str">
        <f>'FSL Source'!E366</f>
        <v>Chính sách SLA</v>
      </c>
      <c r="G366" s="4" t="str">
        <f>'FSL Source'!F366</f>
        <v>Tạo mới Chính sách SLA</v>
      </c>
      <c r="H366" s="4" t="str">
        <f>'FSL Source'!G366</f>
        <v>Khởi tạo Chính sách SLA, kiểm tra dữ liệu bắt buộc và lưu nháp trước khi hoàn tất.</v>
      </c>
      <c r="I366" s="3" t="str">
        <f>'FSL Source'!H366</f>
        <v>BA/Quản trị cấu hình</v>
      </c>
      <c r="J366" s="3" t="str">
        <f>'FSL Source'!I366</f>
        <v>Nghiệp vụ</v>
      </c>
      <c r="K366" s="3">
        <f>'FSL Source'!J366</f>
        <v>0</v>
      </c>
      <c r="L366" s="3" t="str">
        <f>'FSL Source'!K366</f>
        <v>CAP-17</v>
      </c>
      <c r="M366" s="3" t="str">
        <f>'FSL Source'!L366</f>
        <v>Should</v>
      </c>
      <c r="N366" s="3" t="str">
        <f>'FSL Source'!M366</f>
        <v>Pha 2</v>
      </c>
      <c r="O366" s="3" t="str">
        <f>'FSL Source'!N366</f>
        <v>Đề xuất trong phạm vi</v>
      </c>
      <c r="P366" s="4" t="str">
        <f>'FSL Source'!O366</f>
        <v>Bổ sung theo EPIC11</v>
      </c>
      <c r="Q366" s="4" t="str">
        <f>'FSL Source'!P366</f>
        <v>Dữ liệu hợp lệ được lưu; lỗi validation hiển thị tại trường tương ứng.</v>
      </c>
      <c r="R366" s="4">
        <f>'FSL Source'!Q366</f>
        <v>0</v>
      </c>
      <c r="S366" s="3"/>
      <c r="T366" s="3"/>
      <c r="U366" s="8"/>
      <c r="V366" s="8"/>
      <c r="W366" s="9"/>
      <c r="X366" s="9" t="str">
        <f t="shared" si="5"/>
        <v/>
      </c>
      <c r="Y366" s="3" t="s">
        <v>1860</v>
      </c>
      <c r="Z366" s="10">
        <v>0</v>
      </c>
      <c r="AA366" s="4"/>
    </row>
    <row r="367" spans="1:27" ht="25.5">
      <c r="A367" s="3" t="str">
        <f>B367&amp;"."&amp;TEXT(COUNTIF($B$5:B367,B367),"000")</f>
        <v>1.14.07.003</v>
      </c>
      <c r="B367" s="3" t="str">
        <f>IFERROR(INDEX('Work Packages'!$A$5:$A$200,MATCH(D367&amp;"|"&amp;E367,'Work Packages'!$P$5:$P$200,0)),"")</f>
        <v>1.14.07</v>
      </c>
      <c r="C367" s="3" t="str">
        <f>'FSL Source'!B367</f>
        <v>CFG-SLA-003</v>
      </c>
      <c r="D367" s="3" t="str">
        <f>'FSL Source'!C367</f>
        <v>Quy trình &amp; Cấu hình Nghiệp vụ</v>
      </c>
      <c r="E367" s="3" t="str">
        <f>'FSL Source'!D367</f>
        <v>SLA &amp; Escalation</v>
      </c>
      <c r="F367" s="4" t="str">
        <f>'FSL Source'!E367</f>
        <v>Chính sách SLA</v>
      </c>
      <c r="G367" s="4" t="str">
        <f>'FSL Source'!F367</f>
        <v>Sao chép Chính sách SLA</v>
      </c>
      <c r="H367" s="4" t="str">
        <f>'FSL Source'!G367</f>
        <v>Tạo bản mới từ một Chính sách SLA hiện hữu và loại bỏ các thông tin không được kế thừa.</v>
      </c>
      <c r="I367" s="3" t="str">
        <f>'FSL Source'!H367</f>
        <v>BA/Quản trị cấu hình</v>
      </c>
      <c r="J367" s="3" t="str">
        <f>'FSL Source'!I367</f>
        <v>Nghiệp vụ</v>
      </c>
      <c r="K367" s="3">
        <f>'FSL Source'!J367</f>
        <v>0</v>
      </c>
      <c r="L367" s="3" t="str">
        <f>'FSL Source'!K367</f>
        <v>CAP-17</v>
      </c>
      <c r="M367" s="3" t="str">
        <f>'FSL Source'!L367</f>
        <v>Should</v>
      </c>
      <c r="N367" s="3" t="str">
        <f>'FSL Source'!M367</f>
        <v>Pha 2</v>
      </c>
      <c r="O367" s="3" t="str">
        <f>'FSL Source'!N367</f>
        <v>Đề xuất trong phạm vi</v>
      </c>
      <c r="P367" s="4" t="str">
        <f>'FSL Source'!O367</f>
        <v>Bổ sung theo EPIC11</v>
      </c>
      <c r="Q367" s="4" t="str">
        <f>'FSL Source'!P367</f>
        <v>Bản sao có mã/phiên bản mới và không làm thay đổi bản nguồn.</v>
      </c>
      <c r="R367" s="4">
        <f>'FSL Source'!Q367</f>
        <v>0</v>
      </c>
      <c r="S367" s="3"/>
      <c r="T367" s="3"/>
      <c r="U367" s="8"/>
      <c r="V367" s="8"/>
      <c r="W367" s="9"/>
      <c r="X367" s="9" t="str">
        <f t="shared" si="5"/>
        <v/>
      </c>
      <c r="Y367" s="3" t="s">
        <v>1860</v>
      </c>
      <c r="Z367" s="10">
        <v>0</v>
      </c>
      <c r="AA367" s="4"/>
    </row>
    <row r="368" spans="1:27" ht="25.5">
      <c r="A368" s="3" t="str">
        <f>B368&amp;"."&amp;TEXT(COUNTIF($B$5:B368,B368),"000")</f>
        <v>1.14.07.004</v>
      </c>
      <c r="B368" s="3" t="str">
        <f>IFERROR(INDEX('Work Packages'!$A$5:$A$200,MATCH(D368&amp;"|"&amp;E368,'Work Packages'!$P$5:$P$200,0)),"")</f>
        <v>1.14.07</v>
      </c>
      <c r="C368" s="3" t="str">
        <f>'FSL Source'!B368</f>
        <v>CFG-SLA-004</v>
      </c>
      <c r="D368" s="3" t="str">
        <f>'FSL Source'!C368</f>
        <v>Quy trình &amp; Cấu hình Nghiệp vụ</v>
      </c>
      <c r="E368" s="3" t="str">
        <f>'FSL Source'!D368</f>
        <v>SLA &amp; Escalation</v>
      </c>
      <c r="F368" s="4" t="str">
        <f>'FSL Source'!E368</f>
        <v>Chính sách SLA</v>
      </c>
      <c r="G368" s="4" t="str">
        <f>'FSL Source'!F368</f>
        <v>Xem chi tiết Chính sách SLA</v>
      </c>
      <c r="H368" s="4" t="str">
        <f>'FSL Source'!G368</f>
        <v>Hiển thị thông tin tổng quan, dữ liệu chi tiết, tài liệu liên quan và trạng thái của Chính sách SLA.</v>
      </c>
      <c r="I368" s="3" t="str">
        <f>'FSL Source'!H368</f>
        <v>BA/Quản trị cấu hình</v>
      </c>
      <c r="J368" s="3" t="str">
        <f>'FSL Source'!I368</f>
        <v>Nghiệp vụ</v>
      </c>
      <c r="K368" s="3">
        <f>'FSL Source'!J368</f>
        <v>0</v>
      </c>
      <c r="L368" s="3" t="str">
        <f>'FSL Source'!K368</f>
        <v>CAP-17</v>
      </c>
      <c r="M368" s="3" t="str">
        <f>'FSL Source'!L368</f>
        <v>Should</v>
      </c>
      <c r="N368" s="3" t="str">
        <f>'FSL Source'!M368</f>
        <v>Pha 2</v>
      </c>
      <c r="O368" s="3" t="str">
        <f>'FSL Source'!N368</f>
        <v>Đề xuất trong phạm vi</v>
      </c>
      <c r="P368" s="4" t="str">
        <f>'FSL Source'!O368</f>
        <v>Bổ sung theo EPIC11</v>
      </c>
      <c r="Q368" s="4" t="str">
        <f>'FSL Source'!P368</f>
        <v>Thông tin hiển thị đúng phiên bản và quyền truy cập.</v>
      </c>
      <c r="R368" s="4">
        <f>'FSL Source'!Q368</f>
        <v>0</v>
      </c>
      <c r="S368" s="3"/>
      <c r="T368" s="3"/>
      <c r="U368" s="8"/>
      <c r="V368" s="8"/>
      <c r="W368" s="9"/>
      <c r="X368" s="9" t="str">
        <f t="shared" si="5"/>
        <v/>
      </c>
      <c r="Y368" s="3" t="s">
        <v>1860</v>
      </c>
      <c r="Z368" s="10">
        <v>0</v>
      </c>
      <c r="AA368" s="4"/>
    </row>
    <row r="369" spans="1:27" ht="25.5">
      <c r="A369" s="3" t="str">
        <f>B369&amp;"."&amp;TEXT(COUNTIF($B$5:B369,B369),"000")</f>
        <v>1.14.07.005</v>
      </c>
      <c r="B369" s="3" t="str">
        <f>IFERROR(INDEX('Work Packages'!$A$5:$A$200,MATCH(D369&amp;"|"&amp;E369,'Work Packages'!$P$5:$P$200,0)),"")</f>
        <v>1.14.07</v>
      </c>
      <c r="C369" s="3" t="str">
        <f>'FSL Source'!B369</f>
        <v>CFG-SLA-005</v>
      </c>
      <c r="D369" s="3" t="str">
        <f>'FSL Source'!C369</f>
        <v>Quy trình &amp; Cấu hình Nghiệp vụ</v>
      </c>
      <c r="E369" s="3" t="str">
        <f>'FSL Source'!D369</f>
        <v>SLA &amp; Escalation</v>
      </c>
      <c r="F369" s="4" t="str">
        <f>'FSL Source'!E369</f>
        <v>Chính sách SLA</v>
      </c>
      <c r="G369" s="4" t="str">
        <f>'FSL Source'!F369</f>
        <v>Chỉnh sửa Chính sách SLA</v>
      </c>
      <c r="H369" s="4" t="str">
        <f>'FSL Source'!G369</f>
        <v>Cập nhật Chính sách SLA khi trạng thái và quyền người dùng cho phép; kiểm soát xung đột cập nhật.</v>
      </c>
      <c r="I369" s="3" t="str">
        <f>'FSL Source'!H369</f>
        <v>BA/Quản trị cấu hình</v>
      </c>
      <c r="J369" s="3" t="str">
        <f>'FSL Source'!I369</f>
        <v>Nghiệp vụ</v>
      </c>
      <c r="K369" s="3">
        <f>'FSL Source'!J369</f>
        <v>0</v>
      </c>
      <c r="L369" s="3" t="str">
        <f>'FSL Source'!K369</f>
        <v>CAP-17</v>
      </c>
      <c r="M369" s="3" t="str">
        <f>'FSL Source'!L369</f>
        <v>Should</v>
      </c>
      <c r="N369" s="3" t="str">
        <f>'FSL Source'!M369</f>
        <v>Pha 2</v>
      </c>
      <c r="O369" s="3" t="str">
        <f>'FSL Source'!N369</f>
        <v>Đề xuất trong phạm vi</v>
      </c>
      <c r="P369" s="4" t="str">
        <f>'FSL Source'!O369</f>
        <v>Bổ sung theo EPIC11</v>
      </c>
      <c r="Q369" s="4" t="str">
        <f>'FSL Source'!P369</f>
        <v>Chỉ trường được phép sửa có hiệu lực và thay đổi được ghi lịch sử.</v>
      </c>
      <c r="R369" s="4">
        <f>'FSL Source'!Q369</f>
        <v>0</v>
      </c>
      <c r="S369" s="3"/>
      <c r="T369" s="3"/>
      <c r="U369" s="8"/>
      <c r="V369" s="8"/>
      <c r="W369" s="9"/>
      <c r="X369" s="9" t="str">
        <f t="shared" si="5"/>
        <v/>
      </c>
      <c r="Y369" s="3" t="s">
        <v>1860</v>
      </c>
      <c r="Z369" s="10">
        <v>0</v>
      </c>
      <c r="AA369" s="4"/>
    </row>
    <row r="370" spans="1:27" ht="25.5">
      <c r="A370" s="3" t="str">
        <f>B370&amp;"."&amp;TEXT(COUNTIF($B$5:B370,B370),"000")</f>
        <v>1.14.07.006</v>
      </c>
      <c r="B370" s="3" t="str">
        <f>IFERROR(INDEX('Work Packages'!$A$5:$A$200,MATCH(D370&amp;"|"&amp;E370,'Work Packages'!$P$5:$P$200,0)),"")</f>
        <v>1.14.07</v>
      </c>
      <c r="C370" s="3" t="str">
        <f>'FSL Source'!B370</f>
        <v>CFG-SLA-006</v>
      </c>
      <c r="D370" s="3" t="str">
        <f>'FSL Source'!C370</f>
        <v>Quy trình &amp; Cấu hình Nghiệp vụ</v>
      </c>
      <c r="E370" s="3" t="str">
        <f>'FSL Source'!D370</f>
        <v>SLA &amp; Escalation</v>
      </c>
      <c r="F370" s="4" t="str">
        <f>'FSL Source'!E370</f>
        <v>Chính sách SLA</v>
      </c>
      <c r="G370" s="4" t="str">
        <f>'FSL Source'!F370</f>
        <v>Xóa/Ngừng sử dụng Chính sách SLA</v>
      </c>
      <c r="H370" s="4" t="str">
        <f>'FSL Source'!G370</f>
        <v>Xóa logic hoặc ngừng sử dụng Chính sách SLA sau khi kiểm tra ràng buộc tham chiếu.</v>
      </c>
      <c r="I370" s="3" t="str">
        <f>'FSL Source'!H370</f>
        <v>Quản trị/Cán bộ nghiệp vụ</v>
      </c>
      <c r="J370" s="3" t="str">
        <f>'FSL Source'!I370</f>
        <v>Nghiệp vụ</v>
      </c>
      <c r="K370" s="3">
        <f>'FSL Source'!J370</f>
        <v>0</v>
      </c>
      <c r="L370" s="3" t="str">
        <f>'FSL Source'!K370</f>
        <v>CAP-17</v>
      </c>
      <c r="M370" s="3" t="str">
        <f>'FSL Source'!L370</f>
        <v>Should</v>
      </c>
      <c r="N370" s="3" t="str">
        <f>'FSL Source'!M370</f>
        <v>Pha 2</v>
      </c>
      <c r="O370" s="3" t="str">
        <f>'FSL Source'!N370</f>
        <v>Đề xuất trong phạm vi</v>
      </c>
      <c r="P370" s="4" t="str">
        <f>'FSL Source'!O370</f>
        <v>Bổ sung theo EPIC11</v>
      </c>
      <c r="Q370" s="4" t="str">
        <f>'FSL Source'!P370</f>
        <v>Không xóa vật lý dữ liệu đã phát sinh giao dịch; cảnh báo rõ quan hệ phụ thuộc.</v>
      </c>
      <c r="R370" s="4">
        <f>'FSL Source'!Q370</f>
        <v>0</v>
      </c>
      <c r="S370" s="3"/>
      <c r="T370" s="3"/>
      <c r="U370" s="8"/>
      <c r="V370" s="8"/>
      <c r="W370" s="9"/>
      <c r="X370" s="9" t="str">
        <f t="shared" si="5"/>
        <v/>
      </c>
      <c r="Y370" s="3" t="s">
        <v>1860</v>
      </c>
      <c r="Z370" s="10">
        <v>0</v>
      </c>
      <c r="AA370" s="4"/>
    </row>
    <row r="371" spans="1:27" ht="25.5">
      <c r="A371" s="3" t="str">
        <f>B371&amp;"."&amp;TEXT(COUNTIF($B$5:B371,B371),"000")</f>
        <v>1.14.07.007</v>
      </c>
      <c r="B371" s="3" t="str">
        <f>IFERROR(INDEX('Work Packages'!$A$5:$A$200,MATCH(D371&amp;"|"&amp;E371,'Work Packages'!$P$5:$P$200,0)),"")</f>
        <v>1.14.07</v>
      </c>
      <c r="C371" s="3" t="str">
        <f>'FSL Source'!B371</f>
        <v>CFG-SLA-007</v>
      </c>
      <c r="D371" s="3" t="str">
        <f>'FSL Source'!C371</f>
        <v>Quy trình &amp; Cấu hình Nghiệp vụ</v>
      </c>
      <c r="E371" s="3" t="str">
        <f>'FSL Source'!D371</f>
        <v>SLA &amp; Escalation</v>
      </c>
      <c r="F371" s="4" t="str">
        <f>'FSL Source'!E371</f>
        <v>Chính sách SLA</v>
      </c>
      <c r="G371" s="4" t="str">
        <f>'FSL Source'!F371</f>
        <v>Xem lịch sử Chính sách SLA</v>
      </c>
      <c r="H371" s="4" t="str">
        <f>'FSL Source'!G371</f>
        <v>Theo dõi phiên bản, thay đổi dữ liệu, người thực hiện và lịch sử xử lý của Chính sách SLA.</v>
      </c>
      <c r="I371" s="3" t="str">
        <f>'FSL Source'!H371</f>
        <v>Cán bộ nghiệp vụ/Quản trị</v>
      </c>
      <c r="J371" s="3" t="str">
        <f>'FSL Source'!I371</f>
        <v>Audit</v>
      </c>
      <c r="K371" s="3">
        <f>'FSL Source'!J371</f>
        <v>0</v>
      </c>
      <c r="L371" s="3" t="str">
        <f>'FSL Source'!K371</f>
        <v>CAP-17</v>
      </c>
      <c r="M371" s="3" t="str">
        <f>'FSL Source'!L371</f>
        <v>Must</v>
      </c>
      <c r="N371" s="3" t="str">
        <f>'FSL Source'!M371</f>
        <v>Pha 2</v>
      </c>
      <c r="O371" s="3" t="str">
        <f>'FSL Source'!N371</f>
        <v>Đề xuất trong phạm vi</v>
      </c>
      <c r="P371" s="4" t="str">
        <f>'FSL Source'!O371</f>
        <v>Bổ sung theo EPIC11</v>
      </c>
      <c r="Q371" s="4" t="str">
        <f>'FSL Source'!P371</f>
        <v>Lịch sử không thể sửa và truy vết được trước/sau của thay đổi quan trọng.</v>
      </c>
      <c r="R371" s="4">
        <f>'FSL Source'!Q371</f>
        <v>0</v>
      </c>
      <c r="S371" s="3"/>
      <c r="T371" s="3"/>
      <c r="U371" s="8"/>
      <c r="V371" s="8"/>
      <c r="W371" s="9"/>
      <c r="X371" s="9" t="str">
        <f t="shared" si="5"/>
        <v/>
      </c>
      <c r="Y371" s="3" t="s">
        <v>1860</v>
      </c>
      <c r="Z371" s="10">
        <v>0</v>
      </c>
      <c r="AA371" s="4"/>
    </row>
    <row r="372" spans="1:27" ht="25.5">
      <c r="A372" s="3" t="str">
        <f>B372&amp;"."&amp;TEXT(COUNTIF($B$5:B372,B372),"000")</f>
        <v>1.14.07.008</v>
      </c>
      <c r="B372" s="3" t="str">
        <f>IFERROR(INDEX('Work Packages'!$A$5:$A$200,MATCH(D372&amp;"|"&amp;E372,'Work Packages'!$P$5:$P$200,0)),"")</f>
        <v>1.14.07</v>
      </c>
      <c r="C372" s="3" t="str">
        <f>'FSL Source'!B372</f>
        <v>CFG-SLA-008</v>
      </c>
      <c r="D372" s="3" t="str">
        <f>'FSL Source'!C372</f>
        <v>Quy trình &amp; Cấu hình Nghiệp vụ</v>
      </c>
      <c r="E372" s="3" t="str">
        <f>'FSL Source'!D372</f>
        <v>SLA &amp; Escalation</v>
      </c>
      <c r="F372" s="4" t="str">
        <f>'FSL Source'!E372</f>
        <v>Lịch làm việc</v>
      </c>
      <c r="G372" s="4" t="str">
        <f>'FSL Source'!F372</f>
        <v>Cấu hình lịch làm việc và ngày nghỉ</v>
      </c>
      <c r="H372" s="4" t="str">
        <f>'FSL Source'!G372</f>
        <v>Tính hạn theo timezone, ngày làm việc, ngày nghỉ và lịch đặc thù đơn vị.</v>
      </c>
      <c r="I372" s="3" t="str">
        <f>'FSL Source'!H372</f>
        <v>Quản trị cấu hình</v>
      </c>
      <c r="J372" s="3" t="str">
        <f>'FSL Source'!I372</f>
        <v>Cấu hình</v>
      </c>
      <c r="K372" s="3">
        <f>'FSL Source'!J372</f>
        <v>0</v>
      </c>
      <c r="L372" s="3" t="str">
        <f>'FSL Source'!K372</f>
        <v>CAP-17</v>
      </c>
      <c r="M372" s="3" t="str">
        <f>'FSL Source'!L372</f>
        <v>Should</v>
      </c>
      <c r="N372" s="3" t="str">
        <f>'FSL Source'!M372</f>
        <v>Pha 2</v>
      </c>
      <c r="O372" s="3" t="str">
        <f>'FSL Source'!N372</f>
        <v>Đề xuất trong phạm vi</v>
      </c>
      <c r="P372" s="4" t="str">
        <f>'FSL Source'!O372</f>
        <v>Bổ sung</v>
      </c>
      <c r="Q372" s="4">
        <f>'FSL Source'!P372</f>
        <v>0</v>
      </c>
      <c r="R372" s="4">
        <f>'FSL Source'!Q372</f>
        <v>0</v>
      </c>
      <c r="S372" s="3"/>
      <c r="T372" s="3"/>
      <c r="U372" s="8"/>
      <c r="V372" s="8"/>
      <c r="W372" s="9"/>
      <c r="X372" s="9" t="str">
        <f t="shared" si="5"/>
        <v/>
      </c>
      <c r="Y372" s="3" t="s">
        <v>1860</v>
      </c>
      <c r="Z372" s="10">
        <v>0</v>
      </c>
      <c r="AA372" s="4"/>
    </row>
    <row r="373" spans="1:27" ht="25.5">
      <c r="A373" s="3" t="str">
        <f>B373&amp;"."&amp;TEXT(COUNTIF($B$5:B373,B373),"000")</f>
        <v>1.14.07.009</v>
      </c>
      <c r="B373" s="3" t="str">
        <f>IFERROR(INDEX('Work Packages'!$A$5:$A$200,MATCH(D373&amp;"|"&amp;E373,'Work Packages'!$P$5:$P$200,0)),"")</f>
        <v>1.14.07</v>
      </c>
      <c r="C373" s="3" t="str">
        <f>'FSL Source'!B373</f>
        <v>CFG-SLA-009</v>
      </c>
      <c r="D373" s="3" t="str">
        <f>'FSL Source'!C373</f>
        <v>Quy trình &amp; Cấu hình Nghiệp vụ</v>
      </c>
      <c r="E373" s="3" t="str">
        <f>'FSL Source'!D373</f>
        <v>SLA &amp; Escalation</v>
      </c>
      <c r="F373" s="4" t="str">
        <f>'FSL Source'!E373</f>
        <v>Escalation</v>
      </c>
      <c r="G373" s="4" t="str">
        <f>'FSL Source'!F373</f>
        <v>Cấu hình nhắc việc và escalation chain</v>
      </c>
      <c r="H373" s="4" t="str">
        <f>'FSL Source'!G373</f>
        <v>Cấu hình mốc nhắc, người nhận, cấp escalation và action khi vi phạm.</v>
      </c>
      <c r="I373" s="3" t="str">
        <f>'FSL Source'!H373</f>
        <v>BA/Quản trị cấu hình</v>
      </c>
      <c r="J373" s="3" t="str">
        <f>'FSL Source'!I373</f>
        <v>Cấu hình</v>
      </c>
      <c r="K373" s="3">
        <f>'FSL Source'!J373</f>
        <v>0</v>
      </c>
      <c r="L373" s="3" t="str">
        <f>'FSL Source'!K373</f>
        <v>CAP-17</v>
      </c>
      <c r="M373" s="3" t="str">
        <f>'FSL Source'!L373</f>
        <v>Should</v>
      </c>
      <c r="N373" s="3" t="str">
        <f>'FSL Source'!M373</f>
        <v>Pha 2</v>
      </c>
      <c r="O373" s="3" t="str">
        <f>'FSL Source'!N373</f>
        <v>Đề xuất trong phạm vi</v>
      </c>
      <c r="P373" s="4" t="str">
        <f>'FSL Source'!O373</f>
        <v>Bổ sung</v>
      </c>
      <c r="Q373" s="4">
        <f>'FSL Source'!P373</f>
        <v>0</v>
      </c>
      <c r="R373" s="4">
        <f>'FSL Source'!Q373</f>
        <v>0</v>
      </c>
      <c r="S373" s="3"/>
      <c r="T373" s="3"/>
      <c r="U373" s="8"/>
      <c r="V373" s="8"/>
      <c r="W373" s="9"/>
      <c r="X373" s="9" t="str">
        <f t="shared" si="5"/>
        <v/>
      </c>
      <c r="Y373" s="3" t="s">
        <v>1860</v>
      </c>
      <c r="Z373" s="10">
        <v>0</v>
      </c>
      <c r="AA373" s="4"/>
    </row>
    <row r="374" spans="1:27" ht="25.5">
      <c r="A374" s="3" t="str">
        <f>B374&amp;"."&amp;TEXT(COUNTIF($B$5:B374,B374),"000")</f>
        <v>1.14.08.001</v>
      </c>
      <c r="B374" s="3" t="str">
        <f>IFERROR(INDEX('Work Packages'!$A$5:$A$200,MATCH(D374&amp;"|"&amp;E374,'Work Packages'!$P$5:$P$200,0)),"")</f>
        <v>1.14.08</v>
      </c>
      <c r="C374" s="3" t="str">
        <f>'FSL Source'!B374</f>
        <v>CFG-MST-001</v>
      </c>
      <c r="D374" s="3" t="str">
        <f>'FSL Source'!C374</f>
        <v>Quy trình &amp; Cấu hình Nghiệp vụ</v>
      </c>
      <c r="E374" s="3" t="str">
        <f>'FSL Source'!D374</f>
        <v>Danh mục dùng chung</v>
      </c>
      <c r="F374" s="4" t="str">
        <f>'FSL Source'!E374</f>
        <v>Danh mục nghiệp vụ</v>
      </c>
      <c r="G374" s="4" t="str">
        <f>'FSL Source'!F374</f>
        <v>Xem danh sách Danh mục nghiệp vụ</v>
      </c>
      <c r="H374" s="4" t="str">
        <f>'FSL Source'!G374</f>
        <v>Tra cứu danh sách, phân trang, sắp xếp và lọc Danh mục nghiệp vụ theo các tiêu chí nghiệp vụ.</v>
      </c>
      <c r="I374" s="3" t="str">
        <f>'FSL Source'!H374</f>
        <v>Quản trị dữ liệu</v>
      </c>
      <c r="J374" s="3" t="str">
        <f>'FSL Source'!I374</f>
        <v>Nghiệp vụ</v>
      </c>
      <c r="K374" s="3">
        <f>'FSL Source'!J374</f>
        <v>0</v>
      </c>
      <c r="L374" s="3" t="str">
        <f>'FSL Source'!K374</f>
        <v>N/A</v>
      </c>
      <c r="M374" s="3" t="str">
        <f>'FSL Source'!L374</f>
        <v>Must</v>
      </c>
      <c r="N374" s="3" t="str">
        <f>'FSL Source'!M374</f>
        <v>Pha 1</v>
      </c>
      <c r="O374" s="3" t="str">
        <f>'FSL Source'!N374</f>
        <v>Đề xuất trong phạm vi</v>
      </c>
      <c r="P374" s="4" t="str">
        <f>'FSL Source'!O374</f>
        <v>Bổ sung theo EPIC12</v>
      </c>
      <c r="Q374" s="4" t="str">
        <f>'FSL Source'!P374</f>
        <v>Danh sách hiển thị đúng phạm vi dữ liệu và hỗ trợ lọc/xuất theo quyền.</v>
      </c>
      <c r="R374" s="4">
        <f>'FSL Source'!Q374</f>
        <v>0</v>
      </c>
      <c r="S374" s="3"/>
      <c r="T374" s="3"/>
      <c r="U374" s="8"/>
      <c r="V374" s="8"/>
      <c r="W374" s="9"/>
      <c r="X374" s="9" t="str">
        <f t="shared" si="5"/>
        <v/>
      </c>
      <c r="Y374" s="3" t="s">
        <v>1860</v>
      </c>
      <c r="Z374" s="10">
        <v>0</v>
      </c>
      <c r="AA374" s="4"/>
    </row>
    <row r="375" spans="1:27" ht="25.5">
      <c r="A375" s="3" t="str">
        <f>B375&amp;"."&amp;TEXT(COUNTIF($B$5:B375,B375),"000")</f>
        <v>1.14.08.002</v>
      </c>
      <c r="B375" s="3" t="str">
        <f>IFERROR(INDEX('Work Packages'!$A$5:$A$200,MATCH(D375&amp;"|"&amp;E375,'Work Packages'!$P$5:$P$200,0)),"")</f>
        <v>1.14.08</v>
      </c>
      <c r="C375" s="3" t="str">
        <f>'FSL Source'!B375</f>
        <v>CFG-MST-002</v>
      </c>
      <c r="D375" s="3" t="str">
        <f>'FSL Source'!C375</f>
        <v>Quy trình &amp; Cấu hình Nghiệp vụ</v>
      </c>
      <c r="E375" s="3" t="str">
        <f>'FSL Source'!D375</f>
        <v>Danh mục dùng chung</v>
      </c>
      <c r="F375" s="4" t="str">
        <f>'FSL Source'!E375</f>
        <v>Danh mục nghiệp vụ</v>
      </c>
      <c r="G375" s="4" t="str">
        <f>'FSL Source'!F375</f>
        <v>Tạo mới Danh mục nghiệp vụ</v>
      </c>
      <c r="H375" s="4" t="str">
        <f>'FSL Source'!G375</f>
        <v>Khởi tạo Danh mục nghiệp vụ, kiểm tra dữ liệu bắt buộc và lưu nháp trước khi hoàn tất.</v>
      </c>
      <c r="I375" s="3" t="str">
        <f>'FSL Source'!H375</f>
        <v>Quản trị dữ liệu</v>
      </c>
      <c r="J375" s="3" t="str">
        <f>'FSL Source'!I375</f>
        <v>Nghiệp vụ</v>
      </c>
      <c r="K375" s="3">
        <f>'FSL Source'!J375</f>
        <v>0</v>
      </c>
      <c r="L375" s="3" t="str">
        <f>'FSL Source'!K375</f>
        <v>N/A</v>
      </c>
      <c r="M375" s="3" t="str">
        <f>'FSL Source'!L375</f>
        <v>Must</v>
      </c>
      <c r="N375" s="3" t="str">
        <f>'FSL Source'!M375</f>
        <v>Pha 1</v>
      </c>
      <c r="O375" s="3" t="str">
        <f>'FSL Source'!N375</f>
        <v>Đề xuất trong phạm vi</v>
      </c>
      <c r="P375" s="4" t="str">
        <f>'FSL Source'!O375</f>
        <v>Bổ sung theo EPIC12</v>
      </c>
      <c r="Q375" s="4" t="str">
        <f>'FSL Source'!P375</f>
        <v>Dữ liệu hợp lệ được lưu; lỗi validation hiển thị tại trường tương ứng.</v>
      </c>
      <c r="R375" s="4">
        <f>'FSL Source'!Q375</f>
        <v>0</v>
      </c>
      <c r="S375" s="3"/>
      <c r="T375" s="3"/>
      <c r="U375" s="8"/>
      <c r="V375" s="8"/>
      <c r="W375" s="9"/>
      <c r="X375" s="9" t="str">
        <f t="shared" si="5"/>
        <v/>
      </c>
      <c r="Y375" s="3" t="s">
        <v>1860</v>
      </c>
      <c r="Z375" s="10">
        <v>0</v>
      </c>
      <c r="AA375" s="4"/>
    </row>
    <row r="376" spans="1:27" ht="25.5">
      <c r="A376" s="3" t="str">
        <f>B376&amp;"."&amp;TEXT(COUNTIF($B$5:B376,B376),"000")</f>
        <v>1.14.08.003</v>
      </c>
      <c r="B376" s="3" t="str">
        <f>IFERROR(INDEX('Work Packages'!$A$5:$A$200,MATCH(D376&amp;"|"&amp;E376,'Work Packages'!$P$5:$P$200,0)),"")</f>
        <v>1.14.08</v>
      </c>
      <c r="C376" s="3" t="str">
        <f>'FSL Source'!B376</f>
        <v>CFG-MST-003</v>
      </c>
      <c r="D376" s="3" t="str">
        <f>'FSL Source'!C376</f>
        <v>Quy trình &amp; Cấu hình Nghiệp vụ</v>
      </c>
      <c r="E376" s="3" t="str">
        <f>'FSL Source'!D376</f>
        <v>Danh mục dùng chung</v>
      </c>
      <c r="F376" s="4" t="str">
        <f>'FSL Source'!E376</f>
        <v>Danh mục nghiệp vụ</v>
      </c>
      <c r="G376" s="4" t="str">
        <f>'FSL Source'!F376</f>
        <v>Xem chi tiết Danh mục nghiệp vụ</v>
      </c>
      <c r="H376" s="4" t="str">
        <f>'FSL Source'!G376</f>
        <v>Hiển thị thông tin tổng quan, dữ liệu chi tiết, tài liệu liên quan và trạng thái của Danh mục nghiệp vụ.</v>
      </c>
      <c r="I376" s="3" t="str">
        <f>'FSL Source'!H376</f>
        <v>Quản trị dữ liệu</v>
      </c>
      <c r="J376" s="3" t="str">
        <f>'FSL Source'!I376</f>
        <v>Nghiệp vụ</v>
      </c>
      <c r="K376" s="3">
        <f>'FSL Source'!J376</f>
        <v>0</v>
      </c>
      <c r="L376" s="3" t="str">
        <f>'FSL Source'!K376</f>
        <v>N/A</v>
      </c>
      <c r="M376" s="3" t="str">
        <f>'FSL Source'!L376</f>
        <v>Must</v>
      </c>
      <c r="N376" s="3" t="str">
        <f>'FSL Source'!M376</f>
        <v>Pha 1</v>
      </c>
      <c r="O376" s="3" t="str">
        <f>'FSL Source'!N376</f>
        <v>Đề xuất trong phạm vi</v>
      </c>
      <c r="P376" s="4" t="str">
        <f>'FSL Source'!O376</f>
        <v>Bổ sung theo EPIC12</v>
      </c>
      <c r="Q376" s="4" t="str">
        <f>'FSL Source'!P376</f>
        <v>Thông tin hiển thị đúng phiên bản và quyền truy cập.</v>
      </c>
      <c r="R376" s="4">
        <f>'FSL Source'!Q376</f>
        <v>0</v>
      </c>
      <c r="S376" s="3"/>
      <c r="T376" s="3"/>
      <c r="U376" s="8"/>
      <c r="V376" s="8"/>
      <c r="W376" s="9"/>
      <c r="X376" s="9" t="str">
        <f t="shared" si="5"/>
        <v/>
      </c>
      <c r="Y376" s="3" t="s">
        <v>1860</v>
      </c>
      <c r="Z376" s="10">
        <v>0</v>
      </c>
      <c r="AA376" s="4"/>
    </row>
    <row r="377" spans="1:27" ht="38.25">
      <c r="A377" s="3" t="str">
        <f>B377&amp;"."&amp;TEXT(COUNTIF($B$5:B377,B377),"000")</f>
        <v>1.14.08.004</v>
      </c>
      <c r="B377" s="3" t="str">
        <f>IFERROR(INDEX('Work Packages'!$A$5:$A$200,MATCH(D377&amp;"|"&amp;E377,'Work Packages'!$P$5:$P$200,0)),"")</f>
        <v>1.14.08</v>
      </c>
      <c r="C377" s="3" t="str">
        <f>'FSL Source'!B377</f>
        <v>CFG-MST-004</v>
      </c>
      <c r="D377" s="3" t="str">
        <f>'FSL Source'!C377</f>
        <v>Quy trình &amp; Cấu hình Nghiệp vụ</v>
      </c>
      <c r="E377" s="3" t="str">
        <f>'FSL Source'!D377</f>
        <v>Danh mục dùng chung</v>
      </c>
      <c r="F377" s="4" t="str">
        <f>'FSL Source'!E377</f>
        <v>Danh mục nghiệp vụ</v>
      </c>
      <c r="G377" s="4" t="str">
        <f>'FSL Source'!F377</f>
        <v>Chỉnh sửa Danh mục nghiệp vụ</v>
      </c>
      <c r="H377" s="4" t="str">
        <f>'FSL Source'!G377</f>
        <v>Cập nhật Danh mục nghiệp vụ khi trạng thái và quyền người dùng cho phép; kiểm soát xung đột cập nhật.</v>
      </c>
      <c r="I377" s="3" t="str">
        <f>'FSL Source'!H377</f>
        <v>Quản trị dữ liệu</v>
      </c>
      <c r="J377" s="3" t="str">
        <f>'FSL Source'!I377</f>
        <v>Nghiệp vụ</v>
      </c>
      <c r="K377" s="3">
        <f>'FSL Source'!J377</f>
        <v>0</v>
      </c>
      <c r="L377" s="3" t="str">
        <f>'FSL Source'!K377</f>
        <v>N/A</v>
      </c>
      <c r="M377" s="3" t="str">
        <f>'FSL Source'!L377</f>
        <v>Must</v>
      </c>
      <c r="N377" s="3" t="str">
        <f>'FSL Source'!M377</f>
        <v>Pha 1</v>
      </c>
      <c r="O377" s="3" t="str">
        <f>'FSL Source'!N377</f>
        <v>Đề xuất trong phạm vi</v>
      </c>
      <c r="P377" s="4" t="str">
        <f>'FSL Source'!O377</f>
        <v>Bổ sung theo EPIC12</v>
      </c>
      <c r="Q377" s="4" t="str">
        <f>'FSL Source'!P377</f>
        <v>Chỉ trường được phép sửa có hiệu lực và thay đổi được ghi lịch sử.</v>
      </c>
      <c r="R377" s="4">
        <f>'FSL Source'!Q377</f>
        <v>0</v>
      </c>
      <c r="S377" s="3"/>
      <c r="T377" s="3"/>
      <c r="U377" s="8"/>
      <c r="V377" s="8"/>
      <c r="W377" s="9"/>
      <c r="X377" s="9" t="str">
        <f t="shared" si="5"/>
        <v/>
      </c>
      <c r="Y377" s="3" t="s">
        <v>1860</v>
      </c>
      <c r="Z377" s="10">
        <v>0</v>
      </c>
      <c r="AA377" s="4"/>
    </row>
    <row r="378" spans="1:27" ht="25.5">
      <c r="A378" s="3" t="str">
        <f>B378&amp;"."&amp;TEXT(COUNTIF($B$5:B378,B378),"000")</f>
        <v>1.14.08.005</v>
      </c>
      <c r="B378" s="3" t="str">
        <f>IFERROR(INDEX('Work Packages'!$A$5:$A$200,MATCH(D378&amp;"|"&amp;E378,'Work Packages'!$P$5:$P$200,0)),"")</f>
        <v>1.14.08</v>
      </c>
      <c r="C378" s="3" t="str">
        <f>'FSL Source'!B378</f>
        <v>CFG-MST-005</v>
      </c>
      <c r="D378" s="3" t="str">
        <f>'FSL Source'!C378</f>
        <v>Quy trình &amp; Cấu hình Nghiệp vụ</v>
      </c>
      <c r="E378" s="3" t="str">
        <f>'FSL Source'!D378</f>
        <v>Danh mục dùng chung</v>
      </c>
      <c r="F378" s="4" t="str">
        <f>'FSL Source'!E378</f>
        <v>Danh mục nghiệp vụ</v>
      </c>
      <c r="G378" s="4" t="str">
        <f>'FSL Source'!F378</f>
        <v>Xóa/Ngừng sử dụng Danh mục nghiệp vụ</v>
      </c>
      <c r="H378" s="4" t="str">
        <f>'FSL Source'!G378</f>
        <v>Xóa logic hoặc ngừng sử dụng Danh mục nghiệp vụ sau khi kiểm tra ràng buộc tham chiếu.</v>
      </c>
      <c r="I378" s="3" t="str">
        <f>'FSL Source'!H378</f>
        <v>Quản trị/Cán bộ nghiệp vụ</v>
      </c>
      <c r="J378" s="3" t="str">
        <f>'FSL Source'!I378</f>
        <v>Nghiệp vụ</v>
      </c>
      <c r="K378" s="3">
        <f>'FSL Source'!J378</f>
        <v>0</v>
      </c>
      <c r="L378" s="3" t="str">
        <f>'FSL Source'!K378</f>
        <v>N/A</v>
      </c>
      <c r="M378" s="3" t="str">
        <f>'FSL Source'!L378</f>
        <v>Should</v>
      </c>
      <c r="N378" s="3" t="str">
        <f>'FSL Source'!M378</f>
        <v>Pha 1</v>
      </c>
      <c r="O378" s="3" t="str">
        <f>'FSL Source'!N378</f>
        <v>Đề xuất trong phạm vi</v>
      </c>
      <c r="P378" s="4" t="str">
        <f>'FSL Source'!O378</f>
        <v>Bổ sung theo EPIC12</v>
      </c>
      <c r="Q378" s="4" t="str">
        <f>'FSL Source'!P378</f>
        <v>Không xóa vật lý dữ liệu đã phát sinh giao dịch; cảnh báo rõ quan hệ phụ thuộc.</v>
      </c>
      <c r="R378" s="4">
        <f>'FSL Source'!Q378</f>
        <v>0</v>
      </c>
      <c r="S378" s="3"/>
      <c r="T378" s="3"/>
      <c r="U378" s="8"/>
      <c r="V378" s="8"/>
      <c r="W378" s="9"/>
      <c r="X378" s="9" t="str">
        <f t="shared" si="5"/>
        <v/>
      </c>
      <c r="Y378" s="3" t="s">
        <v>1860</v>
      </c>
      <c r="Z378" s="10">
        <v>0</v>
      </c>
      <c r="AA378" s="4"/>
    </row>
    <row r="379" spans="1:27" ht="25.5">
      <c r="A379" s="3" t="str">
        <f>B379&amp;"."&amp;TEXT(COUNTIF($B$5:B379,B379),"000")</f>
        <v>1.14.08.006</v>
      </c>
      <c r="B379" s="3" t="str">
        <f>IFERROR(INDEX('Work Packages'!$A$5:$A$200,MATCH(D379&amp;"|"&amp;E379,'Work Packages'!$P$5:$P$200,0)),"")</f>
        <v>1.14.08</v>
      </c>
      <c r="C379" s="3" t="str">
        <f>'FSL Source'!B379</f>
        <v>CFG-MST-006</v>
      </c>
      <c r="D379" s="3" t="str">
        <f>'FSL Source'!C379</f>
        <v>Quy trình &amp; Cấu hình Nghiệp vụ</v>
      </c>
      <c r="E379" s="3" t="str">
        <f>'FSL Source'!D379</f>
        <v>Danh mục dùng chung</v>
      </c>
      <c r="F379" s="4" t="str">
        <f>'FSL Source'!E379</f>
        <v>Danh mục nghiệp vụ</v>
      </c>
      <c r="G379" s="4" t="str">
        <f>'FSL Source'!F379</f>
        <v>Xem lịch sử Danh mục nghiệp vụ</v>
      </c>
      <c r="H379" s="4" t="str">
        <f>'FSL Source'!G379</f>
        <v>Theo dõi phiên bản, thay đổi dữ liệu, người thực hiện và lịch sử xử lý của Danh mục nghiệp vụ.</v>
      </c>
      <c r="I379" s="3" t="str">
        <f>'FSL Source'!H379</f>
        <v>Cán bộ nghiệp vụ/Quản trị</v>
      </c>
      <c r="J379" s="3" t="str">
        <f>'FSL Source'!I379</f>
        <v>Audit</v>
      </c>
      <c r="K379" s="3">
        <f>'FSL Source'!J379</f>
        <v>0</v>
      </c>
      <c r="L379" s="3" t="str">
        <f>'FSL Source'!K379</f>
        <v>N/A</v>
      </c>
      <c r="M379" s="3" t="str">
        <f>'FSL Source'!L379</f>
        <v>Must</v>
      </c>
      <c r="N379" s="3" t="str">
        <f>'FSL Source'!M379</f>
        <v>Pha 1</v>
      </c>
      <c r="O379" s="3" t="str">
        <f>'FSL Source'!N379</f>
        <v>Đề xuất trong phạm vi</v>
      </c>
      <c r="P379" s="4" t="str">
        <f>'FSL Source'!O379</f>
        <v>Bổ sung theo EPIC12</v>
      </c>
      <c r="Q379" s="4" t="str">
        <f>'FSL Source'!P379</f>
        <v>Lịch sử không thể sửa và truy vết được trước/sau của thay đổi quan trọng.</v>
      </c>
      <c r="R379" s="4">
        <f>'FSL Source'!Q379</f>
        <v>0</v>
      </c>
      <c r="S379" s="3"/>
      <c r="T379" s="3"/>
      <c r="U379" s="8"/>
      <c r="V379" s="8"/>
      <c r="W379" s="9"/>
      <c r="X379" s="9" t="str">
        <f t="shared" si="5"/>
        <v/>
      </c>
      <c r="Y379" s="3" t="s">
        <v>1860</v>
      </c>
      <c r="Z379" s="10">
        <v>0</v>
      </c>
      <c r="AA379" s="4"/>
    </row>
    <row r="380" spans="1:27" ht="25.5">
      <c r="A380" s="3" t="str">
        <f>B380&amp;"."&amp;TEXT(COUNTIF($B$5:B380,B380),"000")</f>
        <v>1.14.08.007</v>
      </c>
      <c r="B380" s="3" t="str">
        <f>IFERROR(INDEX('Work Packages'!$A$5:$A$200,MATCH(D380&amp;"|"&amp;E380,'Work Packages'!$P$5:$P$200,0)),"")</f>
        <v>1.14.08</v>
      </c>
      <c r="C380" s="3" t="str">
        <f>'FSL Source'!B380</f>
        <v>CFG-MST-007</v>
      </c>
      <c r="D380" s="3" t="str">
        <f>'FSL Source'!C380</f>
        <v>Quy trình &amp; Cấu hình Nghiệp vụ</v>
      </c>
      <c r="E380" s="3" t="str">
        <f>'FSL Source'!D380</f>
        <v>Danh mục dùng chung</v>
      </c>
      <c r="F380" s="4" t="str">
        <f>'FSL Source'!E380</f>
        <v>Giá trị danh mục</v>
      </c>
      <c r="G380" s="4" t="str">
        <f>'FSL Source'!F380</f>
        <v>Import/Export và version danh mục</v>
      </c>
      <c r="H380" s="4" t="str">
        <f>'FSL Source'!G380</f>
        <v>Hỗ trợ hiệu lực, mã ngoài, mapping và kiểm tra tham chiếu trước khi ngừng dùng.</v>
      </c>
      <c r="I380" s="3" t="str">
        <f>'FSL Source'!H380</f>
        <v>Quản trị dữ liệu</v>
      </c>
      <c r="J380" s="3" t="str">
        <f>'FSL Source'!I380</f>
        <v>Cấu hình</v>
      </c>
      <c r="K380" s="3">
        <f>'FSL Source'!J380</f>
        <v>0</v>
      </c>
      <c r="L380" s="3" t="str">
        <f>'FSL Source'!K380</f>
        <v>N/A</v>
      </c>
      <c r="M380" s="3" t="str">
        <f>'FSL Source'!L380</f>
        <v>Should</v>
      </c>
      <c r="N380" s="3" t="str">
        <f>'FSL Source'!M380</f>
        <v>Pha 1</v>
      </c>
      <c r="O380" s="3" t="str">
        <f>'FSL Source'!N380</f>
        <v>Đề xuất trong phạm vi</v>
      </c>
      <c r="P380" s="4" t="str">
        <f>'FSL Source'!O380</f>
        <v>Bổ sung</v>
      </c>
      <c r="Q380" s="4">
        <f>'FSL Source'!P380</f>
        <v>0</v>
      </c>
      <c r="R380" s="4">
        <f>'FSL Source'!Q380</f>
        <v>0</v>
      </c>
      <c r="S380" s="3"/>
      <c r="T380" s="3"/>
      <c r="U380" s="8"/>
      <c r="V380" s="8"/>
      <c r="W380" s="9"/>
      <c r="X380" s="9" t="str">
        <f t="shared" si="5"/>
        <v/>
      </c>
      <c r="Y380" s="3" t="s">
        <v>1860</v>
      </c>
      <c r="Z380" s="10">
        <v>0</v>
      </c>
      <c r="AA380" s="4"/>
    </row>
    <row r="381" spans="1:27" ht="25.5">
      <c r="A381" s="3" t="str">
        <f>B381&amp;"."&amp;TEXT(COUNTIF($B$5:B381,B381),"000")</f>
        <v>1.14.09.001</v>
      </c>
      <c r="B381" s="3" t="str">
        <f>IFERROR(INDEX('Work Packages'!$A$5:$A$200,MATCH(D381&amp;"|"&amp;E381,'Work Packages'!$P$5:$P$200,0)),"")</f>
        <v>1.14.09</v>
      </c>
      <c r="C381" s="3" t="str">
        <f>'FSL Source'!B381</f>
        <v>CFG-DSH-001</v>
      </c>
      <c r="D381" s="3" t="str">
        <f>'FSL Source'!C381</f>
        <v>Quy trình &amp; Cấu hình Nghiệp vụ</v>
      </c>
      <c r="E381" s="3" t="str">
        <f>'FSL Source'!D381</f>
        <v>Cấu hình dashboard</v>
      </c>
      <c r="F381" s="4" t="str">
        <f>'FSL Source'!E381</f>
        <v>Dashboard</v>
      </c>
      <c r="G381" s="4" t="str">
        <f>'FSL Source'!F381</f>
        <v>Thiết kế dashboard và bố cục widget</v>
      </c>
      <c r="H381" s="4" t="str">
        <f>'FSL Source'!G381</f>
        <v>Tạo dashboard, widget, layout, filter, permission và view cá nhân.</v>
      </c>
      <c r="I381" s="3" t="str">
        <f>'FSL Source'!H381</f>
        <v>Quản trị báo cáo</v>
      </c>
      <c r="J381" s="3" t="str">
        <f>'FSL Source'!I381</f>
        <v>Cấu hình</v>
      </c>
      <c r="K381" s="3" t="str">
        <f>'FSL Source'!J381</f>
        <v>RD09</v>
      </c>
      <c r="L381" s="3" t="str">
        <f>'FSL Source'!K381</f>
        <v>N/A</v>
      </c>
      <c r="M381" s="3" t="str">
        <f>'FSL Source'!L381</f>
        <v>Could</v>
      </c>
      <c r="N381" s="3" t="str">
        <f>'FSL Source'!M381</f>
        <v>Pha 3</v>
      </c>
      <c r="O381" s="3" t="str">
        <f>'FSL Source'!N381</f>
        <v>Đề xuất trong phạm vi</v>
      </c>
      <c r="P381" s="4" t="str">
        <f>'FSL Source'!O381</f>
        <v>Bổ sung</v>
      </c>
      <c r="Q381" s="4">
        <f>'FSL Source'!P381</f>
        <v>0</v>
      </c>
      <c r="R381" s="4">
        <f>'FSL Source'!Q381</f>
        <v>0</v>
      </c>
      <c r="S381" s="3"/>
      <c r="T381" s="3"/>
      <c r="U381" s="8"/>
      <c r="V381" s="8"/>
      <c r="W381" s="9"/>
      <c r="X381" s="9" t="str">
        <f t="shared" si="5"/>
        <v/>
      </c>
      <c r="Y381" s="3" t="s">
        <v>1860</v>
      </c>
      <c r="Z381" s="10">
        <v>0</v>
      </c>
      <c r="AA381" s="4"/>
    </row>
    <row r="382" spans="1:27" ht="25.5">
      <c r="A382" s="3" t="str">
        <f>B382&amp;"."&amp;TEXT(COUNTIF($B$5:B382,B382),"000")</f>
        <v>1.14.09.002</v>
      </c>
      <c r="B382" s="3" t="str">
        <f>IFERROR(INDEX('Work Packages'!$A$5:$A$200,MATCH(D382&amp;"|"&amp;E382,'Work Packages'!$P$5:$P$200,0)),"")</f>
        <v>1.14.09</v>
      </c>
      <c r="C382" s="3" t="str">
        <f>'FSL Source'!B382</f>
        <v>CFG-DSH-002</v>
      </c>
      <c r="D382" s="3" t="str">
        <f>'FSL Source'!C382</f>
        <v>Quy trình &amp; Cấu hình Nghiệp vụ</v>
      </c>
      <c r="E382" s="3" t="str">
        <f>'FSL Source'!D382</f>
        <v>Cấu hình dashboard</v>
      </c>
      <c r="F382" s="4" t="str">
        <f>'FSL Source'!E382</f>
        <v>Metric</v>
      </c>
      <c r="G382" s="4" t="str">
        <f>'FSL Source'!F382</f>
        <v>Quản lý metric và nguồn dữ liệu</v>
      </c>
      <c r="H382" s="4" t="str">
        <f>'FSL Source'!G382</f>
        <v>Khai báo công thức, đơn vị đo, dimension, refresh và quyền truy cập.</v>
      </c>
      <c r="I382" s="3" t="str">
        <f>'FSL Source'!H382</f>
        <v>Quản trị báo cáo</v>
      </c>
      <c r="J382" s="3" t="str">
        <f>'FSL Source'!I382</f>
        <v>Cấu hình</v>
      </c>
      <c r="K382" s="3" t="str">
        <f>'FSL Source'!J382</f>
        <v>RD09</v>
      </c>
      <c r="L382" s="3" t="str">
        <f>'FSL Source'!K382</f>
        <v>N/A</v>
      </c>
      <c r="M382" s="3" t="str">
        <f>'FSL Source'!L382</f>
        <v>Could</v>
      </c>
      <c r="N382" s="3" t="str">
        <f>'FSL Source'!M382</f>
        <v>Pha 3</v>
      </c>
      <c r="O382" s="3" t="str">
        <f>'FSL Source'!N382</f>
        <v>Đề xuất trong phạm vi</v>
      </c>
      <c r="P382" s="4" t="str">
        <f>'FSL Source'!O382</f>
        <v>Bổ sung</v>
      </c>
      <c r="Q382" s="4">
        <f>'FSL Source'!P382</f>
        <v>0</v>
      </c>
      <c r="R382" s="4">
        <f>'FSL Source'!Q382</f>
        <v>0</v>
      </c>
      <c r="S382" s="3"/>
      <c r="T382" s="3"/>
      <c r="U382" s="8"/>
      <c r="V382" s="8"/>
      <c r="W382" s="9"/>
      <c r="X382" s="9" t="str">
        <f t="shared" si="5"/>
        <v/>
      </c>
      <c r="Y382" s="3" t="s">
        <v>1860</v>
      </c>
      <c r="Z382" s="10">
        <v>0</v>
      </c>
      <c r="AA382" s="4"/>
    </row>
    <row r="383" spans="1:27" ht="25.5">
      <c r="A383" s="3" t="str">
        <f>B383&amp;"."&amp;TEXT(COUNTIF($B$5:B383,B383),"000")</f>
        <v>1.15.01.001</v>
      </c>
      <c r="B383" s="3" t="str">
        <f>IFERROR(INDEX('Work Packages'!$A$5:$A$200,MATCH(D383&amp;"|"&amp;E383,'Work Packages'!$P$5:$P$200,0)),"")</f>
        <v>1.15.01</v>
      </c>
      <c r="C383" s="3" t="str">
        <f>'FSL Source'!B383</f>
        <v>INT-HUB-001</v>
      </c>
      <c r="D383" s="3" t="str">
        <f>'FSL Source'!C383</f>
        <v>Tích hợp Hệ thống</v>
      </c>
      <c r="E383" s="3" t="str">
        <f>'FSL Source'!D383</f>
        <v>Integration Hub</v>
      </c>
      <c r="F383" s="4" t="str">
        <f>'FSL Source'!E383</f>
        <v>Cấu hình tích hợp</v>
      </c>
      <c r="G383" s="4" t="str">
        <f>'FSL Source'!F383</f>
        <v>Xem danh sách Cấu hình tích hợp</v>
      </c>
      <c r="H383" s="4" t="str">
        <f>'FSL Source'!G383</f>
        <v>Tra cứu danh sách, phân trang, sắp xếp và lọc Cấu hình tích hợp theo các tiêu chí nghiệp vụ.</v>
      </c>
      <c r="I383" s="3" t="str">
        <f>'FSL Source'!H383</f>
        <v>Quản trị tích hợp</v>
      </c>
      <c r="J383" s="3" t="str">
        <f>'FSL Source'!I383</f>
        <v>Nghiệp vụ</v>
      </c>
      <c r="K383" s="3">
        <f>'FSL Source'!J383</f>
        <v>0</v>
      </c>
      <c r="L383" s="3" t="str">
        <f>'FSL Source'!K383</f>
        <v>CAP-15</v>
      </c>
      <c r="M383" s="3" t="str">
        <f>'FSL Source'!L383</f>
        <v>Must</v>
      </c>
      <c r="N383" s="3" t="str">
        <f>'FSL Source'!M383</f>
        <v>Pha 1</v>
      </c>
      <c r="O383" s="3" t="str">
        <f>'FSL Source'!N383</f>
        <v>Đề xuất trong phạm vi</v>
      </c>
      <c r="P383" s="4" t="str">
        <f>'FSL Source'!O383</f>
        <v>Thay thế dòng Tích hợp chung trong VHT_WBS</v>
      </c>
      <c r="Q383" s="4" t="str">
        <f>'FSL Source'!P383</f>
        <v>Danh sách hiển thị đúng phạm vi dữ liệu và hỗ trợ lọc/xuất theo quyền.</v>
      </c>
      <c r="R383" s="4">
        <f>'FSL Source'!Q383</f>
        <v>0</v>
      </c>
      <c r="S383" s="3"/>
      <c r="T383" s="3"/>
      <c r="U383" s="8"/>
      <c r="V383" s="8"/>
      <c r="W383" s="9"/>
      <c r="X383" s="9" t="str">
        <f t="shared" si="5"/>
        <v/>
      </c>
      <c r="Y383" s="3" t="s">
        <v>1860</v>
      </c>
      <c r="Z383" s="10">
        <v>0</v>
      </c>
      <c r="AA383" s="4"/>
    </row>
    <row r="384" spans="1:27" ht="25.5">
      <c r="A384" s="3" t="str">
        <f>B384&amp;"."&amp;TEXT(COUNTIF($B$5:B384,B384),"000")</f>
        <v>1.15.01.002</v>
      </c>
      <c r="B384" s="3" t="str">
        <f>IFERROR(INDEX('Work Packages'!$A$5:$A$200,MATCH(D384&amp;"|"&amp;E384,'Work Packages'!$P$5:$P$200,0)),"")</f>
        <v>1.15.01</v>
      </c>
      <c r="C384" s="3" t="str">
        <f>'FSL Source'!B384</f>
        <v>INT-HUB-002</v>
      </c>
      <c r="D384" s="3" t="str">
        <f>'FSL Source'!C384</f>
        <v>Tích hợp Hệ thống</v>
      </c>
      <c r="E384" s="3" t="str">
        <f>'FSL Source'!D384</f>
        <v>Integration Hub</v>
      </c>
      <c r="F384" s="4" t="str">
        <f>'FSL Source'!E384</f>
        <v>Cấu hình tích hợp</v>
      </c>
      <c r="G384" s="4" t="str">
        <f>'FSL Source'!F384</f>
        <v>Tạo mới Cấu hình tích hợp</v>
      </c>
      <c r="H384" s="4" t="str">
        <f>'FSL Source'!G384</f>
        <v>Khởi tạo Cấu hình tích hợp, kiểm tra dữ liệu bắt buộc và lưu nháp trước khi hoàn tất.</v>
      </c>
      <c r="I384" s="3" t="str">
        <f>'FSL Source'!H384</f>
        <v>Quản trị tích hợp</v>
      </c>
      <c r="J384" s="3" t="str">
        <f>'FSL Source'!I384</f>
        <v>Nghiệp vụ</v>
      </c>
      <c r="K384" s="3">
        <f>'FSL Source'!J384</f>
        <v>0</v>
      </c>
      <c r="L384" s="3" t="str">
        <f>'FSL Source'!K384</f>
        <v>CAP-15</v>
      </c>
      <c r="M384" s="3" t="str">
        <f>'FSL Source'!L384</f>
        <v>Must</v>
      </c>
      <c r="N384" s="3" t="str">
        <f>'FSL Source'!M384</f>
        <v>Pha 1</v>
      </c>
      <c r="O384" s="3" t="str">
        <f>'FSL Source'!N384</f>
        <v>Đề xuất trong phạm vi</v>
      </c>
      <c r="P384" s="4" t="str">
        <f>'FSL Source'!O384</f>
        <v>Thay thế dòng Tích hợp chung trong VHT_WBS</v>
      </c>
      <c r="Q384" s="4" t="str">
        <f>'FSL Source'!P384</f>
        <v>Dữ liệu hợp lệ được lưu; lỗi validation hiển thị tại trường tương ứng.</v>
      </c>
      <c r="R384" s="4">
        <f>'FSL Source'!Q384</f>
        <v>0</v>
      </c>
      <c r="S384" s="3"/>
      <c r="T384" s="3"/>
      <c r="U384" s="8"/>
      <c r="V384" s="8"/>
      <c r="W384" s="9"/>
      <c r="X384" s="9" t="str">
        <f t="shared" si="5"/>
        <v/>
      </c>
      <c r="Y384" s="3" t="s">
        <v>1860</v>
      </c>
      <c r="Z384" s="10">
        <v>0</v>
      </c>
      <c r="AA384" s="4"/>
    </row>
    <row r="385" spans="1:27" ht="25.5">
      <c r="A385" s="3" t="str">
        <f>B385&amp;"."&amp;TEXT(COUNTIF($B$5:B385,B385),"000")</f>
        <v>1.15.01.003</v>
      </c>
      <c r="B385" s="3" t="str">
        <f>IFERROR(INDEX('Work Packages'!$A$5:$A$200,MATCH(D385&amp;"|"&amp;E385,'Work Packages'!$P$5:$P$200,0)),"")</f>
        <v>1.15.01</v>
      </c>
      <c r="C385" s="3" t="str">
        <f>'FSL Source'!B385</f>
        <v>INT-HUB-003</v>
      </c>
      <c r="D385" s="3" t="str">
        <f>'FSL Source'!C385</f>
        <v>Tích hợp Hệ thống</v>
      </c>
      <c r="E385" s="3" t="str">
        <f>'FSL Source'!D385</f>
        <v>Integration Hub</v>
      </c>
      <c r="F385" s="4" t="str">
        <f>'FSL Source'!E385</f>
        <v>Cấu hình tích hợp</v>
      </c>
      <c r="G385" s="4" t="str">
        <f>'FSL Source'!F385</f>
        <v>Sao chép Cấu hình tích hợp</v>
      </c>
      <c r="H385" s="4" t="str">
        <f>'FSL Source'!G385</f>
        <v>Tạo bản mới từ một Cấu hình tích hợp hiện hữu và loại bỏ các thông tin không được kế thừa.</v>
      </c>
      <c r="I385" s="3" t="str">
        <f>'FSL Source'!H385</f>
        <v>Quản trị tích hợp</v>
      </c>
      <c r="J385" s="3" t="str">
        <f>'FSL Source'!I385</f>
        <v>Nghiệp vụ</v>
      </c>
      <c r="K385" s="3">
        <f>'FSL Source'!J385</f>
        <v>0</v>
      </c>
      <c r="L385" s="3" t="str">
        <f>'FSL Source'!K385</f>
        <v>CAP-15</v>
      </c>
      <c r="M385" s="3" t="str">
        <f>'FSL Source'!L385</f>
        <v>Should</v>
      </c>
      <c r="N385" s="3" t="str">
        <f>'FSL Source'!M385</f>
        <v>Pha 1</v>
      </c>
      <c r="O385" s="3" t="str">
        <f>'FSL Source'!N385</f>
        <v>Đề xuất trong phạm vi</v>
      </c>
      <c r="P385" s="4" t="str">
        <f>'FSL Source'!O385</f>
        <v>Thay thế dòng Tích hợp chung trong VHT_WBS</v>
      </c>
      <c r="Q385" s="4" t="str">
        <f>'FSL Source'!P385</f>
        <v>Bản sao có mã/phiên bản mới và không làm thay đổi bản nguồn.</v>
      </c>
      <c r="R385" s="4">
        <f>'FSL Source'!Q385</f>
        <v>0</v>
      </c>
      <c r="S385" s="3"/>
      <c r="T385" s="3"/>
      <c r="U385" s="8"/>
      <c r="V385" s="8"/>
      <c r="W385" s="9"/>
      <c r="X385" s="9" t="str">
        <f t="shared" si="5"/>
        <v/>
      </c>
      <c r="Y385" s="3" t="s">
        <v>1860</v>
      </c>
      <c r="Z385" s="10">
        <v>0</v>
      </c>
      <c r="AA385" s="4"/>
    </row>
    <row r="386" spans="1:27" ht="25.5">
      <c r="A386" s="3" t="str">
        <f>B386&amp;"."&amp;TEXT(COUNTIF($B$5:B386,B386),"000")</f>
        <v>1.15.01.004</v>
      </c>
      <c r="B386" s="3" t="str">
        <f>IFERROR(INDEX('Work Packages'!$A$5:$A$200,MATCH(D386&amp;"|"&amp;E386,'Work Packages'!$P$5:$P$200,0)),"")</f>
        <v>1.15.01</v>
      </c>
      <c r="C386" s="3" t="str">
        <f>'FSL Source'!B386</f>
        <v>INT-HUB-004</v>
      </c>
      <c r="D386" s="3" t="str">
        <f>'FSL Source'!C386</f>
        <v>Tích hợp Hệ thống</v>
      </c>
      <c r="E386" s="3" t="str">
        <f>'FSL Source'!D386</f>
        <v>Integration Hub</v>
      </c>
      <c r="F386" s="4" t="str">
        <f>'FSL Source'!E386</f>
        <v>Cấu hình tích hợp</v>
      </c>
      <c r="G386" s="4" t="str">
        <f>'FSL Source'!F386</f>
        <v>Xem chi tiết Cấu hình tích hợp</v>
      </c>
      <c r="H386" s="4" t="str">
        <f>'FSL Source'!G386</f>
        <v>Hiển thị thông tin tổng quan, dữ liệu chi tiết, tài liệu liên quan và trạng thái của Cấu hình tích hợp.</v>
      </c>
      <c r="I386" s="3" t="str">
        <f>'FSL Source'!H386</f>
        <v>Quản trị tích hợp</v>
      </c>
      <c r="J386" s="3" t="str">
        <f>'FSL Source'!I386</f>
        <v>Nghiệp vụ</v>
      </c>
      <c r="K386" s="3">
        <f>'FSL Source'!J386</f>
        <v>0</v>
      </c>
      <c r="L386" s="3" t="str">
        <f>'FSL Source'!K386</f>
        <v>CAP-15</v>
      </c>
      <c r="M386" s="3" t="str">
        <f>'FSL Source'!L386</f>
        <v>Must</v>
      </c>
      <c r="N386" s="3" t="str">
        <f>'FSL Source'!M386</f>
        <v>Pha 1</v>
      </c>
      <c r="O386" s="3" t="str">
        <f>'FSL Source'!N386</f>
        <v>Đề xuất trong phạm vi</v>
      </c>
      <c r="P386" s="4" t="str">
        <f>'FSL Source'!O386</f>
        <v>Thay thế dòng Tích hợp chung trong VHT_WBS</v>
      </c>
      <c r="Q386" s="4" t="str">
        <f>'FSL Source'!P386</f>
        <v>Thông tin hiển thị đúng phiên bản và quyền truy cập.</v>
      </c>
      <c r="R386" s="4">
        <f>'FSL Source'!Q386</f>
        <v>0</v>
      </c>
      <c r="S386" s="3"/>
      <c r="T386" s="3"/>
      <c r="U386" s="8"/>
      <c r="V386" s="8"/>
      <c r="W386" s="9"/>
      <c r="X386" s="9" t="str">
        <f t="shared" si="5"/>
        <v/>
      </c>
      <c r="Y386" s="3" t="s">
        <v>1860</v>
      </c>
      <c r="Z386" s="10">
        <v>0</v>
      </c>
      <c r="AA386" s="4"/>
    </row>
    <row r="387" spans="1:27" ht="25.5">
      <c r="A387" s="3" t="str">
        <f>B387&amp;"."&amp;TEXT(COUNTIF($B$5:B387,B387),"000")</f>
        <v>1.15.01.005</v>
      </c>
      <c r="B387" s="3" t="str">
        <f>IFERROR(INDEX('Work Packages'!$A$5:$A$200,MATCH(D387&amp;"|"&amp;E387,'Work Packages'!$P$5:$P$200,0)),"")</f>
        <v>1.15.01</v>
      </c>
      <c r="C387" s="3" t="str">
        <f>'FSL Source'!B387</f>
        <v>INT-HUB-005</v>
      </c>
      <c r="D387" s="3" t="str">
        <f>'FSL Source'!C387</f>
        <v>Tích hợp Hệ thống</v>
      </c>
      <c r="E387" s="3" t="str">
        <f>'FSL Source'!D387</f>
        <v>Integration Hub</v>
      </c>
      <c r="F387" s="4" t="str">
        <f>'FSL Source'!E387</f>
        <v>Cấu hình tích hợp</v>
      </c>
      <c r="G387" s="4" t="str">
        <f>'FSL Source'!F387</f>
        <v>Chỉnh sửa Cấu hình tích hợp</v>
      </c>
      <c r="H387" s="4" t="str">
        <f>'FSL Source'!G387</f>
        <v>Cập nhật Cấu hình tích hợp khi trạng thái và quyền người dùng cho phép; kiểm soát xung đột cập nhật.</v>
      </c>
      <c r="I387" s="3" t="str">
        <f>'FSL Source'!H387</f>
        <v>Quản trị tích hợp</v>
      </c>
      <c r="J387" s="3" t="str">
        <f>'FSL Source'!I387</f>
        <v>Nghiệp vụ</v>
      </c>
      <c r="K387" s="3">
        <f>'FSL Source'!J387</f>
        <v>0</v>
      </c>
      <c r="L387" s="3" t="str">
        <f>'FSL Source'!K387</f>
        <v>CAP-15</v>
      </c>
      <c r="M387" s="3" t="str">
        <f>'FSL Source'!L387</f>
        <v>Must</v>
      </c>
      <c r="N387" s="3" t="str">
        <f>'FSL Source'!M387</f>
        <v>Pha 1</v>
      </c>
      <c r="O387" s="3" t="str">
        <f>'FSL Source'!N387</f>
        <v>Đề xuất trong phạm vi</v>
      </c>
      <c r="P387" s="4" t="str">
        <f>'FSL Source'!O387</f>
        <v>Thay thế dòng Tích hợp chung trong VHT_WBS</v>
      </c>
      <c r="Q387" s="4" t="str">
        <f>'FSL Source'!P387</f>
        <v>Chỉ trường được phép sửa có hiệu lực và thay đổi được ghi lịch sử.</v>
      </c>
      <c r="R387" s="4">
        <f>'FSL Source'!Q387</f>
        <v>0</v>
      </c>
      <c r="S387" s="3"/>
      <c r="T387" s="3"/>
      <c r="U387" s="8"/>
      <c r="V387" s="8"/>
      <c r="W387" s="9"/>
      <c r="X387" s="9" t="str">
        <f t="shared" si="5"/>
        <v/>
      </c>
      <c r="Y387" s="3" t="s">
        <v>1860</v>
      </c>
      <c r="Z387" s="10">
        <v>0</v>
      </c>
      <c r="AA387" s="4"/>
    </row>
    <row r="388" spans="1:27" ht="25.5">
      <c r="A388" s="3" t="str">
        <f>B388&amp;"."&amp;TEXT(COUNTIF($B$5:B388,B388),"000")</f>
        <v>1.15.01.006</v>
      </c>
      <c r="B388" s="3" t="str">
        <f>IFERROR(INDEX('Work Packages'!$A$5:$A$200,MATCH(D388&amp;"|"&amp;E388,'Work Packages'!$P$5:$P$200,0)),"")</f>
        <v>1.15.01</v>
      </c>
      <c r="C388" s="3" t="str">
        <f>'FSL Source'!B388</f>
        <v>INT-HUB-006</v>
      </c>
      <c r="D388" s="3" t="str">
        <f>'FSL Source'!C388</f>
        <v>Tích hợp Hệ thống</v>
      </c>
      <c r="E388" s="3" t="str">
        <f>'FSL Source'!D388</f>
        <v>Integration Hub</v>
      </c>
      <c r="F388" s="4" t="str">
        <f>'FSL Source'!E388</f>
        <v>Cấu hình tích hợp</v>
      </c>
      <c r="G388" s="4" t="str">
        <f>'FSL Source'!F388</f>
        <v>Xóa/Ngừng sử dụng Cấu hình tích hợp</v>
      </c>
      <c r="H388" s="4" t="str">
        <f>'FSL Source'!G388</f>
        <v>Xóa logic hoặc ngừng sử dụng Cấu hình tích hợp sau khi kiểm tra ràng buộc tham chiếu.</v>
      </c>
      <c r="I388" s="3" t="str">
        <f>'FSL Source'!H388</f>
        <v>Quản trị/Cán bộ nghiệp vụ</v>
      </c>
      <c r="J388" s="3" t="str">
        <f>'FSL Source'!I388</f>
        <v>Nghiệp vụ</v>
      </c>
      <c r="K388" s="3">
        <f>'FSL Source'!J388</f>
        <v>0</v>
      </c>
      <c r="L388" s="3" t="str">
        <f>'FSL Source'!K388</f>
        <v>CAP-15</v>
      </c>
      <c r="M388" s="3" t="str">
        <f>'FSL Source'!L388</f>
        <v>Should</v>
      </c>
      <c r="N388" s="3" t="str">
        <f>'FSL Source'!M388</f>
        <v>Pha 1</v>
      </c>
      <c r="O388" s="3" t="str">
        <f>'FSL Source'!N388</f>
        <v>Đề xuất trong phạm vi</v>
      </c>
      <c r="P388" s="4" t="str">
        <f>'FSL Source'!O388</f>
        <v>Thay thế dòng Tích hợp chung trong VHT_WBS</v>
      </c>
      <c r="Q388" s="4" t="str">
        <f>'FSL Source'!P388</f>
        <v>Không xóa vật lý dữ liệu đã phát sinh giao dịch; cảnh báo rõ quan hệ phụ thuộc.</v>
      </c>
      <c r="R388" s="4">
        <f>'FSL Source'!Q388</f>
        <v>0</v>
      </c>
      <c r="S388" s="3"/>
      <c r="T388" s="3"/>
      <c r="U388" s="8"/>
      <c r="V388" s="8"/>
      <c r="W388" s="9"/>
      <c r="X388" s="9" t="str">
        <f t="shared" si="5"/>
        <v/>
      </c>
      <c r="Y388" s="3" t="s">
        <v>1860</v>
      </c>
      <c r="Z388" s="10">
        <v>0</v>
      </c>
      <c r="AA388" s="4"/>
    </row>
    <row r="389" spans="1:27" ht="25.5">
      <c r="A389" s="3" t="str">
        <f>B389&amp;"."&amp;TEXT(COUNTIF($B$5:B389,B389),"000")</f>
        <v>1.15.01.007</v>
      </c>
      <c r="B389" s="3" t="str">
        <f>IFERROR(INDEX('Work Packages'!$A$5:$A$200,MATCH(D389&amp;"|"&amp;E389,'Work Packages'!$P$5:$P$200,0)),"")</f>
        <v>1.15.01</v>
      </c>
      <c r="C389" s="3" t="str">
        <f>'FSL Source'!B389</f>
        <v>INT-HUB-007</v>
      </c>
      <c r="D389" s="3" t="str">
        <f>'FSL Source'!C389</f>
        <v>Tích hợp Hệ thống</v>
      </c>
      <c r="E389" s="3" t="str">
        <f>'FSL Source'!D389</f>
        <v>Integration Hub</v>
      </c>
      <c r="F389" s="4" t="str">
        <f>'FSL Source'!E389</f>
        <v>Cấu hình tích hợp</v>
      </c>
      <c r="G389" s="4" t="str">
        <f>'FSL Source'!F389</f>
        <v>Xem lịch sử Cấu hình tích hợp</v>
      </c>
      <c r="H389" s="4" t="str">
        <f>'FSL Source'!G389</f>
        <v>Theo dõi phiên bản, thay đổi dữ liệu, người thực hiện và lịch sử xử lý của Cấu hình tích hợp.</v>
      </c>
      <c r="I389" s="3" t="str">
        <f>'FSL Source'!H389</f>
        <v>Cán bộ nghiệp vụ/Quản trị</v>
      </c>
      <c r="J389" s="3" t="str">
        <f>'FSL Source'!I389</f>
        <v>Audit</v>
      </c>
      <c r="K389" s="3">
        <f>'FSL Source'!J389</f>
        <v>0</v>
      </c>
      <c r="L389" s="3" t="str">
        <f>'FSL Source'!K389</f>
        <v>CAP-15</v>
      </c>
      <c r="M389" s="3" t="str">
        <f>'FSL Source'!L389</f>
        <v>Must</v>
      </c>
      <c r="N389" s="3" t="str">
        <f>'FSL Source'!M389</f>
        <v>Pha 1</v>
      </c>
      <c r="O389" s="3" t="str">
        <f>'FSL Source'!N389</f>
        <v>Đề xuất trong phạm vi</v>
      </c>
      <c r="P389" s="4" t="str">
        <f>'FSL Source'!O389</f>
        <v>Thay thế dòng Tích hợp chung trong VHT_WBS</v>
      </c>
      <c r="Q389" s="4" t="str">
        <f>'FSL Source'!P389</f>
        <v>Lịch sử không thể sửa và truy vết được trước/sau của thay đổi quan trọng.</v>
      </c>
      <c r="R389" s="4">
        <f>'FSL Source'!Q389</f>
        <v>0</v>
      </c>
      <c r="S389" s="3"/>
      <c r="T389" s="3"/>
      <c r="U389" s="8"/>
      <c r="V389" s="8"/>
      <c r="W389" s="9"/>
      <c r="X389" s="9" t="str">
        <f t="shared" ref="X389:X452" si="6">IF(OR(W389="",V389=""),"",WORKDAY(W389,V389-1))</f>
        <v/>
      </c>
      <c r="Y389" s="3" t="s">
        <v>1860</v>
      </c>
      <c r="Z389" s="10">
        <v>0</v>
      </c>
      <c r="AA389" s="4"/>
    </row>
    <row r="390" spans="1:27" ht="25.5">
      <c r="A390" s="3" t="str">
        <f>B390&amp;"."&amp;TEXT(COUNTIF($B$5:B390,B390),"000")</f>
        <v>1.15.02.001</v>
      </c>
      <c r="B390" s="3" t="str">
        <f>IFERROR(INDEX('Work Packages'!$A$5:$A$200,MATCH(D390&amp;"|"&amp;E390,'Work Packages'!$P$5:$P$200,0)),"")</f>
        <v>1.15.02</v>
      </c>
      <c r="C390" s="3" t="str">
        <f>'FSL Source'!B390</f>
        <v>INT-CONN-001</v>
      </c>
      <c r="D390" s="3" t="str">
        <f>'FSL Source'!C390</f>
        <v>Tích hợp Hệ thống</v>
      </c>
      <c r="E390" s="3" t="str">
        <f>'FSL Source'!D390</f>
        <v>Connector hệ thống</v>
      </c>
      <c r="F390" s="4" t="str">
        <f>'FSL Source'!E390</f>
        <v>Connector</v>
      </c>
      <c r="G390" s="4" t="str">
        <f>'FSL Source'!F390</f>
        <v>Tích hợp QLNS/AD</v>
      </c>
      <c r="H390" s="4" t="str">
        <f>'FSL Source'!G390</f>
        <v>Đồng bộ người dùng, tổ chức, chức danh và trạng thái nhân sự.</v>
      </c>
      <c r="I390" s="3" t="str">
        <f>'FSL Source'!H390</f>
        <v>Quản trị tích hợp/Worker</v>
      </c>
      <c r="J390" s="3" t="str">
        <f>'FSL Source'!I390</f>
        <v>Tích hợp</v>
      </c>
      <c r="K390" s="3">
        <f>'FSL Source'!J390</f>
        <v>0</v>
      </c>
      <c r="L390" s="3" t="str">
        <f>'FSL Source'!K390</f>
        <v>CAP-15</v>
      </c>
      <c r="M390" s="3" t="str">
        <f>'FSL Source'!L390</f>
        <v>Should</v>
      </c>
      <c r="N390" s="3" t="str">
        <f>'FSL Source'!M390</f>
        <v>Pha 2</v>
      </c>
      <c r="O390" s="3" t="str">
        <f>'FSL Source'!N390</f>
        <v>Cần xác nhận</v>
      </c>
      <c r="P390" s="4" t="str">
        <f>'FSL Source'!O390</f>
        <v>Bổ sung theo decomposite-diagram</v>
      </c>
      <c r="Q390" s="4">
        <f>'FSL Source'!P390</f>
        <v>0</v>
      </c>
      <c r="R390" s="4">
        <f>'FSL Source'!Q390</f>
        <v>0</v>
      </c>
      <c r="S390" s="3"/>
      <c r="T390" s="3"/>
      <c r="U390" s="8"/>
      <c r="V390" s="8"/>
      <c r="W390" s="9"/>
      <c r="X390" s="9" t="str">
        <f t="shared" si="6"/>
        <v/>
      </c>
      <c r="Y390" s="3" t="s">
        <v>1860</v>
      </c>
      <c r="Z390" s="10">
        <v>0</v>
      </c>
      <c r="AA390" s="4"/>
    </row>
    <row r="391" spans="1:27" ht="25.5">
      <c r="A391" s="3" t="str">
        <f>B391&amp;"."&amp;TEXT(COUNTIF($B$5:B391,B391),"000")</f>
        <v>1.15.02.002</v>
      </c>
      <c r="B391" s="3" t="str">
        <f>IFERROR(INDEX('Work Packages'!$A$5:$A$200,MATCH(D391&amp;"|"&amp;E391,'Work Packages'!$P$5:$P$200,0)),"")</f>
        <v>1.15.02</v>
      </c>
      <c r="C391" s="3" t="str">
        <f>'FSL Source'!B391</f>
        <v>INT-CONN-002</v>
      </c>
      <c r="D391" s="3" t="str">
        <f>'FSL Source'!C391</f>
        <v>Tích hợp Hệ thống</v>
      </c>
      <c r="E391" s="3" t="str">
        <f>'FSL Source'!D391</f>
        <v>Connector hệ thống</v>
      </c>
      <c r="F391" s="4" t="str">
        <f>'FSL Source'!E391</f>
        <v>Connector</v>
      </c>
      <c r="G391" s="4" t="str">
        <f>'FSL Source'!F391</f>
        <v>Tích hợp MS/Mua sắm</v>
      </c>
      <c r="H391" s="4" t="str">
        <f>'FSL Source'!G391</f>
        <v>Đồng bộ nhu cầu, gói mua sắm và trạng thái thực hiện.</v>
      </c>
      <c r="I391" s="3" t="str">
        <f>'FSL Source'!H391</f>
        <v>Quản trị tích hợp/Worker</v>
      </c>
      <c r="J391" s="3" t="str">
        <f>'FSL Source'!I391</f>
        <v>Tích hợp</v>
      </c>
      <c r="K391" s="3">
        <f>'FSL Source'!J391</f>
        <v>0</v>
      </c>
      <c r="L391" s="3" t="str">
        <f>'FSL Source'!K391</f>
        <v>CAP-15</v>
      </c>
      <c r="M391" s="3" t="str">
        <f>'FSL Source'!L391</f>
        <v>Should</v>
      </c>
      <c r="N391" s="3" t="str">
        <f>'FSL Source'!M391</f>
        <v>Pha 2</v>
      </c>
      <c r="O391" s="3" t="str">
        <f>'FSL Source'!N391</f>
        <v>Cần xác nhận</v>
      </c>
      <c r="P391" s="4" t="str">
        <f>'FSL Source'!O391</f>
        <v>Bổ sung theo decomposite-diagram</v>
      </c>
      <c r="Q391" s="4">
        <f>'FSL Source'!P391</f>
        <v>0</v>
      </c>
      <c r="R391" s="4">
        <f>'FSL Source'!Q391</f>
        <v>0</v>
      </c>
      <c r="S391" s="3"/>
      <c r="T391" s="3"/>
      <c r="U391" s="8"/>
      <c r="V391" s="8"/>
      <c r="W391" s="9"/>
      <c r="X391" s="9" t="str">
        <f t="shared" si="6"/>
        <v/>
      </c>
      <c r="Y391" s="3" t="s">
        <v>1860</v>
      </c>
      <c r="Z391" s="10">
        <v>0</v>
      </c>
      <c r="AA391" s="4"/>
    </row>
    <row r="392" spans="1:27" ht="25.5">
      <c r="A392" s="3" t="str">
        <f>B392&amp;"."&amp;TEXT(COUNTIF($B$5:B392,B392),"000")</f>
        <v>1.15.02.003</v>
      </c>
      <c r="B392" s="3" t="str">
        <f>IFERROR(INDEX('Work Packages'!$A$5:$A$200,MATCH(D392&amp;"|"&amp;E392,'Work Packages'!$P$5:$P$200,0)),"")</f>
        <v>1.15.02</v>
      </c>
      <c r="C392" s="3" t="str">
        <f>'FSL Source'!B392</f>
        <v>INT-CONN-003</v>
      </c>
      <c r="D392" s="3" t="str">
        <f>'FSL Source'!C392</f>
        <v>Tích hợp Hệ thống</v>
      </c>
      <c r="E392" s="3" t="str">
        <f>'FSL Source'!D392</f>
        <v>Connector hệ thống</v>
      </c>
      <c r="F392" s="4" t="str">
        <f>'FSL Source'!E392</f>
        <v>Connector</v>
      </c>
      <c r="G392" s="4" t="str">
        <f>'FSL Source'!F392</f>
        <v>Tích hợp SAP/Tài chính</v>
      </c>
      <c r="H392" s="4" t="str">
        <f>'FSL Source'!G392</f>
        <v>Đồng bộ ngân sách, giải ngân, chi phí, chứng từ và quyết toán.</v>
      </c>
      <c r="I392" s="3" t="str">
        <f>'FSL Source'!H392</f>
        <v>Quản trị tích hợp/Worker</v>
      </c>
      <c r="J392" s="3" t="str">
        <f>'FSL Source'!I392</f>
        <v>Tích hợp</v>
      </c>
      <c r="K392" s="3">
        <f>'FSL Source'!J392</f>
        <v>0</v>
      </c>
      <c r="L392" s="3" t="str">
        <f>'FSL Source'!K392</f>
        <v>CAP-15</v>
      </c>
      <c r="M392" s="3" t="str">
        <f>'FSL Source'!L392</f>
        <v>Should</v>
      </c>
      <c r="N392" s="3" t="str">
        <f>'FSL Source'!M392</f>
        <v>Pha 2</v>
      </c>
      <c r="O392" s="3" t="str">
        <f>'FSL Source'!N392</f>
        <v>Cần xác nhận</v>
      </c>
      <c r="P392" s="4" t="str">
        <f>'FSL Source'!O392</f>
        <v>Bổ sung theo decomposite-diagram</v>
      </c>
      <c r="Q392" s="4">
        <f>'FSL Source'!P392</f>
        <v>0</v>
      </c>
      <c r="R392" s="4">
        <f>'FSL Source'!Q392</f>
        <v>0</v>
      </c>
      <c r="S392" s="3"/>
      <c r="T392" s="3"/>
      <c r="U392" s="8"/>
      <c r="V392" s="8"/>
      <c r="W392" s="9"/>
      <c r="X392" s="9" t="str">
        <f t="shared" si="6"/>
        <v/>
      </c>
      <c r="Y392" s="3" t="s">
        <v>1860</v>
      </c>
      <c r="Z392" s="10">
        <v>0</v>
      </c>
      <c r="AA392" s="4"/>
    </row>
    <row r="393" spans="1:27" ht="25.5">
      <c r="A393" s="3" t="str">
        <f>B393&amp;"."&amp;TEXT(COUNTIF($B$5:B393,B393),"000")</f>
        <v>1.15.02.004</v>
      </c>
      <c r="B393" s="3" t="str">
        <f>IFERROR(INDEX('Work Packages'!$A$5:$A$200,MATCH(D393&amp;"|"&amp;E393,'Work Packages'!$P$5:$P$200,0)),"")</f>
        <v>1.15.02</v>
      </c>
      <c r="C393" s="3" t="str">
        <f>'FSL Source'!B393</f>
        <v>INT-CONN-004</v>
      </c>
      <c r="D393" s="3" t="str">
        <f>'FSL Source'!C393</f>
        <v>Tích hợp Hệ thống</v>
      </c>
      <c r="E393" s="3" t="str">
        <f>'FSL Source'!D393</f>
        <v>Connector hệ thống</v>
      </c>
      <c r="F393" s="4" t="str">
        <f>'FSL Source'!E393</f>
        <v>Connector</v>
      </c>
      <c r="G393" s="4" t="str">
        <f>'FSL Source'!F393</f>
        <v>Tích hợp QLTS</v>
      </c>
      <c r="H393" s="4" t="str">
        <f>'FSL Source'!G393</f>
        <v>Đồng bộ tài sản hình thành, bàn giao và trạng thái quản lý.</v>
      </c>
      <c r="I393" s="3" t="str">
        <f>'FSL Source'!H393</f>
        <v>Quản trị tích hợp/Worker</v>
      </c>
      <c r="J393" s="3" t="str">
        <f>'FSL Source'!I393</f>
        <v>Tích hợp</v>
      </c>
      <c r="K393" s="3">
        <f>'FSL Source'!J393</f>
        <v>0</v>
      </c>
      <c r="L393" s="3" t="str">
        <f>'FSL Source'!K393</f>
        <v>CAP-15</v>
      </c>
      <c r="M393" s="3" t="str">
        <f>'FSL Source'!L393</f>
        <v>Should</v>
      </c>
      <c r="N393" s="3" t="str">
        <f>'FSL Source'!M393</f>
        <v>Pha 2</v>
      </c>
      <c r="O393" s="3" t="str">
        <f>'FSL Source'!N393</f>
        <v>Cần xác nhận</v>
      </c>
      <c r="P393" s="4" t="str">
        <f>'FSL Source'!O393</f>
        <v>Bổ sung theo decomposite-diagram</v>
      </c>
      <c r="Q393" s="4">
        <f>'FSL Source'!P393</f>
        <v>0</v>
      </c>
      <c r="R393" s="4">
        <f>'FSL Source'!Q393</f>
        <v>0</v>
      </c>
      <c r="S393" s="3"/>
      <c r="T393" s="3"/>
      <c r="U393" s="8"/>
      <c r="V393" s="8"/>
      <c r="W393" s="9"/>
      <c r="X393" s="9" t="str">
        <f t="shared" si="6"/>
        <v/>
      </c>
      <c r="Y393" s="3" t="s">
        <v>1860</v>
      </c>
      <c r="Z393" s="10">
        <v>0</v>
      </c>
      <c r="AA393" s="4"/>
    </row>
    <row r="394" spans="1:27" ht="25.5">
      <c r="A394" s="3" t="str">
        <f>B394&amp;"."&amp;TEXT(COUNTIF($B$5:B394,B394),"000")</f>
        <v>1.15.02.005</v>
      </c>
      <c r="B394" s="3" t="str">
        <f>IFERROR(INDEX('Work Packages'!$A$5:$A$200,MATCH(D394&amp;"|"&amp;E394,'Work Packages'!$P$5:$P$200,0)),"")</f>
        <v>1.15.02</v>
      </c>
      <c r="C394" s="3" t="str">
        <f>'FSL Source'!B394</f>
        <v>INT-CONN-005</v>
      </c>
      <c r="D394" s="3" t="str">
        <f>'FSL Source'!C394</f>
        <v>Tích hợp Hệ thống</v>
      </c>
      <c r="E394" s="3" t="str">
        <f>'FSL Source'!D394</f>
        <v>Connector hệ thống</v>
      </c>
      <c r="F394" s="4" t="str">
        <f>'FSL Source'!E394</f>
        <v>Connector</v>
      </c>
      <c r="G394" s="4" t="str">
        <f>'FSL Source'!F394</f>
        <v>Tích hợp PLM</v>
      </c>
      <c r="H394" s="4" t="str">
        <f>'FSL Source'!G394</f>
        <v>Đồng bộ milestone, deliverable và tiến độ kỹ thuật.</v>
      </c>
      <c r="I394" s="3" t="str">
        <f>'FSL Source'!H394</f>
        <v>Quản trị tích hợp/Worker</v>
      </c>
      <c r="J394" s="3" t="str">
        <f>'FSL Source'!I394</f>
        <v>Tích hợp</v>
      </c>
      <c r="K394" s="3">
        <f>'FSL Source'!J394</f>
        <v>0</v>
      </c>
      <c r="L394" s="3" t="str">
        <f>'FSL Source'!K394</f>
        <v>CAP-15</v>
      </c>
      <c r="M394" s="3" t="str">
        <f>'FSL Source'!L394</f>
        <v>Should</v>
      </c>
      <c r="N394" s="3" t="str">
        <f>'FSL Source'!M394</f>
        <v>Pha 2</v>
      </c>
      <c r="O394" s="3" t="str">
        <f>'FSL Source'!N394</f>
        <v>Cần xác nhận</v>
      </c>
      <c r="P394" s="4" t="str">
        <f>'FSL Source'!O394</f>
        <v>Bổ sung theo decomposite-diagram</v>
      </c>
      <c r="Q394" s="4">
        <f>'FSL Source'!P394</f>
        <v>0</v>
      </c>
      <c r="R394" s="4">
        <f>'FSL Source'!Q394</f>
        <v>0</v>
      </c>
      <c r="S394" s="3"/>
      <c r="T394" s="3"/>
      <c r="U394" s="8"/>
      <c r="V394" s="8"/>
      <c r="W394" s="9"/>
      <c r="X394" s="9" t="str">
        <f t="shared" si="6"/>
        <v/>
      </c>
      <c r="Y394" s="3" t="s">
        <v>1860</v>
      </c>
      <c r="Z394" s="10">
        <v>0</v>
      </c>
      <c r="AA394" s="4"/>
    </row>
    <row r="395" spans="1:27" ht="25.5">
      <c r="A395" s="3" t="str">
        <f>B395&amp;"."&amp;TEXT(COUNTIF($B$5:B395,B395),"000")</f>
        <v>1.15.02.006</v>
      </c>
      <c r="B395" s="3" t="str">
        <f>IFERROR(INDEX('Work Packages'!$A$5:$A$200,MATCH(D395&amp;"|"&amp;E395,'Work Packages'!$P$5:$P$200,0)),"")</f>
        <v>1.15.02</v>
      </c>
      <c r="C395" s="3" t="str">
        <f>'FSL Source'!B395</f>
        <v>INT-CONN-006</v>
      </c>
      <c r="D395" s="3" t="str">
        <f>'FSL Source'!C395</f>
        <v>Tích hợp Hệ thống</v>
      </c>
      <c r="E395" s="3" t="str">
        <f>'FSL Source'!D395</f>
        <v>Connector hệ thống</v>
      </c>
      <c r="F395" s="4" t="str">
        <f>'FSL Source'!E395</f>
        <v>Connector</v>
      </c>
      <c r="G395" s="4" t="str">
        <f>'FSL Source'!F395</f>
        <v>Tích hợp Storage/DMS</v>
      </c>
      <c r="H395" s="4" t="str">
        <f>'FSL Source'!G395</f>
        <v>Lưu trữ, phiên bản và tìm kiếm tài liệu; phạm vi ký số được xác nhận riêng.</v>
      </c>
      <c r="I395" s="3" t="str">
        <f>'FSL Source'!H395</f>
        <v>Quản trị tích hợp/Worker</v>
      </c>
      <c r="J395" s="3" t="str">
        <f>'FSL Source'!I395</f>
        <v>Tích hợp</v>
      </c>
      <c r="K395" s="3">
        <f>'FSL Source'!J395</f>
        <v>0</v>
      </c>
      <c r="L395" s="3" t="str">
        <f>'FSL Source'!K395</f>
        <v>CAP-15</v>
      </c>
      <c r="M395" s="3" t="str">
        <f>'FSL Source'!L395</f>
        <v>Must</v>
      </c>
      <c r="N395" s="3" t="str">
        <f>'FSL Source'!M395</f>
        <v>Pha 1</v>
      </c>
      <c r="O395" s="3" t="str">
        <f>'FSL Source'!N395</f>
        <v>Cần xác nhận</v>
      </c>
      <c r="P395" s="4" t="str">
        <f>'FSL Source'!O395</f>
        <v>Hiệu chỉnh theo BRD 0.9</v>
      </c>
      <c r="Q395" s="4" t="str">
        <f>'FSL Source'!P395</f>
        <v>RD08 thuộc Pha 1 và phụ thuộc Storage; cần chốt B5.</v>
      </c>
      <c r="R395" s="4">
        <f>'FSL Source'!Q395</f>
        <v>0</v>
      </c>
      <c r="S395" s="3"/>
      <c r="T395" s="3"/>
      <c r="U395" s="8"/>
      <c r="V395" s="8"/>
      <c r="W395" s="9"/>
      <c r="X395" s="9" t="str">
        <f t="shared" si="6"/>
        <v/>
      </c>
      <c r="Y395" s="3" t="s">
        <v>1860</v>
      </c>
      <c r="Z395" s="10">
        <v>0</v>
      </c>
      <c r="AA395" s="4"/>
    </row>
    <row r="396" spans="1:27" ht="25.5">
      <c r="A396" s="3" t="str">
        <f>B396&amp;"."&amp;TEXT(COUNTIF($B$5:B396,B396),"000")</f>
        <v>1.15.02.007</v>
      </c>
      <c r="B396" s="3" t="str">
        <f>IFERROR(INDEX('Work Packages'!$A$5:$A$200,MATCH(D396&amp;"|"&amp;E396,'Work Packages'!$P$5:$P$200,0)),"")</f>
        <v>1.15.02</v>
      </c>
      <c r="C396" s="3" t="str">
        <f>'FSL Source'!B396</f>
        <v>INT-CONN-007</v>
      </c>
      <c r="D396" s="3" t="str">
        <f>'FSL Source'!C396</f>
        <v>Tích hợp Hệ thống</v>
      </c>
      <c r="E396" s="3" t="str">
        <f>'FSL Source'!D396</f>
        <v>Connector hệ thống</v>
      </c>
      <c r="F396" s="4" t="str">
        <f>'FSL Source'!E396</f>
        <v>Connector</v>
      </c>
      <c r="G396" s="4" t="str">
        <f>'FSL Source'!F396</f>
        <v>Tích hợp CRM/Hệ thống khác</v>
      </c>
      <c r="H396" s="4" t="str">
        <f>'FSL Source'!G396</f>
        <v>Trao đổi dữ liệu đối tác, ứng dụng/chuyển giao và thông tin liên quan.</v>
      </c>
      <c r="I396" s="3" t="str">
        <f>'FSL Source'!H396</f>
        <v>Quản trị tích hợp/Worker</v>
      </c>
      <c r="J396" s="3" t="str">
        <f>'FSL Source'!I396</f>
        <v>Tích hợp</v>
      </c>
      <c r="K396" s="3">
        <f>'FSL Source'!J396</f>
        <v>0</v>
      </c>
      <c r="L396" s="3" t="str">
        <f>'FSL Source'!K396</f>
        <v>CAP-15</v>
      </c>
      <c r="M396" s="3" t="str">
        <f>'FSL Source'!L396</f>
        <v>Should</v>
      </c>
      <c r="N396" s="3" t="str">
        <f>'FSL Source'!M396</f>
        <v>Pha 2</v>
      </c>
      <c r="O396" s="3" t="str">
        <f>'FSL Source'!N396</f>
        <v>Cần xác nhận</v>
      </c>
      <c r="P396" s="4" t="str">
        <f>'FSL Source'!O396</f>
        <v>Bổ sung theo decomposite-diagram</v>
      </c>
      <c r="Q396" s="4">
        <f>'FSL Source'!P396</f>
        <v>0</v>
      </c>
      <c r="R396" s="4">
        <f>'FSL Source'!Q396</f>
        <v>0</v>
      </c>
      <c r="S396" s="3"/>
      <c r="T396" s="3"/>
      <c r="U396" s="8"/>
      <c r="V396" s="8"/>
      <c r="W396" s="9"/>
      <c r="X396" s="9" t="str">
        <f t="shared" si="6"/>
        <v/>
      </c>
      <c r="Y396" s="3" t="s">
        <v>1860</v>
      </c>
      <c r="Z396" s="10">
        <v>0</v>
      </c>
      <c r="AA396" s="4"/>
    </row>
    <row r="397" spans="1:27" ht="25.5">
      <c r="A397" s="3" t="str">
        <f>B397&amp;"."&amp;TEXT(COUNTIF($B$5:B397,B397),"000")</f>
        <v>1.15.02.008</v>
      </c>
      <c r="B397" s="3" t="str">
        <f>IFERROR(INDEX('Work Packages'!$A$5:$A$200,MATCH(D397&amp;"|"&amp;E397,'Work Packages'!$P$5:$P$200,0)),"")</f>
        <v>1.15.02</v>
      </c>
      <c r="C397" s="3" t="str">
        <f>'FSL Source'!B397</f>
        <v>INT-CONN-008</v>
      </c>
      <c r="D397" s="3" t="str">
        <f>'FSL Source'!C397</f>
        <v>Tích hợp Hệ thống</v>
      </c>
      <c r="E397" s="3" t="str">
        <f>'FSL Source'!D397</f>
        <v>Connector hệ thống</v>
      </c>
      <c r="F397" s="4" t="str">
        <f>'FSL Source'!E397</f>
        <v>Connector</v>
      </c>
      <c r="G397" s="4" t="str">
        <f>'FSL Source'!F397</f>
        <v>Tích hợp Camunda 8</v>
      </c>
      <c r="H397" s="4" t="str">
        <f>'FSL Source'!G397</f>
        <v>Tích hợp Zeebe/REST cho deploy, start, task, variable, incident và monitoring.</v>
      </c>
      <c r="I397" s="3" t="str">
        <f>'FSL Source'!H397</f>
        <v>Quản trị tích hợp/Worker</v>
      </c>
      <c r="J397" s="3" t="str">
        <f>'FSL Source'!I397</f>
        <v>Tích hợp</v>
      </c>
      <c r="K397" s="3">
        <f>'FSL Source'!J397</f>
        <v>0</v>
      </c>
      <c r="L397" s="3" t="str">
        <f>'FSL Source'!K397</f>
        <v>CAP-15</v>
      </c>
      <c r="M397" s="3" t="str">
        <f>'FSL Source'!L397</f>
        <v>Should</v>
      </c>
      <c r="N397" s="3" t="str">
        <f>'FSL Source'!M397</f>
        <v>Pha 2</v>
      </c>
      <c r="O397" s="3" t="str">
        <f>'FSL Source'!N397</f>
        <v>Cần xác nhận</v>
      </c>
      <c r="P397" s="4" t="str">
        <f>'FSL Source'!O397</f>
        <v>Bổ sung theo decomposite-diagram</v>
      </c>
      <c r="Q397" s="4">
        <f>'FSL Source'!P397</f>
        <v>0</v>
      </c>
      <c r="R397" s="4">
        <f>'FSL Source'!Q397</f>
        <v>0</v>
      </c>
      <c r="S397" s="3"/>
      <c r="T397" s="3"/>
      <c r="U397" s="8"/>
      <c r="V397" s="8"/>
      <c r="W397" s="9"/>
      <c r="X397" s="9" t="str">
        <f t="shared" si="6"/>
        <v/>
      </c>
      <c r="Y397" s="3" t="s">
        <v>1860</v>
      </c>
      <c r="Z397" s="10">
        <v>0</v>
      </c>
      <c r="AA397" s="4"/>
    </row>
    <row r="398" spans="1:27" ht="25.5">
      <c r="A398" s="3" t="str">
        <f>B398&amp;"."&amp;TEXT(COUNTIF($B$5:B398,B398),"000")</f>
        <v>1.15.03.001</v>
      </c>
      <c r="B398" s="3" t="str">
        <f>IFERROR(INDEX('Work Packages'!$A$5:$A$200,MATCH(D398&amp;"|"&amp;E398,'Work Packages'!$P$5:$P$200,0)),"")</f>
        <v>1.15.03</v>
      </c>
      <c r="C398" s="3" t="str">
        <f>'FSL Source'!B398</f>
        <v>INT-OPS-001</v>
      </c>
      <c r="D398" s="3" t="str">
        <f>'FSL Source'!C398</f>
        <v>Tích hợp Hệ thống</v>
      </c>
      <c r="E398" s="3" t="str">
        <f>'FSL Source'!D398</f>
        <v>Vận hành tích hợp</v>
      </c>
      <c r="F398" s="4" t="str">
        <f>'FSL Source'!E398</f>
        <v>Giám sát</v>
      </c>
      <c r="G398" s="4" t="str">
        <f>'FSL Source'!F398</f>
        <v>Theo dõi giao dịch và lỗi tích hợp</v>
      </c>
      <c r="H398" s="4" t="str">
        <f>'FSL Source'!G398</f>
        <v>Tra cứu request/response đã che dữ liệu nhạy cảm, trạng thái, retry và correlation id.</v>
      </c>
      <c r="I398" s="3" t="str">
        <f>'FSL Source'!H398</f>
        <v>Quản trị tích hợp</v>
      </c>
      <c r="J398" s="3" t="str">
        <f>'FSL Source'!I398</f>
        <v>Vận hành</v>
      </c>
      <c r="K398" s="3">
        <f>'FSL Source'!J398</f>
        <v>0</v>
      </c>
      <c r="L398" s="3" t="str">
        <f>'FSL Source'!K398</f>
        <v>CAP-15</v>
      </c>
      <c r="M398" s="3" t="str">
        <f>'FSL Source'!L398</f>
        <v>Must</v>
      </c>
      <c r="N398" s="3" t="str">
        <f>'FSL Source'!M398</f>
        <v>Pha 1</v>
      </c>
      <c r="O398" s="3" t="str">
        <f>'FSL Source'!N398</f>
        <v>Đề xuất trong phạm vi</v>
      </c>
      <c r="P398" s="4" t="str">
        <f>'FSL Source'!O398</f>
        <v>Bổ sung</v>
      </c>
      <c r="Q398" s="4">
        <f>'FSL Source'!P398</f>
        <v>0</v>
      </c>
      <c r="R398" s="4">
        <f>'FSL Source'!Q398</f>
        <v>0</v>
      </c>
      <c r="S398" s="3"/>
      <c r="T398" s="3"/>
      <c r="U398" s="8"/>
      <c r="V398" s="8"/>
      <c r="W398" s="9"/>
      <c r="X398" s="9" t="str">
        <f t="shared" si="6"/>
        <v/>
      </c>
      <c r="Y398" s="3" t="s">
        <v>1860</v>
      </c>
      <c r="Z398" s="10">
        <v>0</v>
      </c>
      <c r="AA398" s="4"/>
    </row>
    <row r="399" spans="1:27" ht="25.5">
      <c r="A399" s="3" t="str">
        <f>B399&amp;"."&amp;TEXT(COUNTIF($B$5:B399,B399),"000")</f>
        <v>1.15.03.002</v>
      </c>
      <c r="B399" s="3" t="str">
        <f>IFERROR(INDEX('Work Packages'!$A$5:$A$200,MATCH(D399&amp;"|"&amp;E399,'Work Packages'!$P$5:$P$200,0)),"")</f>
        <v>1.15.03</v>
      </c>
      <c r="C399" s="3" t="str">
        <f>'FSL Source'!B399</f>
        <v>INT-OPS-002</v>
      </c>
      <c r="D399" s="3" t="str">
        <f>'FSL Source'!C399</f>
        <v>Tích hợp Hệ thống</v>
      </c>
      <c r="E399" s="3" t="str">
        <f>'FSL Source'!D399</f>
        <v>Vận hành tích hợp</v>
      </c>
      <c r="F399" s="4" t="str">
        <f>'FSL Source'!E399</f>
        <v>Độ tin cậy</v>
      </c>
      <c r="G399" s="4" t="str">
        <f>'FSL Source'!F399</f>
        <v>Outbox/Inbox, idempotency và retry</v>
      </c>
      <c r="H399" s="4" t="str">
        <f>'FSL Source'!G399</f>
        <v>Bảo đảm không mất/trùng event, hỗ trợ dead-letter và replay có kiểm soát.</v>
      </c>
      <c r="I399" s="3" t="str">
        <f>'FSL Source'!H399</f>
        <v>Quản trị tích hợp/Kỹ thuật</v>
      </c>
      <c r="J399" s="3" t="str">
        <f>'FSL Source'!I399</f>
        <v>Nền tảng</v>
      </c>
      <c r="K399" s="3">
        <f>'FSL Source'!J399</f>
        <v>0</v>
      </c>
      <c r="L399" s="3" t="str">
        <f>'FSL Source'!K399</f>
        <v>CAP-15</v>
      </c>
      <c r="M399" s="3" t="str">
        <f>'FSL Source'!L399</f>
        <v>Must</v>
      </c>
      <c r="N399" s="3" t="str">
        <f>'FSL Source'!M399</f>
        <v>Pha 1</v>
      </c>
      <c r="O399" s="3" t="str">
        <f>'FSL Source'!N399</f>
        <v>Đề xuất trong phạm vi</v>
      </c>
      <c r="P399" s="4" t="str">
        <f>'FSL Source'!O399</f>
        <v>Bổ sung</v>
      </c>
      <c r="Q399" s="4">
        <f>'FSL Source'!P399</f>
        <v>0</v>
      </c>
      <c r="R399" s="4">
        <f>'FSL Source'!Q399</f>
        <v>0</v>
      </c>
      <c r="S399" s="3"/>
      <c r="T399" s="3"/>
      <c r="U399" s="8"/>
      <c r="V399" s="8"/>
      <c r="W399" s="9"/>
      <c r="X399" s="9" t="str">
        <f t="shared" si="6"/>
        <v/>
      </c>
      <c r="Y399" s="3" t="s">
        <v>1860</v>
      </c>
      <c r="Z399" s="10">
        <v>0</v>
      </c>
      <c r="AA399" s="4"/>
    </row>
    <row r="400" spans="1:27" ht="25.5">
      <c r="A400" s="3" t="str">
        <f>B400&amp;"."&amp;TEXT(COUNTIF($B$5:B400,B400),"000")</f>
        <v>1.15.03.003</v>
      </c>
      <c r="B400" s="3" t="str">
        <f>IFERROR(INDEX('Work Packages'!$A$5:$A$200,MATCH(D400&amp;"|"&amp;E400,'Work Packages'!$P$5:$P$200,0)),"")</f>
        <v>1.15.03</v>
      </c>
      <c r="C400" s="3" t="str">
        <f>'FSL Source'!B400</f>
        <v>INT-OPS-003</v>
      </c>
      <c r="D400" s="3" t="str">
        <f>'FSL Source'!C400</f>
        <v>Tích hợp Hệ thống</v>
      </c>
      <c r="E400" s="3" t="str">
        <f>'FSL Source'!D400</f>
        <v>Vận hành tích hợp</v>
      </c>
      <c r="F400" s="4" t="str">
        <f>'FSL Source'!E400</f>
        <v>Đối soát</v>
      </c>
      <c r="G400" s="4" t="str">
        <f>'FSL Source'!F400</f>
        <v>Đối soát dữ liệu định kỳ</v>
      </c>
      <c r="H400" s="4" t="str">
        <f>'FSL Source'!G400</f>
        <v>So sánh dữ liệu hai hệ thống, ghi nhận sai lệch, phân công và xác nhận xử lý.</v>
      </c>
      <c r="I400" s="3" t="str">
        <f>'FSL Source'!H400</f>
        <v>Quản trị tích hợp/Cán bộ nghiệp vụ</v>
      </c>
      <c r="J400" s="3" t="str">
        <f>'FSL Source'!I400</f>
        <v>Vận hành</v>
      </c>
      <c r="K400" s="3">
        <f>'FSL Source'!J400</f>
        <v>0</v>
      </c>
      <c r="L400" s="3" t="str">
        <f>'FSL Source'!K400</f>
        <v>CAP-15</v>
      </c>
      <c r="M400" s="3" t="str">
        <f>'FSL Source'!L400</f>
        <v>Should</v>
      </c>
      <c r="N400" s="3" t="str">
        <f>'FSL Source'!M400</f>
        <v>Pha 2</v>
      </c>
      <c r="O400" s="3" t="str">
        <f>'FSL Source'!N400</f>
        <v>Đề xuất trong phạm vi</v>
      </c>
      <c r="P400" s="4" t="str">
        <f>'FSL Source'!O400</f>
        <v>Bổ sung</v>
      </c>
      <c r="Q400" s="4">
        <f>'FSL Source'!P400</f>
        <v>0</v>
      </c>
      <c r="R400" s="4">
        <f>'FSL Source'!Q400</f>
        <v>0</v>
      </c>
      <c r="S400" s="3"/>
      <c r="T400" s="3"/>
      <c r="U400" s="8"/>
      <c r="V400" s="8"/>
      <c r="W400" s="9"/>
      <c r="X400" s="9" t="str">
        <f t="shared" si="6"/>
        <v/>
      </c>
      <c r="Y400" s="3" t="s">
        <v>1860</v>
      </c>
      <c r="Z400" s="10">
        <v>0</v>
      </c>
      <c r="AA400" s="4"/>
    </row>
    <row r="401" spans="1:27" ht="25.5">
      <c r="A401" s="3" t="str">
        <f>B401&amp;"."&amp;TEXT(COUNTIF($B$5:B401,B401),"000")</f>
        <v>1.16.01.001</v>
      </c>
      <c r="B401" s="3" t="str">
        <f>IFERROR(INDEX('Work Packages'!$A$5:$A$200,MATCH(D401&amp;"|"&amp;E401,'Work Packages'!$P$5:$P$200,0)),"")</f>
        <v>1.16.01</v>
      </c>
      <c r="C401" s="3" t="str">
        <f>'FSL Source'!B401</f>
        <v>OPS-RUNTIME-001</v>
      </c>
      <c r="D401" s="3" t="str">
        <f>'FSL Source'!C401</f>
        <v>Vận hành Workflow &amp; Hệ thống</v>
      </c>
      <c r="E401" s="3" t="str">
        <f>'FSL Source'!D401</f>
        <v>Workflow Runtime Administration</v>
      </c>
      <c r="F401" s="4" t="str">
        <f>'FSL Source'!E401</f>
        <v>Process operation</v>
      </c>
      <c r="G401" s="4" t="str">
        <f>'FSL Source'!F401</f>
        <v>Tra cứu process instance</v>
      </c>
      <c r="H401" s="4" t="str">
        <f>'FSL Source'!G401</f>
        <v>Tìm theo business key, process, version, trạng thái, thời gian và đơn vị.</v>
      </c>
      <c r="I401" s="3" t="str">
        <f>'FSL Source'!H401</f>
        <v>Quản trị vận hành</v>
      </c>
      <c r="J401" s="3" t="str">
        <f>'FSL Source'!I401</f>
        <v>Vận hành</v>
      </c>
      <c r="K401" s="3">
        <f>'FSL Source'!J401</f>
        <v>0</v>
      </c>
      <c r="L401" s="3" t="str">
        <f>'FSL Source'!K401</f>
        <v>CAP-01; CAP-17</v>
      </c>
      <c r="M401" s="3" t="str">
        <f>'FSL Source'!L401</f>
        <v>Must</v>
      </c>
      <c r="N401" s="3" t="str">
        <f>'FSL Source'!M401</f>
        <v>Pha 2</v>
      </c>
      <c r="O401" s="3" t="str">
        <f>'FSL Source'!N401</f>
        <v>Đề xuất trong phạm vi</v>
      </c>
      <c r="P401" s="4" t="str">
        <f>'FSL Source'!O401</f>
        <v>Bổ sung theo EPIC16</v>
      </c>
      <c r="Q401" s="4">
        <f>'FSL Source'!P401</f>
        <v>0</v>
      </c>
      <c r="R401" s="4">
        <f>'FSL Source'!Q401</f>
        <v>0</v>
      </c>
      <c r="S401" s="3"/>
      <c r="T401" s="3"/>
      <c r="U401" s="8"/>
      <c r="V401" s="8"/>
      <c r="W401" s="9"/>
      <c r="X401" s="9" t="str">
        <f t="shared" si="6"/>
        <v/>
      </c>
      <c r="Y401" s="3" t="s">
        <v>1860</v>
      </c>
      <c r="Z401" s="10">
        <v>0</v>
      </c>
      <c r="AA401" s="4"/>
    </row>
    <row r="402" spans="1:27" ht="25.5">
      <c r="A402" s="3" t="str">
        <f>B402&amp;"."&amp;TEXT(COUNTIF($B$5:B402,B402),"000")</f>
        <v>1.16.01.002</v>
      </c>
      <c r="B402" s="3" t="str">
        <f>IFERROR(INDEX('Work Packages'!$A$5:$A$200,MATCH(D402&amp;"|"&amp;E402,'Work Packages'!$P$5:$P$200,0)),"")</f>
        <v>1.16.01</v>
      </c>
      <c r="C402" s="3" t="str">
        <f>'FSL Source'!B402</f>
        <v>OPS-RUNTIME-002</v>
      </c>
      <c r="D402" s="3" t="str">
        <f>'FSL Source'!C402</f>
        <v>Vận hành Workflow &amp; Hệ thống</v>
      </c>
      <c r="E402" s="3" t="str">
        <f>'FSL Source'!D402</f>
        <v>Workflow Runtime Administration</v>
      </c>
      <c r="F402" s="4" t="str">
        <f>'FSL Source'!E402</f>
        <v>Process operation</v>
      </c>
      <c r="G402" s="4" t="str">
        <f>'FSL Source'!F402</f>
        <v>Xem sơ đồ và bước đang chạy</v>
      </c>
      <c r="H402" s="4" t="str">
        <f>'FSL Source'!G402</f>
        <v>Hiển thị BPMN overlay, active token, completed activity và timeline.</v>
      </c>
      <c r="I402" s="3" t="str">
        <f>'FSL Source'!H402</f>
        <v>Quản trị vận hành</v>
      </c>
      <c r="J402" s="3" t="str">
        <f>'FSL Source'!I402</f>
        <v>Vận hành</v>
      </c>
      <c r="K402" s="3">
        <f>'FSL Source'!J402</f>
        <v>0</v>
      </c>
      <c r="L402" s="3" t="str">
        <f>'FSL Source'!K402</f>
        <v>CAP-01; CAP-17</v>
      </c>
      <c r="M402" s="3" t="str">
        <f>'FSL Source'!L402</f>
        <v>Must</v>
      </c>
      <c r="N402" s="3" t="str">
        <f>'FSL Source'!M402</f>
        <v>Pha 2</v>
      </c>
      <c r="O402" s="3" t="str">
        <f>'FSL Source'!N402</f>
        <v>Đề xuất trong phạm vi</v>
      </c>
      <c r="P402" s="4" t="str">
        <f>'FSL Source'!O402</f>
        <v>Bổ sung theo EPIC16</v>
      </c>
      <c r="Q402" s="4">
        <f>'FSL Source'!P402</f>
        <v>0</v>
      </c>
      <c r="R402" s="4">
        <f>'FSL Source'!Q402</f>
        <v>0</v>
      </c>
      <c r="S402" s="3"/>
      <c r="T402" s="3"/>
      <c r="U402" s="8"/>
      <c r="V402" s="8"/>
      <c r="W402" s="9"/>
      <c r="X402" s="9" t="str">
        <f t="shared" si="6"/>
        <v/>
      </c>
      <c r="Y402" s="3" t="s">
        <v>1860</v>
      </c>
      <c r="Z402" s="10">
        <v>0</v>
      </c>
      <c r="AA402" s="4"/>
    </row>
    <row r="403" spans="1:27" ht="25.5">
      <c r="A403" s="3" t="str">
        <f>B403&amp;"."&amp;TEXT(COUNTIF($B$5:B403,B403),"000")</f>
        <v>1.16.01.003</v>
      </c>
      <c r="B403" s="3" t="str">
        <f>IFERROR(INDEX('Work Packages'!$A$5:$A$200,MATCH(D403&amp;"|"&amp;E403,'Work Packages'!$P$5:$P$200,0)),"")</f>
        <v>1.16.01</v>
      </c>
      <c r="C403" s="3" t="str">
        <f>'FSL Source'!B403</f>
        <v>OPS-RUNTIME-003</v>
      </c>
      <c r="D403" s="3" t="str">
        <f>'FSL Source'!C403</f>
        <v>Vận hành Workflow &amp; Hệ thống</v>
      </c>
      <c r="E403" s="3" t="str">
        <f>'FSL Source'!D403</f>
        <v>Workflow Runtime Administration</v>
      </c>
      <c r="F403" s="4" t="str">
        <f>'FSL Source'!E403</f>
        <v>Process operation</v>
      </c>
      <c r="G403" s="4" t="str">
        <f>'FSL Source'!F403</f>
        <v>Xem process variables an toàn</v>
      </c>
      <c r="H403" s="4" t="str">
        <f>'FSL Source'!G403</f>
        <v>Che dữ liệu nhạy cảm và giới hạn chỉnh sửa theo quyền.</v>
      </c>
      <c r="I403" s="3" t="str">
        <f>'FSL Source'!H403</f>
        <v>Quản trị vận hành</v>
      </c>
      <c r="J403" s="3" t="str">
        <f>'FSL Source'!I403</f>
        <v>Vận hành</v>
      </c>
      <c r="K403" s="3">
        <f>'FSL Source'!J403</f>
        <v>0</v>
      </c>
      <c r="L403" s="3" t="str">
        <f>'FSL Source'!K403</f>
        <v>CAP-01; CAP-17</v>
      </c>
      <c r="M403" s="3" t="str">
        <f>'FSL Source'!L403</f>
        <v>Must</v>
      </c>
      <c r="N403" s="3" t="str">
        <f>'FSL Source'!M403</f>
        <v>Pha 2</v>
      </c>
      <c r="O403" s="3" t="str">
        <f>'FSL Source'!N403</f>
        <v>Đề xuất trong phạm vi</v>
      </c>
      <c r="P403" s="4" t="str">
        <f>'FSL Source'!O403</f>
        <v>Bổ sung theo EPIC16</v>
      </c>
      <c r="Q403" s="4">
        <f>'FSL Source'!P403</f>
        <v>0</v>
      </c>
      <c r="R403" s="4">
        <f>'FSL Source'!Q403</f>
        <v>0</v>
      </c>
      <c r="S403" s="3"/>
      <c r="T403" s="3"/>
      <c r="U403" s="8"/>
      <c r="V403" s="8"/>
      <c r="W403" s="9"/>
      <c r="X403" s="9" t="str">
        <f t="shared" si="6"/>
        <v/>
      </c>
      <c r="Y403" s="3" t="s">
        <v>1860</v>
      </c>
      <c r="Z403" s="10">
        <v>0</v>
      </c>
      <c r="AA403" s="4"/>
    </row>
    <row r="404" spans="1:27" ht="25.5">
      <c r="A404" s="3" t="str">
        <f>B404&amp;"."&amp;TEXT(COUNTIF($B$5:B404,B404),"000")</f>
        <v>1.16.01.004</v>
      </c>
      <c r="B404" s="3" t="str">
        <f>IFERROR(INDEX('Work Packages'!$A$5:$A$200,MATCH(D404&amp;"|"&amp;E404,'Work Packages'!$P$5:$P$200,0)),"")</f>
        <v>1.16.01</v>
      </c>
      <c r="C404" s="3" t="str">
        <f>'FSL Source'!B404</f>
        <v>OPS-RUNTIME-004</v>
      </c>
      <c r="D404" s="3" t="str">
        <f>'FSL Source'!C404</f>
        <v>Vận hành Workflow &amp; Hệ thống</v>
      </c>
      <c r="E404" s="3" t="str">
        <f>'FSL Source'!D404</f>
        <v>Workflow Runtime Administration</v>
      </c>
      <c r="F404" s="4" t="str">
        <f>'FSL Source'!E404</f>
        <v>Process operation</v>
      </c>
      <c r="G404" s="4" t="str">
        <f>'FSL Source'!F404</f>
        <v>Quản lý incident và failed job</v>
      </c>
      <c r="H404" s="4" t="str">
        <f>'FSL Source'!G404</f>
        <v>Xem nguyên nhân, stack/correlation và tác động nghiệp vụ.</v>
      </c>
      <c r="I404" s="3" t="str">
        <f>'FSL Source'!H404</f>
        <v>Quản trị vận hành</v>
      </c>
      <c r="J404" s="3" t="str">
        <f>'FSL Source'!I404</f>
        <v>Vận hành</v>
      </c>
      <c r="K404" s="3">
        <f>'FSL Source'!J404</f>
        <v>0</v>
      </c>
      <c r="L404" s="3" t="str">
        <f>'FSL Source'!K404</f>
        <v>CAP-01; CAP-17</v>
      </c>
      <c r="M404" s="3" t="str">
        <f>'FSL Source'!L404</f>
        <v>Must</v>
      </c>
      <c r="N404" s="3" t="str">
        <f>'FSL Source'!M404</f>
        <v>Pha 2</v>
      </c>
      <c r="O404" s="3" t="str">
        <f>'FSL Source'!N404</f>
        <v>Đề xuất trong phạm vi</v>
      </c>
      <c r="P404" s="4" t="str">
        <f>'FSL Source'!O404</f>
        <v>Bổ sung theo EPIC16</v>
      </c>
      <c r="Q404" s="4">
        <f>'FSL Source'!P404</f>
        <v>0</v>
      </c>
      <c r="R404" s="4">
        <f>'FSL Source'!Q404</f>
        <v>0</v>
      </c>
      <c r="S404" s="3"/>
      <c r="T404" s="3"/>
      <c r="U404" s="8"/>
      <c r="V404" s="8"/>
      <c r="W404" s="9"/>
      <c r="X404" s="9" t="str">
        <f t="shared" si="6"/>
        <v/>
      </c>
      <c r="Y404" s="3" t="s">
        <v>1860</v>
      </c>
      <c r="Z404" s="10">
        <v>0</v>
      </c>
      <c r="AA404" s="4"/>
    </row>
    <row r="405" spans="1:27">
      <c r="A405" s="3" t="str">
        <f>B405&amp;"."&amp;TEXT(COUNTIF($B$5:B405,B405),"000")</f>
        <v>1.16.01.005</v>
      </c>
      <c r="B405" s="3" t="str">
        <f>IFERROR(INDEX('Work Packages'!$A$5:$A$200,MATCH(D405&amp;"|"&amp;E405,'Work Packages'!$P$5:$P$200,0)),"")</f>
        <v>1.16.01</v>
      </c>
      <c r="C405" s="3" t="str">
        <f>'FSL Source'!B405</f>
        <v>OPS-RUNTIME-005</v>
      </c>
      <c r="D405" s="3" t="str">
        <f>'FSL Source'!C405</f>
        <v>Vận hành Workflow &amp; Hệ thống</v>
      </c>
      <c r="E405" s="3" t="str">
        <f>'FSL Source'!D405</f>
        <v>Workflow Runtime Administration</v>
      </c>
      <c r="F405" s="4" t="str">
        <f>'FSL Source'!E405</f>
        <v>Process operation</v>
      </c>
      <c r="G405" s="4" t="str">
        <f>'FSL Source'!F405</f>
        <v>Retry failed job</v>
      </c>
      <c r="H405" s="4" t="str">
        <f>'FSL Source'!G405</f>
        <v>Retry đơn lẻ/batch với xác nhận, giới hạn và audit.</v>
      </c>
      <c r="I405" s="3" t="str">
        <f>'FSL Source'!H405</f>
        <v>Quản trị vận hành</v>
      </c>
      <c r="J405" s="3" t="str">
        <f>'FSL Source'!I405</f>
        <v>Vận hành</v>
      </c>
      <c r="K405" s="3">
        <f>'FSL Source'!J405</f>
        <v>0</v>
      </c>
      <c r="L405" s="3" t="str">
        <f>'FSL Source'!K405</f>
        <v>CAP-01; CAP-17</v>
      </c>
      <c r="M405" s="3" t="str">
        <f>'FSL Source'!L405</f>
        <v>Must</v>
      </c>
      <c r="N405" s="3" t="str">
        <f>'FSL Source'!M405</f>
        <v>Pha 2</v>
      </c>
      <c r="O405" s="3" t="str">
        <f>'FSL Source'!N405</f>
        <v>Đề xuất trong phạm vi</v>
      </c>
      <c r="P405" s="4" t="str">
        <f>'FSL Source'!O405</f>
        <v>Bổ sung theo EPIC16</v>
      </c>
      <c r="Q405" s="4">
        <f>'FSL Source'!P405</f>
        <v>0</v>
      </c>
      <c r="R405" s="4">
        <f>'FSL Source'!Q405</f>
        <v>0</v>
      </c>
      <c r="S405" s="3"/>
      <c r="T405" s="3"/>
      <c r="U405" s="8"/>
      <c r="V405" s="8"/>
      <c r="W405" s="9"/>
      <c r="X405" s="9" t="str">
        <f t="shared" si="6"/>
        <v/>
      </c>
      <c r="Y405" s="3" t="s">
        <v>1860</v>
      </c>
      <c r="Z405" s="10">
        <v>0</v>
      </c>
      <c r="AA405" s="4"/>
    </row>
    <row r="406" spans="1:27" ht="25.5">
      <c r="A406" s="3" t="str">
        <f>B406&amp;"."&amp;TEXT(COUNTIF($B$5:B406,B406),"000")</f>
        <v>1.16.01.006</v>
      </c>
      <c r="B406" s="3" t="str">
        <f>IFERROR(INDEX('Work Packages'!$A$5:$A$200,MATCH(D406&amp;"|"&amp;E406,'Work Packages'!$P$5:$P$200,0)),"")</f>
        <v>1.16.01</v>
      </c>
      <c r="C406" s="3" t="str">
        <f>'FSL Source'!B406</f>
        <v>OPS-RUNTIME-006</v>
      </c>
      <c r="D406" s="3" t="str">
        <f>'FSL Source'!C406</f>
        <v>Vận hành Workflow &amp; Hệ thống</v>
      </c>
      <c r="E406" s="3" t="str">
        <f>'FSL Source'!D406</f>
        <v>Workflow Runtime Administration</v>
      </c>
      <c r="F406" s="4" t="str">
        <f>'FSL Source'!E406</f>
        <v>Process operation</v>
      </c>
      <c r="G406" s="4" t="str">
        <f>'FSL Source'!F406</f>
        <v>Reassign/Delegate task</v>
      </c>
      <c r="H406" s="4" t="str">
        <f>'FSL Source'!G406</f>
        <v>Can thiệp task theo quy trình phê duyệt vận hành và audit.</v>
      </c>
      <c r="I406" s="3" t="str">
        <f>'FSL Source'!H406</f>
        <v>Quản trị vận hành</v>
      </c>
      <c r="J406" s="3" t="str">
        <f>'FSL Source'!I406</f>
        <v>Vận hành</v>
      </c>
      <c r="K406" s="3">
        <f>'FSL Source'!J406</f>
        <v>0</v>
      </c>
      <c r="L406" s="3" t="str">
        <f>'FSL Source'!K406</f>
        <v>CAP-01; CAP-17</v>
      </c>
      <c r="M406" s="3" t="str">
        <f>'FSL Source'!L406</f>
        <v>Must</v>
      </c>
      <c r="N406" s="3" t="str">
        <f>'FSL Source'!M406</f>
        <v>Pha 2</v>
      </c>
      <c r="O406" s="3" t="str">
        <f>'FSL Source'!N406</f>
        <v>Đề xuất trong phạm vi</v>
      </c>
      <c r="P406" s="4" t="str">
        <f>'FSL Source'!O406</f>
        <v>Bổ sung theo EPIC16</v>
      </c>
      <c r="Q406" s="4">
        <f>'FSL Source'!P406</f>
        <v>0</v>
      </c>
      <c r="R406" s="4">
        <f>'FSL Source'!Q406</f>
        <v>0</v>
      </c>
      <c r="S406" s="3"/>
      <c r="T406" s="3"/>
      <c r="U406" s="8"/>
      <c r="V406" s="8"/>
      <c r="W406" s="9"/>
      <c r="X406" s="9" t="str">
        <f t="shared" si="6"/>
        <v/>
      </c>
      <c r="Y406" s="3" t="s">
        <v>1860</v>
      </c>
      <c r="Z406" s="10">
        <v>0</v>
      </c>
      <c r="AA406" s="4"/>
    </row>
    <row r="407" spans="1:27" ht="25.5">
      <c r="A407" s="3" t="str">
        <f>B407&amp;"."&amp;TEXT(COUNTIF($B$5:B407,B407),"000")</f>
        <v>1.16.01.007</v>
      </c>
      <c r="B407" s="3" t="str">
        <f>IFERROR(INDEX('Work Packages'!$A$5:$A$200,MATCH(D407&amp;"|"&amp;E407,'Work Packages'!$P$5:$P$200,0)),"")</f>
        <v>1.16.01</v>
      </c>
      <c r="C407" s="3" t="str">
        <f>'FSL Source'!B407</f>
        <v>OPS-RUNTIME-007</v>
      </c>
      <c r="D407" s="3" t="str">
        <f>'FSL Source'!C407</f>
        <v>Vận hành Workflow &amp; Hệ thống</v>
      </c>
      <c r="E407" s="3" t="str">
        <f>'FSL Source'!D407</f>
        <v>Workflow Runtime Administration</v>
      </c>
      <c r="F407" s="4" t="str">
        <f>'FSL Source'!E407</f>
        <v>Process operation</v>
      </c>
      <c r="G407" s="4" t="str">
        <f>'FSL Source'!F407</f>
        <v>Cancel/Terminate instance</v>
      </c>
      <c r="H407" s="4" t="str">
        <f>'FSL Source'!G407</f>
        <v>Kết thúc instance có lý do, kiểm tra tác động và đồng bộ trạng thái nghiệp vụ.</v>
      </c>
      <c r="I407" s="3" t="str">
        <f>'FSL Source'!H407</f>
        <v>Quản trị vận hành</v>
      </c>
      <c r="J407" s="3" t="str">
        <f>'FSL Source'!I407</f>
        <v>Vận hành</v>
      </c>
      <c r="K407" s="3">
        <f>'FSL Source'!J407</f>
        <v>0</v>
      </c>
      <c r="L407" s="3" t="str">
        <f>'FSL Source'!K407</f>
        <v>CAP-01; CAP-17</v>
      </c>
      <c r="M407" s="3" t="str">
        <f>'FSL Source'!L407</f>
        <v>Must</v>
      </c>
      <c r="N407" s="3" t="str">
        <f>'FSL Source'!M407</f>
        <v>Pha 2</v>
      </c>
      <c r="O407" s="3" t="str">
        <f>'FSL Source'!N407</f>
        <v>Đề xuất trong phạm vi</v>
      </c>
      <c r="P407" s="4" t="str">
        <f>'FSL Source'!O407</f>
        <v>Bổ sung theo EPIC16</v>
      </c>
      <c r="Q407" s="4">
        <f>'FSL Source'!P407</f>
        <v>0</v>
      </c>
      <c r="R407" s="4">
        <f>'FSL Source'!Q407</f>
        <v>0</v>
      </c>
      <c r="S407" s="3"/>
      <c r="T407" s="3"/>
      <c r="U407" s="8"/>
      <c r="V407" s="8"/>
      <c r="W407" s="9"/>
      <c r="X407" s="9" t="str">
        <f t="shared" si="6"/>
        <v/>
      </c>
      <c r="Y407" s="3" t="s">
        <v>1860</v>
      </c>
      <c r="Z407" s="10">
        <v>0</v>
      </c>
      <c r="AA407" s="4"/>
    </row>
    <row r="408" spans="1:27" ht="25.5">
      <c r="A408" s="3" t="str">
        <f>B408&amp;"."&amp;TEXT(COUNTIF($B$5:B408,B408),"000")</f>
        <v>1.16.01.008</v>
      </c>
      <c r="B408" s="3" t="str">
        <f>IFERROR(INDEX('Work Packages'!$A$5:$A$200,MATCH(D408&amp;"|"&amp;E408,'Work Packages'!$P$5:$P$200,0)),"")</f>
        <v>1.16.01</v>
      </c>
      <c r="C408" s="3" t="str">
        <f>'FSL Source'!B408</f>
        <v>OPS-RUNTIME-008</v>
      </c>
      <c r="D408" s="3" t="str">
        <f>'FSL Source'!C408</f>
        <v>Vận hành Workflow &amp; Hệ thống</v>
      </c>
      <c r="E408" s="3" t="str">
        <f>'FSL Source'!D408</f>
        <v>Workflow Runtime Administration</v>
      </c>
      <c r="F408" s="4" t="str">
        <f>'FSL Source'!E408</f>
        <v>Process operation</v>
      </c>
      <c r="G408" s="4" t="str">
        <f>'FSL Source'!F408</f>
        <v>Restart từ một bước</v>
      </c>
      <c r="H408" s="4" t="str">
        <f>'FSL Source'!G408</f>
        <v>Tạo instance mới hoặc process modification theo chính sách, giữ liên kết instance cũ.</v>
      </c>
      <c r="I408" s="3" t="str">
        <f>'FSL Source'!H408</f>
        <v>Quản trị vận hành</v>
      </c>
      <c r="J408" s="3" t="str">
        <f>'FSL Source'!I408</f>
        <v>Vận hành</v>
      </c>
      <c r="K408" s="3">
        <f>'FSL Source'!J408</f>
        <v>0</v>
      </c>
      <c r="L408" s="3" t="str">
        <f>'FSL Source'!K408</f>
        <v>CAP-01; CAP-17</v>
      </c>
      <c r="M408" s="3" t="str">
        <f>'FSL Source'!L408</f>
        <v>Must</v>
      </c>
      <c r="N408" s="3" t="str">
        <f>'FSL Source'!M408</f>
        <v>Pha 2</v>
      </c>
      <c r="O408" s="3" t="str">
        <f>'FSL Source'!N408</f>
        <v>Đề xuất trong phạm vi</v>
      </c>
      <c r="P408" s="4" t="str">
        <f>'FSL Source'!O408</f>
        <v>Bổ sung theo EPIC16</v>
      </c>
      <c r="Q408" s="4">
        <f>'FSL Source'!P408</f>
        <v>0</v>
      </c>
      <c r="R408" s="4">
        <f>'FSL Source'!Q408</f>
        <v>0</v>
      </c>
      <c r="S408" s="3"/>
      <c r="T408" s="3"/>
      <c r="U408" s="8"/>
      <c r="V408" s="8"/>
      <c r="W408" s="9"/>
      <c r="X408" s="9" t="str">
        <f t="shared" si="6"/>
        <v/>
      </c>
      <c r="Y408" s="3" t="s">
        <v>1860</v>
      </c>
      <c r="Z408" s="10">
        <v>0</v>
      </c>
      <c r="AA408" s="4"/>
    </row>
    <row r="409" spans="1:27" ht="25.5">
      <c r="A409" s="3" t="str">
        <f>B409&amp;"."&amp;TEXT(COUNTIF($B$5:B409,B409),"000")</f>
        <v>1.16.01.009</v>
      </c>
      <c r="B409" s="3" t="str">
        <f>IFERROR(INDEX('Work Packages'!$A$5:$A$200,MATCH(D409&amp;"|"&amp;E409,'Work Packages'!$P$5:$P$200,0)),"")</f>
        <v>1.16.01</v>
      </c>
      <c r="C409" s="3" t="str">
        <f>'FSL Source'!B409</f>
        <v>OPS-RUNTIME-009</v>
      </c>
      <c r="D409" s="3" t="str">
        <f>'FSL Source'!C409</f>
        <v>Vận hành Workflow &amp; Hệ thống</v>
      </c>
      <c r="E409" s="3" t="str">
        <f>'FSL Source'!D409</f>
        <v>Workflow Runtime Administration</v>
      </c>
      <c r="F409" s="4" t="str">
        <f>'FSL Source'!E409</f>
        <v>Process operation</v>
      </c>
      <c r="G409" s="4" t="str">
        <f>'FSL Source'!F409</f>
        <v>Batch operation</v>
      </c>
      <c r="H409" s="4" t="str">
        <f>'FSL Source'!G409</f>
        <v>Thực hiện thao tác hàng loạt có preview, quyền riêng và báo cáo kết quả.</v>
      </c>
      <c r="I409" s="3" t="str">
        <f>'FSL Source'!H409</f>
        <v>Quản trị vận hành</v>
      </c>
      <c r="J409" s="3" t="str">
        <f>'FSL Source'!I409</f>
        <v>Vận hành</v>
      </c>
      <c r="K409" s="3">
        <f>'FSL Source'!J409</f>
        <v>0</v>
      </c>
      <c r="L409" s="3" t="str">
        <f>'FSL Source'!K409</f>
        <v>CAP-01; CAP-17</v>
      </c>
      <c r="M409" s="3" t="str">
        <f>'FSL Source'!L409</f>
        <v>Must</v>
      </c>
      <c r="N409" s="3" t="str">
        <f>'FSL Source'!M409</f>
        <v>Pha 2</v>
      </c>
      <c r="O409" s="3" t="str">
        <f>'FSL Source'!N409</f>
        <v>Đề xuất trong phạm vi</v>
      </c>
      <c r="P409" s="4" t="str">
        <f>'FSL Source'!O409</f>
        <v>Bổ sung theo EPIC16</v>
      </c>
      <c r="Q409" s="4">
        <f>'FSL Source'!P409</f>
        <v>0</v>
      </c>
      <c r="R409" s="4">
        <f>'FSL Source'!Q409</f>
        <v>0</v>
      </c>
      <c r="S409" s="3"/>
      <c r="T409" s="3"/>
      <c r="U409" s="8"/>
      <c r="V409" s="8"/>
      <c r="W409" s="9"/>
      <c r="X409" s="9" t="str">
        <f t="shared" si="6"/>
        <v/>
      </c>
      <c r="Y409" s="3" t="s">
        <v>1860</v>
      </c>
      <c r="Z409" s="10">
        <v>0</v>
      </c>
      <c r="AA409" s="4"/>
    </row>
    <row r="410" spans="1:27" ht="25.5">
      <c r="A410" s="3" t="str">
        <f>B410&amp;"."&amp;TEXT(COUNTIF($B$5:B410,B410),"000")</f>
        <v>1.16.01.010</v>
      </c>
      <c r="B410" s="3" t="str">
        <f>IFERROR(INDEX('Work Packages'!$A$5:$A$200,MATCH(D410&amp;"|"&amp;E410,'Work Packages'!$P$5:$P$200,0)),"")</f>
        <v>1.16.01</v>
      </c>
      <c r="C410" s="3" t="str">
        <f>'FSL Source'!B410</f>
        <v>OPS-RUNTIME-010</v>
      </c>
      <c r="D410" s="3" t="str">
        <f>'FSL Source'!C410</f>
        <v>Vận hành Workflow &amp; Hệ thống</v>
      </c>
      <c r="E410" s="3" t="str">
        <f>'FSL Source'!D410</f>
        <v>Workflow Runtime Administration</v>
      </c>
      <c r="F410" s="4" t="str">
        <f>'FSL Source'!E410</f>
        <v>Process operation</v>
      </c>
      <c r="G410" s="4" t="str">
        <f>'FSL Source'!F410</f>
        <v>Theo dõi SLA instance</v>
      </c>
      <c r="H410" s="4" t="str">
        <f>'FSL Source'!G410</f>
        <v>Xem hạn, vi phạm, escalation và thời gian chờ theo từng bước.</v>
      </c>
      <c r="I410" s="3" t="str">
        <f>'FSL Source'!H410</f>
        <v>Quản trị vận hành</v>
      </c>
      <c r="J410" s="3" t="str">
        <f>'FSL Source'!I410</f>
        <v>Vận hành</v>
      </c>
      <c r="K410" s="3">
        <f>'FSL Source'!J410</f>
        <v>0</v>
      </c>
      <c r="L410" s="3" t="str">
        <f>'FSL Source'!K410</f>
        <v>CAP-01; CAP-17</v>
      </c>
      <c r="M410" s="3" t="str">
        <f>'FSL Source'!L410</f>
        <v>Must</v>
      </c>
      <c r="N410" s="3" t="str">
        <f>'FSL Source'!M410</f>
        <v>Pha 2</v>
      </c>
      <c r="O410" s="3" t="str">
        <f>'FSL Source'!N410</f>
        <v>Đề xuất trong phạm vi</v>
      </c>
      <c r="P410" s="4" t="str">
        <f>'FSL Source'!O410</f>
        <v>Bổ sung theo EPIC16</v>
      </c>
      <c r="Q410" s="4">
        <f>'FSL Source'!P410</f>
        <v>0</v>
      </c>
      <c r="R410" s="4">
        <f>'FSL Source'!Q410</f>
        <v>0</v>
      </c>
      <c r="S410" s="3"/>
      <c r="T410" s="3"/>
      <c r="U410" s="8"/>
      <c r="V410" s="8"/>
      <c r="W410" s="9"/>
      <c r="X410" s="9" t="str">
        <f t="shared" si="6"/>
        <v/>
      </c>
      <c r="Y410" s="3" t="s">
        <v>1860</v>
      </c>
      <c r="Z410" s="10">
        <v>0</v>
      </c>
      <c r="AA410" s="4"/>
    </row>
    <row r="411" spans="1:27" ht="25.5">
      <c r="A411" s="3" t="str">
        <f>B411&amp;"."&amp;TEXT(COUNTIF($B$5:B411,B411),"000")</f>
        <v>1.16.02.001</v>
      </c>
      <c r="B411" s="3" t="str">
        <f>IFERROR(INDEX('Work Packages'!$A$5:$A$200,MATCH(D411&amp;"|"&amp;E411,'Work Packages'!$P$5:$P$200,0)),"")</f>
        <v>1.16.02</v>
      </c>
      <c r="C411" s="3" t="str">
        <f>'FSL Source'!B411</f>
        <v>OPS-MON-001</v>
      </c>
      <c r="D411" s="3" t="str">
        <f>'FSL Source'!C411</f>
        <v>Vận hành Workflow &amp; Hệ thống</v>
      </c>
      <c r="E411" s="3" t="str">
        <f>'FSL Source'!D411</f>
        <v>Giám sát hệ thống</v>
      </c>
      <c r="F411" s="4" t="str">
        <f>'FSL Source'!E411</f>
        <v>Application</v>
      </c>
      <c r="G411" s="4" t="str">
        <f>'FSL Source'!F411</f>
        <v>Theo dõi sức khỏe ứng dụng và worker</v>
      </c>
      <c r="H411" s="4" t="str">
        <f>'FSL Source'!G411</f>
        <v>Dashboard API latency, error rate, DB, queue, worker failure và tài nguyên.</v>
      </c>
      <c r="I411" s="3" t="str">
        <f>'FSL Source'!H411</f>
        <v>Quản trị vận hành/Kỹ thuật</v>
      </c>
      <c r="J411" s="3" t="str">
        <f>'FSL Source'!I411</f>
        <v>Vận hành</v>
      </c>
      <c r="K411" s="3">
        <f>'FSL Source'!J411</f>
        <v>0</v>
      </c>
      <c r="L411" s="3" t="str">
        <f>'FSL Source'!K411</f>
        <v>CAP-01; CAP-17</v>
      </c>
      <c r="M411" s="3" t="str">
        <f>'FSL Source'!L411</f>
        <v>Should</v>
      </c>
      <c r="N411" s="3" t="str">
        <f>'FSL Source'!M411</f>
        <v>Pha 2</v>
      </c>
      <c r="O411" s="3" t="str">
        <f>'FSL Source'!N411</f>
        <v>Đề xuất trong phạm vi</v>
      </c>
      <c r="P411" s="4" t="str">
        <f>'FSL Source'!O411</f>
        <v>Bổ sung</v>
      </c>
      <c r="Q411" s="4">
        <f>'FSL Source'!P411</f>
        <v>0</v>
      </c>
      <c r="R411" s="4">
        <f>'FSL Source'!Q411</f>
        <v>0</v>
      </c>
      <c r="S411" s="3"/>
      <c r="T411" s="3"/>
      <c r="U411" s="8"/>
      <c r="V411" s="8"/>
      <c r="W411" s="9"/>
      <c r="X411" s="9" t="str">
        <f t="shared" si="6"/>
        <v/>
      </c>
      <c r="Y411" s="3" t="s">
        <v>1860</v>
      </c>
      <c r="Z411" s="10">
        <v>0</v>
      </c>
      <c r="AA411" s="4"/>
    </row>
    <row r="412" spans="1:27" ht="25.5">
      <c r="A412" s="3" t="str">
        <f>B412&amp;"."&amp;TEXT(COUNTIF($B$5:B412,B412),"000")</f>
        <v>1.16.02.002</v>
      </c>
      <c r="B412" s="3" t="str">
        <f>IFERROR(INDEX('Work Packages'!$A$5:$A$200,MATCH(D412&amp;"|"&amp;E412,'Work Packages'!$P$5:$P$200,0)),"")</f>
        <v>1.16.02</v>
      </c>
      <c r="C412" s="3" t="str">
        <f>'FSL Source'!B412</f>
        <v>OPS-MON-002</v>
      </c>
      <c r="D412" s="3" t="str">
        <f>'FSL Source'!C412</f>
        <v>Vận hành Workflow &amp; Hệ thống</v>
      </c>
      <c r="E412" s="3" t="str">
        <f>'FSL Source'!D412</f>
        <v>Giám sát hệ thống</v>
      </c>
      <c r="F412" s="4" t="str">
        <f>'FSL Source'!E412</f>
        <v>Business</v>
      </c>
      <c r="G412" s="4" t="str">
        <f>'FSL Source'!F412</f>
        <v>Theo dõi cảnh báo nghiệp vụ</v>
      </c>
      <c r="H412" s="4" t="str">
        <f>'FSL Source'!G412</f>
        <v>Hồ sơ quá hạn, nhiệm vụ trễ, quyết toán chậm, hội đồng chưa hoàn tất và đồng bộ lỗi.</v>
      </c>
      <c r="I412" s="3" t="str">
        <f>'FSL Source'!H412</f>
        <v>Quản trị vận hành/Cán bộ KHCN</v>
      </c>
      <c r="J412" s="3" t="str">
        <f>'FSL Source'!I412</f>
        <v>Vận hành</v>
      </c>
      <c r="K412" s="3">
        <f>'FSL Source'!J412</f>
        <v>0</v>
      </c>
      <c r="L412" s="3" t="str">
        <f>'FSL Source'!K412</f>
        <v>CAP-01; CAP-17</v>
      </c>
      <c r="M412" s="3" t="str">
        <f>'FSL Source'!L412</f>
        <v>Should</v>
      </c>
      <c r="N412" s="3" t="str">
        <f>'FSL Source'!M412</f>
        <v>Pha 2</v>
      </c>
      <c r="O412" s="3" t="str">
        <f>'FSL Source'!N412</f>
        <v>Đề xuất trong phạm vi</v>
      </c>
      <c r="P412" s="4" t="str">
        <f>'FSL Source'!O412</f>
        <v>Bổ sung</v>
      </c>
      <c r="Q412" s="4">
        <f>'FSL Source'!P412</f>
        <v>0</v>
      </c>
      <c r="R412" s="4">
        <f>'FSL Source'!Q412</f>
        <v>0</v>
      </c>
      <c r="S412" s="3"/>
      <c r="T412" s="3"/>
      <c r="U412" s="8"/>
      <c r="V412" s="8"/>
      <c r="W412" s="9"/>
      <c r="X412" s="9" t="str">
        <f t="shared" si="6"/>
        <v/>
      </c>
      <c r="Y412" s="3" t="s">
        <v>1860</v>
      </c>
      <c r="Z412" s="10">
        <v>0</v>
      </c>
      <c r="AA412" s="4"/>
    </row>
    <row r="413" spans="1:27" ht="25.5">
      <c r="A413" s="3" t="str">
        <f>B413&amp;"."&amp;TEXT(COUNTIF($B$5:B413,B413),"000")</f>
        <v>1.17.01.001</v>
      </c>
      <c r="B413" s="3" t="str">
        <f>IFERROR(INDEX('Work Packages'!$A$5:$A$200,MATCH(D413&amp;"|"&amp;E413,'Work Packages'!$P$5:$P$200,0)),"")</f>
        <v>1.17.01</v>
      </c>
      <c r="C413" s="3" t="str">
        <f>'FSL Source'!B413</f>
        <v>SYS-AUD-001</v>
      </c>
      <c r="D413" s="3" t="str">
        <f>'FSL Source'!C413</f>
        <v>Audit, An toàn &amp; Cấu hình Hệ thống</v>
      </c>
      <c r="E413" s="3" t="str">
        <f>'FSL Source'!D413</f>
        <v>Audit &amp; tuân thủ</v>
      </c>
      <c r="F413" s="4" t="str">
        <f>'FSL Source'!E413</f>
        <v>Audit</v>
      </c>
      <c r="G413" s="4" t="str">
        <f>'FSL Source'!F413</f>
        <v>Audit đăng nhập và phiên</v>
      </c>
      <c r="H413" s="4" t="str">
        <f>'FSL Source'!G413</f>
        <v>Ghi nhận đăng nhập, đăng xuất, thất bại, thiết bị và phiên.</v>
      </c>
      <c r="I413" s="3" t="str">
        <f>'FSL Source'!H413</f>
        <v>Audit/Quản trị hệ thống</v>
      </c>
      <c r="J413" s="3" t="str">
        <f>'FSL Source'!I413</f>
        <v>Audit</v>
      </c>
      <c r="K413" s="3">
        <f>'FSL Source'!J413</f>
        <v>0</v>
      </c>
      <c r="L413" s="3" t="str">
        <f>'FSL Source'!K413</f>
        <v>CAP-19</v>
      </c>
      <c r="M413" s="3" t="str">
        <f>'FSL Source'!L413</f>
        <v>Must</v>
      </c>
      <c r="N413" s="3" t="str">
        <f>'FSL Source'!M413</f>
        <v>Pha 1</v>
      </c>
      <c r="O413" s="3" t="str">
        <f>'FSL Source'!N413</f>
        <v>Đề xuất trong phạm vi</v>
      </c>
      <c r="P413" s="4" t="str">
        <f>'FSL Source'!O413</f>
        <v>Bổ sung theo EPIC14</v>
      </c>
      <c r="Q413" s="4">
        <f>'FSL Source'!P413</f>
        <v>0</v>
      </c>
      <c r="R413" s="4">
        <f>'FSL Source'!Q413</f>
        <v>0</v>
      </c>
      <c r="S413" s="3"/>
      <c r="T413" s="3"/>
      <c r="U413" s="8"/>
      <c r="V413" s="8"/>
      <c r="W413" s="9"/>
      <c r="X413" s="9" t="str">
        <f t="shared" si="6"/>
        <v/>
      </c>
      <c r="Y413" s="3" t="s">
        <v>1860</v>
      </c>
      <c r="Z413" s="10">
        <v>0</v>
      </c>
      <c r="AA413" s="4"/>
    </row>
    <row r="414" spans="1:27" ht="25.5">
      <c r="A414" s="3" t="str">
        <f>B414&amp;"."&amp;TEXT(COUNTIF($B$5:B414,B414),"000")</f>
        <v>1.17.01.002</v>
      </c>
      <c r="B414" s="3" t="str">
        <f>IFERROR(INDEX('Work Packages'!$A$5:$A$200,MATCH(D414&amp;"|"&amp;E414,'Work Packages'!$P$5:$P$200,0)),"")</f>
        <v>1.17.01</v>
      </c>
      <c r="C414" s="3" t="str">
        <f>'FSL Source'!B414</f>
        <v>SYS-AUD-002</v>
      </c>
      <c r="D414" s="3" t="str">
        <f>'FSL Source'!C414</f>
        <v>Audit, An toàn &amp; Cấu hình Hệ thống</v>
      </c>
      <c r="E414" s="3" t="str">
        <f>'FSL Source'!D414</f>
        <v>Audit &amp; tuân thủ</v>
      </c>
      <c r="F414" s="4" t="str">
        <f>'FSL Source'!E414</f>
        <v>Audit</v>
      </c>
      <c r="G414" s="4" t="str">
        <f>'FSL Source'!F414</f>
        <v>Audit thay đổi dữ liệu</v>
      </c>
      <c r="H414" s="4" t="str">
        <f>'FSL Source'!G414</f>
        <v>Ghi trước/sau, actor, nguồn, thời gian và correlation id.</v>
      </c>
      <c r="I414" s="3" t="str">
        <f>'FSL Source'!H414</f>
        <v>Audit/Quản trị hệ thống</v>
      </c>
      <c r="J414" s="3" t="str">
        <f>'FSL Source'!I414</f>
        <v>Audit</v>
      </c>
      <c r="K414" s="3">
        <f>'FSL Source'!J414</f>
        <v>0</v>
      </c>
      <c r="L414" s="3" t="str">
        <f>'FSL Source'!K414</f>
        <v>CAP-19</v>
      </c>
      <c r="M414" s="3" t="str">
        <f>'FSL Source'!L414</f>
        <v>Must</v>
      </c>
      <c r="N414" s="3" t="str">
        <f>'FSL Source'!M414</f>
        <v>Pha 1</v>
      </c>
      <c r="O414" s="3" t="str">
        <f>'FSL Source'!N414</f>
        <v>Đề xuất trong phạm vi</v>
      </c>
      <c r="P414" s="4" t="str">
        <f>'FSL Source'!O414</f>
        <v>Bổ sung theo EPIC14</v>
      </c>
      <c r="Q414" s="4">
        <f>'FSL Source'!P414</f>
        <v>0</v>
      </c>
      <c r="R414" s="4">
        <f>'FSL Source'!Q414</f>
        <v>0</v>
      </c>
      <c r="S414" s="3"/>
      <c r="T414" s="3"/>
      <c r="U414" s="8"/>
      <c r="V414" s="8"/>
      <c r="W414" s="9"/>
      <c r="X414" s="9" t="str">
        <f t="shared" si="6"/>
        <v/>
      </c>
      <c r="Y414" s="3" t="s">
        <v>1860</v>
      </c>
      <c r="Z414" s="10">
        <v>0</v>
      </c>
      <c r="AA414" s="4"/>
    </row>
    <row r="415" spans="1:27" ht="25.5">
      <c r="A415" s="3" t="str">
        <f>B415&amp;"."&amp;TEXT(COUNTIF($B$5:B415,B415),"000")</f>
        <v>1.17.01.003</v>
      </c>
      <c r="B415" s="3" t="str">
        <f>IFERROR(INDEX('Work Packages'!$A$5:$A$200,MATCH(D415&amp;"|"&amp;E415,'Work Packages'!$P$5:$P$200,0)),"")</f>
        <v>1.17.01</v>
      </c>
      <c r="C415" s="3" t="str">
        <f>'FSL Source'!B415</f>
        <v>SYS-AUD-003</v>
      </c>
      <c r="D415" s="3" t="str">
        <f>'FSL Source'!C415</f>
        <v>Audit, An toàn &amp; Cấu hình Hệ thống</v>
      </c>
      <c r="E415" s="3" t="str">
        <f>'FSL Source'!D415</f>
        <v>Audit &amp; tuân thủ</v>
      </c>
      <c r="F415" s="4" t="str">
        <f>'FSL Source'!E415</f>
        <v>Audit</v>
      </c>
      <c r="G415" s="4" t="str">
        <f>'FSL Source'!F415</f>
        <v>Audit phê duyệt và workflow</v>
      </c>
      <c r="H415" s="4" t="str">
        <f>'FSL Source'!G415</f>
        <v>Ghi task, outcome, lý do, người đại diện, process/step/version.</v>
      </c>
      <c r="I415" s="3" t="str">
        <f>'FSL Source'!H415</f>
        <v>Audit/Quản trị hệ thống</v>
      </c>
      <c r="J415" s="3" t="str">
        <f>'FSL Source'!I415</f>
        <v>Audit</v>
      </c>
      <c r="K415" s="3">
        <f>'FSL Source'!J415</f>
        <v>0</v>
      </c>
      <c r="L415" s="3" t="str">
        <f>'FSL Source'!K415</f>
        <v>CAP-19</v>
      </c>
      <c r="M415" s="3" t="str">
        <f>'FSL Source'!L415</f>
        <v>Must</v>
      </c>
      <c r="N415" s="3" t="str">
        <f>'FSL Source'!M415</f>
        <v>Pha 1</v>
      </c>
      <c r="O415" s="3" t="str">
        <f>'FSL Source'!N415</f>
        <v>Đề xuất trong phạm vi</v>
      </c>
      <c r="P415" s="4" t="str">
        <f>'FSL Source'!O415</f>
        <v>Bổ sung theo EPIC14</v>
      </c>
      <c r="Q415" s="4">
        <f>'FSL Source'!P415</f>
        <v>0</v>
      </c>
      <c r="R415" s="4">
        <f>'FSL Source'!Q415</f>
        <v>0</v>
      </c>
      <c r="S415" s="3"/>
      <c r="T415" s="3"/>
      <c r="U415" s="8"/>
      <c r="V415" s="8"/>
      <c r="W415" s="9"/>
      <c r="X415" s="9" t="str">
        <f t="shared" si="6"/>
        <v/>
      </c>
      <c r="Y415" s="3" t="s">
        <v>1860</v>
      </c>
      <c r="Z415" s="10">
        <v>0</v>
      </c>
      <c r="AA415" s="4"/>
    </row>
    <row r="416" spans="1:27" ht="25.5">
      <c r="A416" s="3" t="str">
        <f>B416&amp;"."&amp;TEXT(COUNTIF($B$5:B416,B416),"000")</f>
        <v>1.17.01.004</v>
      </c>
      <c r="B416" s="3" t="str">
        <f>IFERROR(INDEX('Work Packages'!$A$5:$A$200,MATCH(D416&amp;"|"&amp;E416,'Work Packages'!$P$5:$P$200,0)),"")</f>
        <v>1.17.01</v>
      </c>
      <c r="C416" s="3" t="str">
        <f>'FSL Source'!B416</f>
        <v>SYS-AUD-004</v>
      </c>
      <c r="D416" s="3" t="str">
        <f>'FSL Source'!C416</f>
        <v>Audit, An toàn &amp; Cấu hình Hệ thống</v>
      </c>
      <c r="E416" s="3" t="str">
        <f>'FSL Source'!D416</f>
        <v>Audit &amp; tuân thủ</v>
      </c>
      <c r="F416" s="4" t="str">
        <f>'FSL Source'!E416</f>
        <v>Audit</v>
      </c>
      <c r="G416" s="4" t="str">
        <f>'FSL Source'!F416</f>
        <v>Audit chữ ký số</v>
      </c>
      <c r="H416" s="4" t="str">
        <f>'FSL Source'!G416</f>
        <v>Ghi chứng thư, kết quả xác minh, thời gian và tài liệu ký.</v>
      </c>
      <c r="I416" s="3" t="str">
        <f>'FSL Source'!H416</f>
        <v>Audit/Quản trị hệ thống</v>
      </c>
      <c r="J416" s="3" t="str">
        <f>'FSL Source'!I416</f>
        <v>Audit</v>
      </c>
      <c r="K416" s="3">
        <f>'FSL Source'!J416</f>
        <v>0</v>
      </c>
      <c r="L416" s="3" t="str">
        <f>'FSL Source'!K416</f>
        <v>CAP-19</v>
      </c>
      <c r="M416" s="3" t="str">
        <f>'FSL Source'!L416</f>
        <v>Must</v>
      </c>
      <c r="N416" s="3" t="str">
        <f>'FSL Source'!M416</f>
        <v>Pha 1</v>
      </c>
      <c r="O416" s="3" t="str">
        <f>'FSL Source'!N416</f>
        <v>Đề xuất trong phạm vi</v>
      </c>
      <c r="P416" s="4" t="str">
        <f>'FSL Source'!O416</f>
        <v>Bổ sung theo EPIC14</v>
      </c>
      <c r="Q416" s="4">
        <f>'FSL Source'!P416</f>
        <v>0</v>
      </c>
      <c r="R416" s="4">
        <f>'FSL Source'!Q416</f>
        <v>0</v>
      </c>
      <c r="S416" s="3"/>
      <c r="T416" s="3"/>
      <c r="U416" s="8"/>
      <c r="V416" s="8"/>
      <c r="W416" s="9"/>
      <c r="X416" s="9" t="str">
        <f t="shared" si="6"/>
        <v/>
      </c>
      <c r="Y416" s="3" t="s">
        <v>1860</v>
      </c>
      <c r="Z416" s="10">
        <v>0</v>
      </c>
      <c r="AA416" s="4"/>
    </row>
    <row r="417" spans="1:27" ht="25.5">
      <c r="A417" s="3" t="str">
        <f>B417&amp;"."&amp;TEXT(COUNTIF($B$5:B417,B417),"000")</f>
        <v>1.17.01.005</v>
      </c>
      <c r="B417" s="3" t="str">
        <f>IFERROR(INDEX('Work Packages'!$A$5:$A$200,MATCH(D417&amp;"|"&amp;E417,'Work Packages'!$P$5:$P$200,0)),"")</f>
        <v>1.17.01</v>
      </c>
      <c r="C417" s="3" t="str">
        <f>'FSL Source'!B417</f>
        <v>SYS-AUD-005</v>
      </c>
      <c r="D417" s="3" t="str">
        <f>'FSL Source'!C417</f>
        <v>Audit, An toàn &amp; Cấu hình Hệ thống</v>
      </c>
      <c r="E417" s="3" t="str">
        <f>'FSL Source'!D417</f>
        <v>Audit &amp; tuân thủ</v>
      </c>
      <c r="F417" s="4" t="str">
        <f>'FSL Source'!E417</f>
        <v>Audit</v>
      </c>
      <c r="G417" s="4" t="str">
        <f>'FSL Source'!F417</f>
        <v>Audit tích hợp</v>
      </c>
      <c r="H417" s="4" t="str">
        <f>'FSL Source'!G417</f>
        <v>Ghi hệ thống nguồn/đích, giao dịch, retry và kết quả đối soát.</v>
      </c>
      <c r="I417" s="3" t="str">
        <f>'FSL Source'!H417</f>
        <v>Audit/Quản trị hệ thống</v>
      </c>
      <c r="J417" s="3" t="str">
        <f>'FSL Source'!I417</f>
        <v>Audit</v>
      </c>
      <c r="K417" s="3">
        <f>'FSL Source'!J417</f>
        <v>0</v>
      </c>
      <c r="L417" s="3" t="str">
        <f>'FSL Source'!K417</f>
        <v>CAP-19</v>
      </c>
      <c r="M417" s="3" t="str">
        <f>'FSL Source'!L417</f>
        <v>Must</v>
      </c>
      <c r="N417" s="3" t="str">
        <f>'FSL Source'!M417</f>
        <v>Pha 1</v>
      </c>
      <c r="O417" s="3" t="str">
        <f>'FSL Source'!N417</f>
        <v>Đề xuất trong phạm vi</v>
      </c>
      <c r="P417" s="4" t="str">
        <f>'FSL Source'!O417</f>
        <v>Bổ sung theo EPIC14</v>
      </c>
      <c r="Q417" s="4">
        <f>'FSL Source'!P417</f>
        <v>0</v>
      </c>
      <c r="R417" s="4">
        <f>'FSL Source'!Q417</f>
        <v>0</v>
      </c>
      <c r="S417" s="3"/>
      <c r="T417" s="3"/>
      <c r="U417" s="8"/>
      <c r="V417" s="8"/>
      <c r="W417" s="9"/>
      <c r="X417" s="9" t="str">
        <f t="shared" si="6"/>
        <v/>
      </c>
      <c r="Y417" s="3" t="s">
        <v>1860</v>
      </c>
      <c r="Z417" s="10">
        <v>0</v>
      </c>
      <c r="AA417" s="4"/>
    </row>
    <row r="418" spans="1:27" ht="25.5">
      <c r="A418" s="3" t="str">
        <f>B418&amp;"."&amp;TEXT(COUNTIF($B$5:B418,B418),"000")</f>
        <v>1.17.01.006</v>
      </c>
      <c r="B418" s="3" t="str">
        <f>IFERROR(INDEX('Work Packages'!$A$5:$A$200,MATCH(D418&amp;"|"&amp;E418,'Work Packages'!$P$5:$P$200,0)),"")</f>
        <v>1.17.01</v>
      </c>
      <c r="C418" s="3" t="str">
        <f>'FSL Source'!B418</f>
        <v>SYS-AUD-006</v>
      </c>
      <c r="D418" s="3" t="str">
        <f>'FSL Source'!C418</f>
        <v>Audit, An toàn &amp; Cấu hình Hệ thống</v>
      </c>
      <c r="E418" s="3" t="str">
        <f>'FSL Source'!D418</f>
        <v>Audit &amp; tuân thủ</v>
      </c>
      <c r="F418" s="4" t="str">
        <f>'FSL Source'!E418</f>
        <v>Audit</v>
      </c>
      <c r="G418" s="4" t="str">
        <f>'FSL Source'!F418</f>
        <v>Tra cứu và xuất audit</v>
      </c>
      <c r="H418" s="4" t="str">
        <f>'FSL Source'!G418</f>
        <v>Lọc theo đối tượng, người dùng, thời gian, action và xuất theo quyền.</v>
      </c>
      <c r="I418" s="3" t="str">
        <f>'FSL Source'!H418</f>
        <v>Audit/Quản trị hệ thống</v>
      </c>
      <c r="J418" s="3" t="str">
        <f>'FSL Source'!I418</f>
        <v>Audit</v>
      </c>
      <c r="K418" s="3">
        <f>'FSL Source'!J418</f>
        <v>0</v>
      </c>
      <c r="L418" s="3" t="str">
        <f>'FSL Source'!K418</f>
        <v>CAP-19</v>
      </c>
      <c r="M418" s="3" t="str">
        <f>'FSL Source'!L418</f>
        <v>Must</v>
      </c>
      <c r="N418" s="3" t="str">
        <f>'FSL Source'!M418</f>
        <v>Pha 1</v>
      </c>
      <c r="O418" s="3" t="str">
        <f>'FSL Source'!N418</f>
        <v>Đề xuất trong phạm vi</v>
      </c>
      <c r="P418" s="4" t="str">
        <f>'FSL Source'!O418</f>
        <v>Bổ sung theo EPIC14</v>
      </c>
      <c r="Q418" s="4">
        <f>'FSL Source'!P418</f>
        <v>0</v>
      </c>
      <c r="R418" s="4">
        <f>'FSL Source'!Q418</f>
        <v>0</v>
      </c>
      <c r="S418" s="3"/>
      <c r="T418" s="3"/>
      <c r="U418" s="8"/>
      <c r="V418" s="8"/>
      <c r="W418" s="9"/>
      <c r="X418" s="9" t="str">
        <f t="shared" si="6"/>
        <v/>
      </c>
      <c r="Y418" s="3" t="s">
        <v>1860</v>
      </c>
      <c r="Z418" s="10">
        <v>0</v>
      </c>
      <c r="AA418" s="4"/>
    </row>
    <row r="419" spans="1:27" ht="25.5">
      <c r="A419" s="3" t="str">
        <f>B419&amp;"."&amp;TEXT(COUNTIF($B$5:B419,B419),"000")</f>
        <v>1.17.02.001</v>
      </c>
      <c r="B419" s="3" t="str">
        <f>IFERROR(INDEX('Work Packages'!$A$5:$A$200,MATCH(D419&amp;"|"&amp;E419,'Work Packages'!$P$5:$P$200,0)),"")</f>
        <v>1.17.02</v>
      </c>
      <c r="C419" s="3" t="str">
        <f>'FSL Source'!B419</f>
        <v>SYS-CFG-001</v>
      </c>
      <c r="D419" s="3" t="str">
        <f>'FSL Source'!C419</f>
        <v>Audit, An toàn &amp; Cấu hình Hệ thống</v>
      </c>
      <c r="E419" s="3" t="str">
        <f>'FSL Source'!D419</f>
        <v>Cấu hình hệ thống</v>
      </c>
      <c r="F419" s="4" t="str">
        <f>'FSL Source'!E419</f>
        <v>Tham số</v>
      </c>
      <c r="G419" s="4" t="str">
        <f>'FSL Source'!F419</f>
        <v>Quản lý tham số hệ thống</v>
      </c>
      <c r="H419" s="4" t="str">
        <f>'FSL Source'!G419</f>
        <v>Quản lý key/value, kiểu dữ liệu, môi trường, hiệu lực, secret masking và lịch sử.</v>
      </c>
      <c r="I419" s="3" t="str">
        <f>'FSL Source'!H419</f>
        <v>Quản trị hệ thống</v>
      </c>
      <c r="J419" s="3" t="str">
        <f>'FSL Source'!I419</f>
        <v>Cấu hình</v>
      </c>
      <c r="K419" s="3">
        <f>'FSL Source'!J419</f>
        <v>0</v>
      </c>
      <c r="L419" s="3" t="str">
        <f>'FSL Source'!K419</f>
        <v>CAP-20</v>
      </c>
      <c r="M419" s="3" t="str">
        <f>'FSL Source'!L419</f>
        <v>Must</v>
      </c>
      <c r="N419" s="3" t="str">
        <f>'FSL Source'!M419</f>
        <v>Pha 1</v>
      </c>
      <c r="O419" s="3" t="str">
        <f>'FSL Source'!N419</f>
        <v>Đề xuất trong phạm vi</v>
      </c>
      <c r="P419" s="4" t="str">
        <f>'FSL Source'!O419</f>
        <v>Bổ sung</v>
      </c>
      <c r="Q419" s="4">
        <f>'FSL Source'!P419</f>
        <v>0</v>
      </c>
      <c r="R419" s="4">
        <f>'FSL Source'!Q419</f>
        <v>0</v>
      </c>
      <c r="S419" s="3"/>
      <c r="T419" s="3"/>
      <c r="U419" s="8"/>
      <c r="V419" s="8"/>
      <c r="W419" s="9"/>
      <c r="X419" s="9" t="str">
        <f t="shared" si="6"/>
        <v/>
      </c>
      <c r="Y419" s="3" t="s">
        <v>1860</v>
      </c>
      <c r="Z419" s="10">
        <v>0</v>
      </c>
      <c r="AA419" s="4"/>
    </row>
    <row r="420" spans="1:27" ht="25.5">
      <c r="A420" s="3" t="str">
        <f>B420&amp;"."&amp;TEXT(COUNTIF($B$5:B420,B420),"000")</f>
        <v>1.17.02.002</v>
      </c>
      <c r="B420" s="3" t="str">
        <f>IFERROR(INDEX('Work Packages'!$A$5:$A$200,MATCH(D420&amp;"|"&amp;E420,'Work Packages'!$P$5:$P$200,0)),"")</f>
        <v>1.17.02</v>
      </c>
      <c r="C420" s="3" t="str">
        <f>'FSL Source'!B420</f>
        <v>SYS-CFG-002</v>
      </c>
      <c r="D420" s="3" t="str">
        <f>'FSL Source'!C420</f>
        <v>Audit, An toàn &amp; Cấu hình Hệ thống</v>
      </c>
      <c r="E420" s="3" t="str">
        <f>'FSL Source'!D420</f>
        <v>Cấu hình hệ thống</v>
      </c>
      <c r="F420" s="4" t="str">
        <f>'FSL Source'!E420</f>
        <v>Feature toggle</v>
      </c>
      <c r="G420" s="4" t="str">
        <f>'FSL Source'!F420</f>
        <v>Quản lý feature toggle</v>
      </c>
      <c r="H420" s="4" t="str">
        <f>'FSL Source'!G420</f>
        <v>Bật/tắt theo môi trường, đơn vị hoặc nhóm người dùng; có audit và thời hạn.</v>
      </c>
      <c r="I420" s="3" t="str">
        <f>'FSL Source'!H420</f>
        <v>Quản trị hệ thống</v>
      </c>
      <c r="J420" s="3" t="str">
        <f>'FSL Source'!I420</f>
        <v>Cấu hình</v>
      </c>
      <c r="K420" s="3">
        <f>'FSL Source'!J420</f>
        <v>0</v>
      </c>
      <c r="L420" s="3" t="str">
        <f>'FSL Source'!K420</f>
        <v>CAP-20</v>
      </c>
      <c r="M420" s="3" t="str">
        <f>'FSL Source'!L420</f>
        <v>Should</v>
      </c>
      <c r="N420" s="3" t="str">
        <f>'FSL Source'!M420</f>
        <v>Pha 2</v>
      </c>
      <c r="O420" s="3" t="str">
        <f>'FSL Source'!N420</f>
        <v>Đề xuất trong phạm vi</v>
      </c>
      <c r="P420" s="4" t="str">
        <f>'FSL Source'!O420</f>
        <v>Bổ sung</v>
      </c>
      <c r="Q420" s="4">
        <f>'FSL Source'!P420</f>
        <v>0</v>
      </c>
      <c r="R420" s="4">
        <f>'FSL Source'!Q420</f>
        <v>0</v>
      </c>
      <c r="S420" s="3"/>
      <c r="T420" s="3"/>
      <c r="U420" s="8"/>
      <c r="V420" s="8"/>
      <c r="W420" s="9"/>
      <c r="X420" s="9" t="str">
        <f t="shared" si="6"/>
        <v/>
      </c>
      <c r="Y420" s="3" t="s">
        <v>1860</v>
      </c>
      <c r="Z420" s="10">
        <v>0</v>
      </c>
      <c r="AA420" s="4"/>
    </row>
    <row r="421" spans="1:27" ht="25.5">
      <c r="A421" s="3" t="str">
        <f>B421&amp;"."&amp;TEXT(COUNTIF($B$5:B421,B421),"000")</f>
        <v>1.17.02.003</v>
      </c>
      <c r="B421" s="3" t="str">
        <f>IFERROR(INDEX('Work Packages'!$A$5:$A$200,MATCH(D421&amp;"|"&amp;E421,'Work Packages'!$P$5:$P$200,0)),"")</f>
        <v>1.17.02</v>
      </c>
      <c r="C421" s="3" t="str">
        <f>'FSL Source'!B421</f>
        <v>SYS-CFG-003</v>
      </c>
      <c r="D421" s="3" t="str">
        <f>'FSL Source'!C421</f>
        <v>Audit, An toàn &amp; Cấu hình Hệ thống</v>
      </c>
      <c r="E421" s="3" t="str">
        <f>'FSL Source'!D421</f>
        <v>Cấu hình hệ thống</v>
      </c>
      <c r="F421" s="4" t="str">
        <f>'FSL Source'!E421</f>
        <v>Job</v>
      </c>
      <c r="G421" s="4" t="str">
        <f>'FSL Source'!F421</f>
        <v>Quản lý tác vụ nền và lịch chạy</v>
      </c>
      <c r="H421" s="4" t="str">
        <f>'FSL Source'!G421</f>
        <v>Theo dõi scheduler, trạng thái, chạy lại và khóa chạy trùng.</v>
      </c>
      <c r="I421" s="3" t="str">
        <f>'FSL Source'!H421</f>
        <v>Quản trị vận hành</v>
      </c>
      <c r="J421" s="3" t="str">
        <f>'FSL Source'!I421</f>
        <v>Vận hành</v>
      </c>
      <c r="K421" s="3">
        <f>'FSL Source'!J421</f>
        <v>0</v>
      </c>
      <c r="L421" s="3" t="str">
        <f>'FSL Source'!K421</f>
        <v>CAP-20</v>
      </c>
      <c r="M421" s="3" t="str">
        <f>'FSL Source'!L421</f>
        <v>Should</v>
      </c>
      <c r="N421" s="3" t="str">
        <f>'FSL Source'!M421</f>
        <v>Pha 2</v>
      </c>
      <c r="O421" s="3" t="str">
        <f>'FSL Source'!N421</f>
        <v>Đề xuất trong phạm vi</v>
      </c>
      <c r="P421" s="4" t="str">
        <f>'FSL Source'!O421</f>
        <v>Bổ sung</v>
      </c>
      <c r="Q421" s="4">
        <f>'FSL Source'!P421</f>
        <v>0</v>
      </c>
      <c r="R421" s="4">
        <f>'FSL Source'!Q421</f>
        <v>0</v>
      </c>
      <c r="S421" s="3"/>
      <c r="T421" s="3"/>
      <c r="U421" s="8"/>
      <c r="V421" s="8"/>
      <c r="W421" s="9"/>
      <c r="X421" s="9" t="str">
        <f t="shared" si="6"/>
        <v/>
      </c>
      <c r="Y421" s="3" t="s">
        <v>1860</v>
      </c>
      <c r="Z421" s="10">
        <v>0</v>
      </c>
      <c r="AA421" s="4"/>
    </row>
    <row r="422" spans="1:27" ht="25.5">
      <c r="A422" s="3" t="str">
        <f>B422&amp;"."&amp;TEXT(COUNTIF($B$5:B422,B422),"000")</f>
        <v>1.17.03.001</v>
      </c>
      <c r="B422" s="3" t="str">
        <f>IFERROR(INDEX('Work Packages'!$A$5:$A$200,MATCH(D422&amp;"|"&amp;E422,'Work Packages'!$P$5:$P$200,0)),"")</f>
        <v>1.17.03</v>
      </c>
      <c r="C422" s="3" t="str">
        <f>'FSL Source'!B422</f>
        <v>SYS-SEC-001</v>
      </c>
      <c r="D422" s="3" t="str">
        <f>'FSL Source'!C422</f>
        <v>Audit, An toàn &amp; Cấu hình Hệ thống</v>
      </c>
      <c r="E422" s="3" t="str">
        <f>'FSL Source'!D422</f>
        <v>An toàn thông tin</v>
      </c>
      <c r="F422" s="4" t="str">
        <f>'FSL Source'!E422</f>
        <v>Bảo mật</v>
      </c>
      <c r="G422" s="4" t="str">
        <f>'FSL Source'!F422</f>
        <v>Phân loại và che dữ liệu nhạy cảm</v>
      </c>
      <c r="H422" s="4" t="str">
        <f>'FSL Source'!G422</f>
        <v>Áp dụng mask, encryption, field/document permission và chính sách tải xuống.</v>
      </c>
      <c r="I422" s="3" t="str">
        <f>'FSL Source'!H422</f>
        <v>Quản trị an toàn thông tin</v>
      </c>
      <c r="J422" s="3" t="str">
        <f>'FSL Source'!I422</f>
        <v>Bảo mật</v>
      </c>
      <c r="K422" s="3">
        <f>'FSL Source'!J422</f>
        <v>0</v>
      </c>
      <c r="L422" s="3" t="str">
        <f>'FSL Source'!K422</f>
        <v>CAP-20</v>
      </c>
      <c r="M422" s="3" t="str">
        <f>'FSL Source'!L422</f>
        <v>Must</v>
      </c>
      <c r="N422" s="3" t="str">
        <f>'FSL Source'!M422</f>
        <v>Pha 1</v>
      </c>
      <c r="O422" s="3" t="str">
        <f>'FSL Source'!N422</f>
        <v>Đề xuất trong phạm vi</v>
      </c>
      <c r="P422" s="4" t="str">
        <f>'FSL Source'!O422</f>
        <v>Bổ sung</v>
      </c>
      <c r="Q422" s="4">
        <f>'FSL Source'!P422</f>
        <v>0</v>
      </c>
      <c r="R422" s="4">
        <f>'FSL Source'!Q422</f>
        <v>0</v>
      </c>
      <c r="S422" s="3"/>
      <c r="T422" s="3"/>
      <c r="U422" s="8"/>
      <c r="V422" s="8"/>
      <c r="W422" s="9"/>
      <c r="X422" s="9" t="str">
        <f t="shared" si="6"/>
        <v/>
      </c>
      <c r="Y422" s="3" t="s">
        <v>1860</v>
      </c>
      <c r="Z422" s="10">
        <v>0</v>
      </c>
      <c r="AA422" s="4"/>
    </row>
    <row r="423" spans="1:27" ht="25.5">
      <c r="A423" s="3" t="str">
        <f>B423&amp;"."&amp;TEXT(COUNTIF($B$5:B423,B423),"000")</f>
        <v>1.17.03.002</v>
      </c>
      <c r="B423" s="3" t="str">
        <f>IFERROR(INDEX('Work Packages'!$A$5:$A$200,MATCH(D423&amp;"|"&amp;E423,'Work Packages'!$P$5:$P$200,0)),"")</f>
        <v>1.17.03</v>
      </c>
      <c r="C423" s="3" t="str">
        <f>'FSL Source'!B423</f>
        <v>SYS-SEC-002</v>
      </c>
      <c r="D423" s="3" t="str">
        <f>'FSL Source'!C423</f>
        <v>Audit, An toàn &amp; Cấu hình Hệ thống</v>
      </c>
      <c r="E423" s="3" t="str">
        <f>'FSL Source'!D423</f>
        <v>An toàn thông tin</v>
      </c>
      <c r="F423" s="4" t="str">
        <f>'FSL Source'!E423</f>
        <v>Bảo mật</v>
      </c>
      <c r="G423" s="4" t="str">
        <f>'FSL Source'!F423</f>
        <v>Quản lý phiên và chính sách truy cập</v>
      </c>
      <c r="H423" s="4" t="str">
        <f>'FSL Source'!G423</f>
        <v>Timeout, khóa tài khoản ứng dụng, giới hạn phiên, IP/device policy khi áp dụng.</v>
      </c>
      <c r="I423" s="3" t="str">
        <f>'FSL Source'!H423</f>
        <v>Quản trị an toàn thông tin</v>
      </c>
      <c r="J423" s="3" t="str">
        <f>'FSL Source'!I423</f>
        <v>Bảo mật</v>
      </c>
      <c r="K423" s="3">
        <f>'FSL Source'!J423</f>
        <v>0</v>
      </c>
      <c r="L423" s="3" t="str">
        <f>'FSL Source'!K423</f>
        <v>CAP-20</v>
      </c>
      <c r="M423" s="3" t="str">
        <f>'FSL Source'!L423</f>
        <v>Must</v>
      </c>
      <c r="N423" s="3" t="str">
        <f>'FSL Source'!M423</f>
        <v>Pha 1</v>
      </c>
      <c r="O423" s="3" t="str">
        <f>'FSL Source'!N423</f>
        <v>Đề xuất trong phạm vi</v>
      </c>
      <c r="P423" s="4" t="str">
        <f>'FSL Source'!O423</f>
        <v>Bổ sung</v>
      </c>
      <c r="Q423" s="4">
        <f>'FSL Source'!P423</f>
        <v>0</v>
      </c>
      <c r="R423" s="4">
        <f>'FSL Source'!Q423</f>
        <v>0</v>
      </c>
      <c r="S423" s="3"/>
      <c r="T423" s="3"/>
      <c r="U423" s="8"/>
      <c r="V423" s="8"/>
      <c r="W423" s="9"/>
      <c r="X423" s="9" t="str">
        <f t="shared" si="6"/>
        <v/>
      </c>
      <c r="Y423" s="3" t="s">
        <v>1860</v>
      </c>
      <c r="Z423" s="10">
        <v>0</v>
      </c>
      <c r="AA423" s="4"/>
    </row>
    <row r="424" spans="1:27" ht="25.5">
      <c r="A424" s="3" t="str">
        <f>B424&amp;"."&amp;TEXT(COUNTIF($B$5:B424,B424),"000")</f>
        <v>1.18.01.001</v>
      </c>
      <c r="B424" s="3" t="str">
        <f>IFERROR(INDEX('Work Packages'!$A$5:$A$200,MATCH(D424&amp;"|"&amp;E424,'Work Packages'!$P$5:$P$200,0)),"")</f>
        <v>1.18.01</v>
      </c>
      <c r="C424" s="3" t="str">
        <f>'FSL Source'!B424</f>
        <v>HLP-HELP-001</v>
      </c>
      <c r="D424" s="3" t="str">
        <f>'FSL Source'!C424</f>
        <v>Trợ giúp &amp; Hỗ trợ Người dùng</v>
      </c>
      <c r="E424" s="3" t="str">
        <f>'FSL Source'!D424</f>
        <v>Hướng dẫn sử dụng</v>
      </c>
      <c r="F424" s="4" t="str">
        <f>'FSL Source'!E424</f>
        <v>Nội dung</v>
      </c>
      <c r="G424" s="4" t="str">
        <f>'FSL Source'!F424</f>
        <v>Tra cứu hướng dẫn theo chức năng</v>
      </c>
      <c r="H424" s="4" t="str">
        <f>'FSL Source'!G424</f>
        <v>Cung cấp hướng dẫn, quy trình thao tác, FAQ và liên kết từ màn hình hiện tại.</v>
      </c>
      <c r="I424" s="3" t="str">
        <f>'FSL Source'!H424</f>
        <v>Tất cả người dùng</v>
      </c>
      <c r="J424" s="3" t="str">
        <f>'FSL Source'!I424</f>
        <v>Hỗ trợ</v>
      </c>
      <c r="K424" s="3">
        <f>'FSL Source'!J424</f>
        <v>0</v>
      </c>
      <c r="L424" s="3" t="str">
        <f>'FSL Source'!K424</f>
        <v>N/A</v>
      </c>
      <c r="M424" s="3" t="str">
        <f>'FSL Source'!L424</f>
        <v>Should</v>
      </c>
      <c r="N424" s="3" t="str">
        <f>'FSL Source'!M424</f>
        <v>Pha 2</v>
      </c>
      <c r="O424" s="3" t="str">
        <f>'FSL Source'!N424</f>
        <v>Đề xuất trong phạm vi</v>
      </c>
      <c r="P424" s="4" t="str">
        <f>'FSL Source'!O424</f>
        <v>Bổ sung</v>
      </c>
      <c r="Q424" s="4">
        <f>'FSL Source'!P424</f>
        <v>0</v>
      </c>
      <c r="R424" s="4">
        <f>'FSL Source'!Q424</f>
        <v>0</v>
      </c>
      <c r="S424" s="3"/>
      <c r="T424" s="3"/>
      <c r="U424" s="8"/>
      <c r="V424" s="8"/>
      <c r="W424" s="9"/>
      <c r="X424" s="9" t="str">
        <f t="shared" si="6"/>
        <v/>
      </c>
      <c r="Y424" s="3" t="s">
        <v>1860</v>
      </c>
      <c r="Z424" s="10">
        <v>0</v>
      </c>
      <c r="AA424" s="4"/>
    </row>
    <row r="425" spans="1:27" ht="25.5">
      <c r="A425" s="3" t="str">
        <f>B425&amp;"."&amp;TEXT(COUNTIF($B$5:B425,B425),"000")</f>
        <v>1.18.01.002</v>
      </c>
      <c r="B425" s="3" t="str">
        <f>IFERROR(INDEX('Work Packages'!$A$5:$A$200,MATCH(D425&amp;"|"&amp;E425,'Work Packages'!$P$5:$P$200,0)),"")</f>
        <v>1.18.01</v>
      </c>
      <c r="C425" s="3" t="str">
        <f>'FSL Source'!B425</f>
        <v>HLP-HELP-002</v>
      </c>
      <c r="D425" s="3" t="str">
        <f>'FSL Source'!C425</f>
        <v>Trợ giúp &amp; Hỗ trợ Người dùng</v>
      </c>
      <c r="E425" s="3" t="str">
        <f>'FSL Source'!D425</f>
        <v>Hướng dẫn sử dụng</v>
      </c>
      <c r="F425" s="4" t="str">
        <f>'FSL Source'!E425</f>
        <v>Onboarding</v>
      </c>
      <c r="G425" s="4" t="str">
        <f>'FSL Source'!F425</f>
        <v>Hướng dẫn người dùng mới</v>
      </c>
      <c r="H425" s="4" t="str">
        <f>'FSL Source'!G425</f>
        <v>Tour theo vai trò, checklist bắt đầu và dữ liệu mẫu khi được phép.</v>
      </c>
      <c r="I425" s="3" t="str">
        <f>'FSL Source'!H425</f>
        <v>Tất cả người dùng</v>
      </c>
      <c r="J425" s="3" t="str">
        <f>'FSL Source'!I425</f>
        <v>Hỗ trợ</v>
      </c>
      <c r="K425" s="3">
        <f>'FSL Source'!J425</f>
        <v>0</v>
      </c>
      <c r="L425" s="3" t="str">
        <f>'FSL Source'!K425</f>
        <v>N/A</v>
      </c>
      <c r="M425" s="3" t="str">
        <f>'FSL Source'!L425</f>
        <v>Could</v>
      </c>
      <c r="N425" s="3" t="str">
        <f>'FSL Source'!M425</f>
        <v>Pha 3</v>
      </c>
      <c r="O425" s="3" t="str">
        <f>'FSL Source'!N425</f>
        <v>Đề xuất trong phạm vi</v>
      </c>
      <c r="P425" s="4" t="str">
        <f>'FSL Source'!O425</f>
        <v>Bổ sung</v>
      </c>
      <c r="Q425" s="4">
        <f>'FSL Source'!P425</f>
        <v>0</v>
      </c>
      <c r="R425" s="4">
        <f>'FSL Source'!Q425</f>
        <v>0</v>
      </c>
      <c r="S425" s="3"/>
      <c r="T425" s="3"/>
      <c r="U425" s="8"/>
      <c r="V425" s="8"/>
      <c r="W425" s="9"/>
      <c r="X425" s="9" t="str">
        <f t="shared" si="6"/>
        <v/>
      </c>
      <c r="Y425" s="3" t="s">
        <v>1860</v>
      </c>
      <c r="Z425" s="10">
        <v>0</v>
      </c>
      <c r="AA425" s="4"/>
    </row>
    <row r="426" spans="1:27" ht="25.5">
      <c r="A426" s="3" t="str">
        <f>B426&amp;"."&amp;TEXT(COUNTIF($B$5:B426,B426),"000")</f>
        <v>1.18.02.001</v>
      </c>
      <c r="B426" s="3" t="str">
        <f>IFERROR(INDEX('Work Packages'!$A$5:$A$200,MATCH(D426&amp;"|"&amp;E426,'Work Packages'!$P$5:$P$200,0)),"")</f>
        <v>1.18.02</v>
      </c>
      <c r="C426" s="3" t="str">
        <f>'FSL Source'!B426</f>
        <v>HLP-SUP-001</v>
      </c>
      <c r="D426" s="3" t="str">
        <f>'FSL Source'!C426</f>
        <v>Trợ giúp &amp; Hỗ trợ Người dùng</v>
      </c>
      <c r="E426" s="3" t="str">
        <f>'FSL Source'!D426</f>
        <v>Hỗ trợ</v>
      </c>
      <c r="F426" s="4" t="str">
        <f>'FSL Source'!E426</f>
        <v>Yêu cầu hỗ trợ</v>
      </c>
      <c r="G426" s="4" t="str">
        <f>'FSL Source'!F426</f>
        <v>Gửi yêu cầu hỗ trợ kèm ngữ cảnh</v>
      </c>
      <c r="H426" s="4" t="str">
        <f>'FSL Source'!G426</f>
        <v>Gửi màn hình, mã lỗi/correlation id và mô tả; không đính kèm dữ liệu nhạy cảm mặc định.</v>
      </c>
      <c r="I426" s="3" t="str">
        <f>'FSL Source'!H426</f>
        <v>Tất cả người dùng</v>
      </c>
      <c r="J426" s="3" t="str">
        <f>'FSL Source'!I426</f>
        <v>Hỗ trợ</v>
      </c>
      <c r="K426" s="3">
        <f>'FSL Source'!J426</f>
        <v>0</v>
      </c>
      <c r="L426" s="3" t="str">
        <f>'FSL Source'!K426</f>
        <v>N/A</v>
      </c>
      <c r="M426" s="3" t="str">
        <f>'FSL Source'!L426</f>
        <v>Could</v>
      </c>
      <c r="N426" s="3" t="str">
        <f>'FSL Source'!M426</f>
        <v>Pha 3</v>
      </c>
      <c r="O426" s="3" t="str">
        <f>'FSL Source'!N426</f>
        <v>Đề xuất trong phạm vi</v>
      </c>
      <c r="P426" s="4" t="str">
        <f>'FSL Source'!O426</f>
        <v>Bổ sung</v>
      </c>
      <c r="Q426" s="4">
        <f>'FSL Source'!P426</f>
        <v>0</v>
      </c>
      <c r="R426" s="4">
        <f>'FSL Source'!Q426</f>
        <v>0</v>
      </c>
      <c r="S426" s="3"/>
      <c r="T426" s="3"/>
      <c r="U426" s="8"/>
      <c r="V426" s="8"/>
      <c r="W426" s="9"/>
      <c r="X426" s="9" t="str">
        <f t="shared" si="6"/>
        <v/>
      </c>
      <c r="Y426" s="3" t="s">
        <v>1860</v>
      </c>
      <c r="Z426" s="10">
        <v>0</v>
      </c>
      <c r="AA426" s="4"/>
    </row>
    <row r="427" spans="1:27" ht="127.5">
      <c r="A427" s="3" t="str">
        <f>B427&amp;"."&amp;TEXT(COUNTIF($B$5:B427,B427),"000")</f>
        <v>1.19.01.001</v>
      </c>
      <c r="B427" s="3" t="str">
        <f>IFERROR(INDEX('Work Packages'!$A$5:$A$200,MATCH(D427&amp;"|"&amp;E427,'Work Packages'!$P$5:$P$200,0)),"")</f>
        <v>1.19.01</v>
      </c>
      <c r="C427" s="3" t="str">
        <f>'FSL Source'!B427</f>
        <v>AIA-PLT-001</v>
      </c>
      <c r="D427" s="3" t="str">
        <f>'FSL Source'!C427</f>
        <v>Trợ lý AI hỗ trợ nghiệp vụ</v>
      </c>
      <c r="E427" s="3" t="str">
        <f>'FSL Source'!D427</f>
        <v>Nền tảng AI</v>
      </c>
      <c r="F427" s="4" t="str">
        <f>'FSL Source'!E427</f>
        <v>Quản trị tri thức</v>
      </c>
      <c r="G427" s="4" t="str">
        <f>'FSL Source'!F427</f>
        <v>Quản lý checklist và tri thức cho AI</v>
      </c>
      <c r="H427" s="4" t="str">
        <f>'FSL Source'!G427</f>
        <v>Khai báo checklist soát xét, biểu mẫu chuẩn và tri thức nghiệp vụ theo loại hồ sơ; phiên bản hóa và phê duyệt trước khi AI sử dụng, theo mô hình ban hành của CAP-03.</v>
      </c>
      <c r="I427" s="3" t="str">
        <f>'FSL Source'!H427</f>
        <v>Quản trị cấu hình/BA</v>
      </c>
      <c r="J427" s="3" t="str">
        <f>'FSL Source'!I427</f>
        <v>Cấu hình</v>
      </c>
      <c r="K427" s="3">
        <f>'FSL Source'!J427</f>
        <v>0</v>
      </c>
      <c r="L427" s="3" t="str">
        <f>'FSL Source'!K427</f>
        <v>CAP-21</v>
      </c>
      <c r="M427" s="3" t="str">
        <f>'FSL Source'!L427</f>
        <v>Could</v>
      </c>
      <c r="N427" s="3" t="str">
        <f>'FSL Source'!M427</f>
        <v>Pha 3</v>
      </c>
      <c r="O427" s="3" t="str">
        <f>'FSL Source'!N427</f>
        <v>Cần xác nhận</v>
      </c>
      <c r="P427" s="4" t="str">
        <f>'FSL Source'!O427</f>
        <v>Bổ sung theo CAP-21/VHT_AIAgnet</v>
      </c>
      <c r="Q427" s="4" t="str">
        <f>'FSL Source'!P427</f>
        <v>Phạm vi tùy chọn; chờ chốt A7. Áp dụng AI-AC-01…AI-AC-07 nếu được duyệt. Gợi ý tách biệt với dữ liệu đã xác nhận, có căn cứ và chỉ được ghi sau khi người dùng xác nhận. Kết quả theo từng tiêu chí đạt/chưa đạt/cần lưu ý và truy được phiên bản checklist. Audit truy được hồ sơ/Task, nguồn, mô hình, checklist và quyết định người dùng. Phản hồi không tự thay đổi mô hình/checklist hoặc thành dữ liệu huấn luyện khi chưa phê duyệt.</v>
      </c>
      <c r="R427" s="4" t="str">
        <f>'FSL Source'!Q427</f>
        <v>REQ-064; REQ-065; NFR-010; NFR-012</v>
      </c>
      <c r="S427" s="3"/>
      <c r="T427" s="3"/>
      <c r="U427" s="8"/>
      <c r="V427" s="8"/>
      <c r="W427" s="9"/>
      <c r="X427" s="9" t="str">
        <f t="shared" si="6"/>
        <v/>
      </c>
      <c r="Y427" s="3" t="s">
        <v>1860</v>
      </c>
      <c r="Z427" s="10">
        <v>0</v>
      </c>
      <c r="AA427" s="4"/>
    </row>
    <row r="428" spans="1:27" ht="76.5">
      <c r="A428" s="3" t="str">
        <f>B428&amp;"."&amp;TEXT(COUNTIF($B$5:B428,B428),"000")</f>
        <v>1.19.01.002</v>
      </c>
      <c r="B428" s="3" t="str">
        <f>IFERROR(INDEX('Work Packages'!$A$5:$A$200,MATCH(D428&amp;"|"&amp;E428,'Work Packages'!$P$5:$P$200,0)),"")</f>
        <v>1.19.01</v>
      </c>
      <c r="C428" s="3" t="str">
        <f>'FSL Source'!B428</f>
        <v>AIA-PLT-002</v>
      </c>
      <c r="D428" s="3" t="str">
        <f>'FSL Source'!C428</f>
        <v>Trợ lý AI hỗ trợ nghiệp vụ</v>
      </c>
      <c r="E428" s="3" t="str">
        <f>'FSL Source'!D428</f>
        <v>Nền tảng AI</v>
      </c>
      <c r="F428" s="4" t="str">
        <f>'FSL Source'!E428</f>
        <v>Cấu hình</v>
      </c>
      <c r="G428" s="4" t="str">
        <f>'FSL Source'!F428</f>
        <v>Bật/tắt trợ lý AI theo luồng và bước</v>
      </c>
      <c r="H428" s="4" t="str">
        <f>'FSL Source'!G428</f>
        <v>Cấu hình phạm vi áp dụng AI theo quy trình, bước và loại hồ sơ; tắt được toàn cục khi cần.</v>
      </c>
      <c r="I428" s="3" t="str">
        <f>'FSL Source'!H428</f>
        <v>Quản trị hệ thống</v>
      </c>
      <c r="J428" s="3" t="str">
        <f>'FSL Source'!I428</f>
        <v>Cấu hình</v>
      </c>
      <c r="K428" s="3">
        <f>'FSL Source'!J428</f>
        <v>0</v>
      </c>
      <c r="L428" s="3" t="str">
        <f>'FSL Source'!K428</f>
        <v>CAP-21</v>
      </c>
      <c r="M428" s="3" t="str">
        <f>'FSL Source'!L428</f>
        <v>Could</v>
      </c>
      <c r="N428" s="3" t="str">
        <f>'FSL Source'!M428</f>
        <v>Pha 3</v>
      </c>
      <c r="O428" s="3" t="str">
        <f>'FSL Source'!N428</f>
        <v>Cần xác nhận</v>
      </c>
      <c r="P428" s="4" t="str">
        <f>'FSL Source'!O428</f>
        <v>Bổ sung theo CAP-21/VHT_AIAgnet</v>
      </c>
      <c r="Q428" s="4" t="str">
        <f>'FSL Source'!P428</f>
        <v>Phạm vi tùy chọn; chờ chốt A7. Áp dụng AI-AC-01…AI-AC-07 nếu được duyệt. AI không hoàn tất User Task, đổi cột mốc, phê duyệt hoặc ghi đè dữ liệu nghiệp vụ. Lỗi/timeout/thiếu căn cứ không làm kẹt quy trình; người dùng tiếp tục thủ công.</v>
      </c>
      <c r="R428" s="4" t="str">
        <f>'FSL Source'!Q428</f>
        <v>NFR-009; NFR-011</v>
      </c>
      <c r="S428" s="3"/>
      <c r="T428" s="3"/>
      <c r="U428" s="8"/>
      <c r="V428" s="8"/>
      <c r="W428" s="9"/>
      <c r="X428" s="9" t="str">
        <f t="shared" si="6"/>
        <v/>
      </c>
      <c r="Y428" s="3" t="s">
        <v>1860</v>
      </c>
      <c r="Z428" s="10">
        <v>0</v>
      </c>
      <c r="AA428" s="4"/>
    </row>
    <row r="429" spans="1:27" ht="127.5">
      <c r="A429" s="3" t="str">
        <f>B429&amp;"."&amp;TEXT(COUNTIF($B$5:B429,B429),"000")</f>
        <v>1.19.01.003</v>
      </c>
      <c r="B429" s="3" t="str">
        <f>IFERROR(INDEX('Work Packages'!$A$5:$A$200,MATCH(D429&amp;"|"&amp;E429,'Work Packages'!$P$5:$P$200,0)),"")</f>
        <v>1.19.01</v>
      </c>
      <c r="C429" s="3" t="str">
        <f>'FSL Source'!B429</f>
        <v>AIA-PLT-003</v>
      </c>
      <c r="D429" s="3" t="str">
        <f>'FSL Source'!C429</f>
        <v>Trợ lý AI hỗ trợ nghiệp vụ</v>
      </c>
      <c r="E429" s="3" t="str">
        <f>'FSL Source'!D429</f>
        <v>Nền tảng AI</v>
      </c>
      <c r="F429" s="4" t="str">
        <f>'FSL Source'!E429</f>
        <v>Retrieval &amp; căn cứ</v>
      </c>
      <c r="G429" s="4" t="str">
        <f>'FSL Source'!F429</f>
        <v>Truy xuất tài liệu và giữ căn cứ nguồn</v>
      </c>
      <c r="H429" s="4" t="str">
        <f>'FSL Source'!G429</f>
        <v>Chỉ tìm trong tập hồ sơ/tài liệu đã được Core Backend lọc quyền; mỗi đoạn sử dụng giữ định danh tài liệu, phiên bản và vị trí để người dùng truy ngược.</v>
      </c>
      <c r="I429" s="3" t="str">
        <f>'FSL Source'!H429</f>
        <v>Quản trị tri thức/Người dùng nghiệp vụ</v>
      </c>
      <c r="J429" s="3" t="str">
        <f>'FSL Source'!I429</f>
        <v>AI hỗ trợ</v>
      </c>
      <c r="K429" s="3">
        <f>'FSL Source'!J429</f>
        <v>0</v>
      </c>
      <c r="L429" s="3" t="str">
        <f>'FSL Source'!K429</f>
        <v>CAP-21</v>
      </c>
      <c r="M429" s="3" t="str">
        <f>'FSL Source'!L429</f>
        <v>Could</v>
      </c>
      <c r="N429" s="3" t="str">
        <f>'FSL Source'!M429</f>
        <v>Pha 3</v>
      </c>
      <c r="O429" s="3" t="str">
        <f>'FSL Source'!N429</f>
        <v>Cần xác nhận</v>
      </c>
      <c r="P429" s="4" t="str">
        <f>'FSL Source'!O429</f>
        <v>Bổ sung theo CAP-21/VHT_AIAgnet</v>
      </c>
      <c r="Q429" s="4" t="str">
        <f>'FSL Source'!P429</f>
        <v>Phạm vi tùy chọn; chờ chốt A7. Áp dụng AI-AC-01…AI-AC-07 nếu được duyệt. Gợi ý tách biệt với dữ liệu đã xác nhận, có căn cứ và chỉ được ghi sau khi người dùng xác nhận. Kết quả theo từng tiêu chí đạt/chưa đạt/cần lưu ý và truy được phiên bản checklist. Cảnh báo có loại, mức độ, dữ liệu so sánh và lý do; không tự chặn/chuyển bước. Audit truy được hồ sơ/Task, nguồn, mô hình, checklist và quyết định người dùng.</v>
      </c>
      <c r="R429" s="4" t="str">
        <f>'FSL Source'!Q429</f>
        <v>REQ-064; REQ-065; REQ-066; NFR-010</v>
      </c>
      <c r="S429" s="3"/>
      <c r="T429" s="3"/>
      <c r="U429" s="8"/>
      <c r="V429" s="8"/>
      <c r="W429" s="9"/>
      <c r="X429" s="9" t="str">
        <f t="shared" si="6"/>
        <v/>
      </c>
      <c r="Y429" s="3" t="s">
        <v>1860</v>
      </c>
      <c r="Z429" s="10">
        <v>0</v>
      </c>
      <c r="AA429" s="4"/>
    </row>
    <row r="430" spans="1:27" ht="51">
      <c r="A430" s="3" t="str">
        <f>B430&amp;"."&amp;TEXT(COUNTIF($B$5:B430,B430),"000")</f>
        <v>1.19.01.004</v>
      </c>
      <c r="B430" s="3" t="str">
        <f>IFERROR(INDEX('Work Packages'!$A$5:$A$200,MATCH(D430&amp;"|"&amp;E430,'Work Packages'!$P$5:$P$200,0)),"")</f>
        <v>1.19.01</v>
      </c>
      <c r="C430" s="3" t="str">
        <f>'FSL Source'!B430</f>
        <v>AIA-PLT-004</v>
      </c>
      <c r="D430" s="3" t="str">
        <f>'FSL Source'!C430</f>
        <v>Trợ lý AI hỗ trợ nghiệp vụ</v>
      </c>
      <c r="E430" s="3" t="str">
        <f>'FSL Source'!D430</f>
        <v>Nền tảng AI</v>
      </c>
      <c r="F430" s="4" t="str">
        <f>'FSL Source'!E430</f>
        <v>Model serving</v>
      </c>
      <c r="G430" s="4" t="str">
        <f>'FSL Source'!F430</f>
        <v>Vận hành mô hình AI on-premise</v>
      </c>
      <c r="H430" s="4" t="str">
        <f>'FSL Source'!G430</f>
        <v>Quản lý endpoint mô hình, phiên bản, trạng thái sẵn sàng và cấu hình triển khai trong hạ tầng được VHT chấp thuận; không gửi dữ liệu hồ sơ tới dịch vụ AI bên ngoài.</v>
      </c>
      <c r="I430" s="3" t="str">
        <f>'FSL Source'!H430</f>
        <v>Quản trị AI/Hạ tầng</v>
      </c>
      <c r="J430" s="3" t="str">
        <f>'FSL Source'!I430</f>
        <v>Vận hành</v>
      </c>
      <c r="K430" s="3">
        <f>'FSL Source'!J430</f>
        <v>0</v>
      </c>
      <c r="L430" s="3" t="str">
        <f>'FSL Source'!K430</f>
        <v>CAP-21</v>
      </c>
      <c r="M430" s="3" t="str">
        <f>'FSL Source'!L430</f>
        <v>Could</v>
      </c>
      <c r="N430" s="3" t="str">
        <f>'FSL Source'!M430</f>
        <v>Pha 3</v>
      </c>
      <c r="O430" s="3" t="str">
        <f>'FSL Source'!N430</f>
        <v>Cần xác nhận</v>
      </c>
      <c r="P430" s="4" t="str">
        <f>'FSL Source'!O430</f>
        <v>Bổ sung theo CAP-21/VHT_AIAgnet</v>
      </c>
      <c r="Q430" s="4" t="str">
        <f>'FSL Source'!P430</f>
        <v>Phạm vi tùy chọn; chờ chốt A7. Áp dụng AI-AC-01…AI-AC-07 nếu được duyệt. Chạy trên hạ tầng được VHT chấp thuận; không gửi dữ liệu hồ sơ tới dịch vụ AI ngoài.</v>
      </c>
      <c r="R430" s="4" t="str">
        <f>'FSL Source'!Q430</f>
        <v>NFR-008</v>
      </c>
      <c r="S430" s="3"/>
      <c r="T430" s="3"/>
      <c r="U430" s="8"/>
      <c r="V430" s="8"/>
      <c r="W430" s="9"/>
      <c r="X430" s="9" t="str">
        <f t="shared" si="6"/>
        <v/>
      </c>
      <c r="Y430" s="3" t="s">
        <v>1860</v>
      </c>
      <c r="Z430" s="10">
        <v>0</v>
      </c>
      <c r="AA430" s="4"/>
    </row>
    <row r="431" spans="1:27" ht="127.5">
      <c r="A431" s="3" t="str">
        <f>B431&amp;"."&amp;TEXT(COUNTIF($B$5:B431,B431),"000")</f>
        <v>1.19.01.005</v>
      </c>
      <c r="B431" s="3" t="str">
        <f>IFERROR(INDEX('Work Packages'!$A$5:$A$200,MATCH(D431&amp;"|"&amp;E431,'Work Packages'!$P$5:$P$200,0)),"")</f>
        <v>1.19.01</v>
      </c>
      <c r="C431" s="3" t="str">
        <f>'FSL Source'!B431</f>
        <v>AIA-PLT-005</v>
      </c>
      <c r="D431" s="3" t="str">
        <f>'FSL Source'!C431</f>
        <v>Trợ lý AI hỗ trợ nghiệp vụ</v>
      </c>
      <c r="E431" s="3" t="str">
        <f>'FSL Source'!D431</f>
        <v>Nền tảng AI</v>
      </c>
      <c r="F431" s="4" t="str">
        <f>'FSL Source'!E431</f>
        <v>Kết quả &amp; phản hồi</v>
      </c>
      <c r="G431" s="4" t="str">
        <f>'FSL Source'!F431</f>
        <v>Lưu kết quả AI và phản hồi người dùng</v>
      </c>
      <c r="H431" s="4" t="str">
        <f>'FSL Source'!G431</f>
        <v>Lưu bất biến kết quả AI ban đầu, căn cứ, phiên bản mô hình/checklist, quyết định xác nhận/chỉnh sửa/bác bỏ và nội dung sau chỉnh sửa; phản hồi không tự động trở thành dữ liệu huấn luyện.</v>
      </c>
      <c r="I431" s="3" t="str">
        <f>'FSL Source'!H431</f>
        <v>Người dùng nghiệp vụ/Quản trị AI</v>
      </c>
      <c r="J431" s="3" t="str">
        <f>'FSL Source'!I431</f>
        <v>AI hỗ trợ</v>
      </c>
      <c r="K431" s="3">
        <f>'FSL Source'!J431</f>
        <v>0</v>
      </c>
      <c r="L431" s="3" t="str">
        <f>'FSL Source'!K431</f>
        <v>CAP-21</v>
      </c>
      <c r="M431" s="3" t="str">
        <f>'FSL Source'!L431</f>
        <v>Could</v>
      </c>
      <c r="N431" s="3" t="str">
        <f>'FSL Source'!M431</f>
        <v>Pha 3</v>
      </c>
      <c r="O431" s="3" t="str">
        <f>'FSL Source'!N431</f>
        <v>Cần xác nhận</v>
      </c>
      <c r="P431" s="4" t="str">
        <f>'FSL Source'!O431</f>
        <v>Bổ sung theo CAP-21/VHT_AIAgnet</v>
      </c>
      <c r="Q431" s="4" t="str">
        <f>'FSL Source'!P431</f>
        <v>Phạm vi tùy chọn; chờ chốt A7. Áp dụng AI-AC-01…AI-AC-07 nếu được duyệt. Hiển thị cấu trúc gồm tiêu chí, trạng thái, mức cảnh báo, gợi ý, căn cứ và trạng thái xác nhận. Lưu bất biến kết quả gốc, quyết định, nội dung sau sửa, người/thời điểm và phiên bản mô hình/checklist. Audit truy được hồ sơ/Task, nguồn, mô hình, checklist và quyết định người dùng. Phản hồi không tự thay đổi mô hình/checklist hoặc thành dữ liệu huấn luyện khi chưa phê duyệt.</v>
      </c>
      <c r="R431" s="4" t="str">
        <f>'FSL Source'!Q431</f>
        <v>REQ-067; REQ-068; NFR-010; NFR-012</v>
      </c>
      <c r="S431" s="3"/>
      <c r="T431" s="3"/>
      <c r="U431" s="8"/>
      <c r="V431" s="8"/>
      <c r="W431" s="9"/>
      <c r="X431" s="9" t="str">
        <f t="shared" si="6"/>
        <v/>
      </c>
      <c r="Y431" s="3" t="s">
        <v>1860</v>
      </c>
      <c r="Z431" s="10">
        <v>0</v>
      </c>
      <c r="AA431" s="4"/>
    </row>
    <row r="432" spans="1:27" ht="76.5">
      <c r="A432" s="3" t="str">
        <f>B432&amp;"."&amp;TEXT(COUNTIF($B$5:B432,B432),"000")</f>
        <v>1.19.01.006</v>
      </c>
      <c r="B432" s="3" t="str">
        <f>IFERROR(INDEX('Work Packages'!$A$5:$A$200,MATCH(D432&amp;"|"&amp;E432,'Work Packages'!$P$5:$P$200,0)),"")</f>
        <v>1.19.01</v>
      </c>
      <c r="C432" s="3" t="str">
        <f>'FSL Source'!B432</f>
        <v>AIA-PLT-006</v>
      </c>
      <c r="D432" s="3" t="str">
        <f>'FSL Source'!C432</f>
        <v>Trợ lý AI hỗ trợ nghiệp vụ</v>
      </c>
      <c r="E432" s="3" t="str">
        <f>'FSL Source'!D432</f>
        <v>Nền tảng AI</v>
      </c>
      <c r="F432" s="4" t="str">
        <f>'FSL Source'!E432</f>
        <v>Truy vết</v>
      </c>
      <c r="G432" s="4" t="str">
        <f>'FSL Source'!F432</f>
        <v>Nhật ký nội dung do AI gợi ý</v>
      </c>
      <c r="H432" s="4" t="str">
        <f>'FSL Source'!G432</f>
        <v>Ghi lại nội dung AI sinh ra, hồ sơ/User Task liên quan, nguồn tham chiếu, phiên bản mô hình/checklist và người xác nhận; phân biệt rõ nội dung do AI gợi ý và nội dung do người quyết định (gắn CAP-19).</v>
      </c>
      <c r="I432" s="3" t="str">
        <f>'FSL Source'!H432</f>
        <v>Audit/Quản trị hệ thống</v>
      </c>
      <c r="J432" s="3" t="str">
        <f>'FSL Source'!I432</f>
        <v>Audit</v>
      </c>
      <c r="K432" s="3">
        <f>'FSL Source'!J432</f>
        <v>0</v>
      </c>
      <c r="L432" s="3" t="str">
        <f>'FSL Source'!K432</f>
        <v>CAP-21</v>
      </c>
      <c r="M432" s="3" t="str">
        <f>'FSL Source'!L432</f>
        <v>Could</v>
      </c>
      <c r="N432" s="3" t="str">
        <f>'FSL Source'!M432</f>
        <v>Pha 3</v>
      </c>
      <c r="O432" s="3" t="str">
        <f>'FSL Source'!N432</f>
        <v>Cần xác nhận</v>
      </c>
      <c r="P432" s="4" t="str">
        <f>'FSL Source'!O432</f>
        <v>Bổ sung theo CAP-21/VHT_AIAgnet</v>
      </c>
      <c r="Q432" s="4" t="str">
        <f>'FSL Source'!P432</f>
        <v>Phạm vi tùy chọn; chờ chốt A7. Áp dụng AI-AC-01…AI-AC-07 nếu được duyệt. Lưu bất biến kết quả gốc, quyết định, nội dung sau sửa, người/thời điểm và phiên bản mô hình/checklist. Audit truy được hồ sơ/Task, nguồn, mô hình, checklist và quyết định người dùng.</v>
      </c>
      <c r="R432" s="4" t="str">
        <f>'FSL Source'!Q432</f>
        <v>REQ-068; NFR-010</v>
      </c>
      <c r="S432" s="3"/>
      <c r="T432" s="3"/>
      <c r="U432" s="8"/>
      <c r="V432" s="8"/>
      <c r="W432" s="9"/>
      <c r="X432" s="9" t="str">
        <f t="shared" si="6"/>
        <v/>
      </c>
      <c r="Y432" s="3" t="s">
        <v>1860</v>
      </c>
      <c r="Z432" s="10">
        <v>0</v>
      </c>
      <c r="AA432" s="4"/>
    </row>
    <row r="433" spans="1:27" ht="76.5">
      <c r="A433" s="3" t="str">
        <f>B433&amp;"."&amp;TEXT(COUNTIF($B$5:B433,B433),"000")</f>
        <v>1.19.01.007</v>
      </c>
      <c r="B433" s="3" t="str">
        <f>IFERROR(INDEX('Work Packages'!$A$5:$A$200,MATCH(D433&amp;"|"&amp;E433,'Work Packages'!$P$5:$P$200,0)),"")</f>
        <v>1.19.01</v>
      </c>
      <c r="C433" s="3" t="str">
        <f>'FSL Source'!B433</f>
        <v>AIA-PLT-007</v>
      </c>
      <c r="D433" s="3" t="str">
        <f>'FSL Source'!C433</f>
        <v>Trợ lý AI hỗ trợ nghiệp vụ</v>
      </c>
      <c r="E433" s="3" t="str">
        <f>'FSL Source'!D433</f>
        <v>Nền tảng AI</v>
      </c>
      <c r="F433" s="4" t="str">
        <f>'FSL Source'!E433</f>
        <v>Bảo mật</v>
      </c>
      <c r="G433" s="4" t="str">
        <f>'FSL Source'!F433</f>
        <v>Giới hạn dữ liệu AI truy cập theo quyền người dùng</v>
      </c>
      <c r="H433" s="4" t="str">
        <f>'FSL Source'!G433</f>
        <v>Core Backend kiểm tra quyền trước khi cấp ngữ cảnh; AI chỉ đọc dữ liệu trong phạm vi quyền của người đang thao tác (NFR-008/NFR-009).</v>
      </c>
      <c r="I433" s="3" t="str">
        <f>'FSL Source'!H433</f>
        <v>Quản trị hệ thống</v>
      </c>
      <c r="J433" s="3" t="str">
        <f>'FSL Source'!I433</f>
        <v>Bảo mật</v>
      </c>
      <c r="K433" s="3">
        <f>'FSL Source'!J433</f>
        <v>0</v>
      </c>
      <c r="L433" s="3" t="str">
        <f>'FSL Source'!K433</f>
        <v>CAP-21</v>
      </c>
      <c r="M433" s="3" t="str">
        <f>'FSL Source'!L433</f>
        <v>Could</v>
      </c>
      <c r="N433" s="3" t="str">
        <f>'FSL Source'!M433</f>
        <v>Pha 3</v>
      </c>
      <c r="O433" s="3" t="str">
        <f>'FSL Source'!N433</f>
        <v>Cần xác nhận</v>
      </c>
      <c r="P433" s="4" t="str">
        <f>'FSL Source'!O433</f>
        <v>Bổ sung theo CAP-21/VHT_AIAgnet</v>
      </c>
      <c r="Q433" s="4" t="str">
        <f>'FSL Source'!P433</f>
        <v>Phạm vi tùy chọn; chờ chốt A7. Áp dụng AI-AC-01…AI-AC-07 nếu được duyệt. Chạy trên hạ tầng được VHT chấp thuận; không gửi dữ liệu hồ sơ tới dịch vụ AI ngoài. AI không hoàn tất User Task, đổi cột mốc, phê duyệt hoặc ghi đè dữ liệu nghiệp vụ.</v>
      </c>
      <c r="R433" s="4" t="str">
        <f>'FSL Source'!Q433</f>
        <v>NFR-008; NFR-009</v>
      </c>
      <c r="S433" s="3"/>
      <c r="T433" s="3"/>
      <c r="U433" s="8"/>
      <c r="V433" s="8"/>
      <c r="W433" s="9"/>
      <c r="X433" s="9" t="str">
        <f t="shared" si="6"/>
        <v/>
      </c>
      <c r="Y433" s="3" t="s">
        <v>1860</v>
      </c>
      <c r="Z433" s="10">
        <v>0</v>
      </c>
      <c r="AA433" s="4"/>
    </row>
    <row r="434" spans="1:27" ht="51">
      <c r="A434" s="3" t="str">
        <f>B434&amp;"."&amp;TEXT(COUNTIF($B$5:B434,B434),"000")</f>
        <v>1.19.01.008</v>
      </c>
      <c r="B434" s="3" t="str">
        <f>IFERROR(INDEX('Work Packages'!$A$5:$A$200,MATCH(D434&amp;"|"&amp;E434,'Work Packages'!$P$5:$P$200,0)),"")</f>
        <v>1.19.01</v>
      </c>
      <c r="C434" s="3" t="str">
        <f>'FSL Source'!B434</f>
        <v>AIA-PLT-008</v>
      </c>
      <c r="D434" s="3" t="str">
        <f>'FSL Source'!C434</f>
        <v>Trợ lý AI hỗ trợ nghiệp vụ</v>
      </c>
      <c r="E434" s="3" t="str">
        <f>'FSL Source'!D434</f>
        <v>Nền tảng AI</v>
      </c>
      <c r="F434" s="4" t="str">
        <f>'FSL Source'!E434</f>
        <v>Khả dụng</v>
      </c>
      <c r="G434" s="4" t="str">
        <f>'FSL Source'!F434</f>
        <v>Fallback khi dịch vụ AI không sẵn sàng</v>
      </c>
      <c r="H434" s="4" t="str">
        <f>'FSL Source'!G434</f>
        <v>Khi AI lỗi, timeout hoặc không đủ căn cứ, hiển thị trạng thái rõ ràng và cho phép người dùng tiếp tục xử lý thủ công; không làm kẹt User Task hoặc cột mốc nghiệp vụ.</v>
      </c>
      <c r="I434" s="3" t="str">
        <f>'FSL Source'!H434</f>
        <v>Người dùng nghiệp vụ/Quản trị hệ thống</v>
      </c>
      <c r="J434" s="3" t="str">
        <f>'FSL Source'!I434</f>
        <v>AI hỗ trợ</v>
      </c>
      <c r="K434" s="3">
        <f>'FSL Source'!J434</f>
        <v>0</v>
      </c>
      <c r="L434" s="3" t="str">
        <f>'FSL Source'!K434</f>
        <v>CAP-21</v>
      </c>
      <c r="M434" s="3" t="str">
        <f>'FSL Source'!L434</f>
        <v>Could</v>
      </c>
      <c r="N434" s="3" t="str">
        <f>'FSL Source'!M434</f>
        <v>Pha 3</v>
      </c>
      <c r="O434" s="3" t="str">
        <f>'FSL Source'!N434</f>
        <v>Cần xác nhận</v>
      </c>
      <c r="P434" s="4" t="str">
        <f>'FSL Source'!O434</f>
        <v>Bổ sung theo CAP-21/VHT_AIAgnet</v>
      </c>
      <c r="Q434" s="4" t="str">
        <f>'FSL Source'!P434</f>
        <v>Phạm vi tùy chọn; chờ chốt A7. Áp dụng AI-AC-01…AI-AC-07 nếu được duyệt. Lỗi/timeout/thiếu căn cứ không làm kẹt quy trình; người dùng tiếp tục thủ công.</v>
      </c>
      <c r="R434" s="4" t="str">
        <f>'FSL Source'!Q434</f>
        <v>NFR-011</v>
      </c>
      <c r="S434" s="3"/>
      <c r="T434" s="3"/>
      <c r="U434" s="8"/>
      <c r="V434" s="8"/>
      <c r="W434" s="9"/>
      <c r="X434" s="9" t="str">
        <f t="shared" si="6"/>
        <v/>
      </c>
      <c r="Y434" s="3" t="s">
        <v>1860</v>
      </c>
      <c r="Z434" s="10">
        <v>0</v>
      </c>
      <c r="AA434" s="4"/>
    </row>
    <row r="435" spans="1:27" ht="51">
      <c r="A435" s="3" t="str">
        <f>B435&amp;"."&amp;TEXT(COUNTIF($B$5:B435,B435),"000")</f>
        <v>1.19.02.001</v>
      </c>
      <c r="B435" s="3" t="str">
        <f>IFERROR(INDEX('Work Packages'!$A$5:$A$200,MATCH(D435&amp;"|"&amp;E435,'Work Packages'!$P$5:$P$200,0)),"")</f>
        <v>1.19.02</v>
      </c>
      <c r="C435" s="3" t="str">
        <f>'FSL Source'!B435</f>
        <v>AIA-REV1-001</v>
      </c>
      <c r="D435" s="3" t="str">
        <f>'FSL Source'!C435</f>
        <v>Trợ lý AI hỗ trợ nghiệp vụ</v>
      </c>
      <c r="E435" s="3" t="str">
        <f>'FSL Source'!D435</f>
        <v>AI xét duyệt cấp cơ sở</v>
      </c>
      <c r="F435" s="4" t="str">
        <f>'FSL Source'!E435</f>
        <v>Gợi ý nội dung</v>
      </c>
      <c r="G435" s="4" t="str">
        <f>'FSL Source'!F435</f>
        <v>AI gợi ý nội dung hồ sơ xét duyệt cấp cơ sở</v>
      </c>
      <c r="H435" s="4" t="str">
        <f>'FSL Source'!G435</f>
        <v>Gợi ý nội dung hồ sơ xét duyệt từ chủ trương đã duyệt, biểu mẫu, checklist và dữ liệu nhiệm vụ tương tự nếu có; người lập kiểm tra trước khi dùng.</v>
      </c>
      <c r="I435" s="3" t="str">
        <f>'FSL Source'!H435</f>
        <v>Người lập hồ sơ/Chuyên viên</v>
      </c>
      <c r="J435" s="3" t="str">
        <f>'FSL Source'!I435</f>
        <v>AI hỗ trợ</v>
      </c>
      <c r="K435" s="3" t="str">
        <f>'FSL Source'!J435</f>
        <v>RD01.01, RD02.01</v>
      </c>
      <c r="L435" s="3" t="str">
        <f>'FSL Source'!K435</f>
        <v>CAP-21</v>
      </c>
      <c r="M435" s="3" t="str">
        <f>'FSL Source'!L435</f>
        <v>Could</v>
      </c>
      <c r="N435" s="3" t="str">
        <f>'FSL Source'!M435</f>
        <v>Pha 3</v>
      </c>
      <c r="O435" s="3" t="str">
        <f>'FSL Source'!N435</f>
        <v>Cần xác nhận</v>
      </c>
      <c r="P435" s="4" t="str">
        <f>'FSL Source'!O435</f>
        <v>Bổ sung theo CAP-21/VHT_AIAgnet</v>
      </c>
      <c r="Q435" s="4" t="str">
        <f>'FSL Source'!P435</f>
        <v>Phạm vi tùy chọn; chờ chốt A7. Áp dụng AI-AC-01…AI-AC-07 nếu được duyệt. Gợi ý tách biệt với dữ liệu đã xác nhận, có căn cứ và chỉ được ghi sau khi người dùng xác nhận.</v>
      </c>
      <c r="R435" s="4" t="str">
        <f>'FSL Source'!Q435</f>
        <v>REQ-064</v>
      </c>
      <c r="S435" s="3"/>
      <c r="T435" s="3"/>
      <c r="U435" s="8"/>
      <c r="V435" s="8"/>
      <c r="W435" s="9"/>
      <c r="X435" s="9" t="str">
        <f t="shared" si="6"/>
        <v/>
      </c>
      <c r="Y435" s="3" t="s">
        <v>1860</v>
      </c>
      <c r="Z435" s="10">
        <v>0</v>
      </c>
      <c r="AA435" s="4"/>
    </row>
    <row r="436" spans="1:27" ht="51">
      <c r="A436" s="3" t="str">
        <f>B436&amp;"."&amp;TEXT(COUNTIF($B$5:B436,B436),"000")</f>
        <v>1.19.02.002</v>
      </c>
      <c r="B436" s="3" t="str">
        <f>IFERROR(INDEX('Work Packages'!$A$5:$A$200,MATCH(D436&amp;"|"&amp;E436,'Work Packages'!$P$5:$P$200,0)),"")</f>
        <v>1.19.02</v>
      </c>
      <c r="C436" s="3" t="str">
        <f>'FSL Source'!B436</f>
        <v>AIA-REV1-002</v>
      </c>
      <c r="D436" s="3" t="str">
        <f>'FSL Source'!C436</f>
        <v>Trợ lý AI hỗ trợ nghiệp vụ</v>
      </c>
      <c r="E436" s="3" t="str">
        <f>'FSL Source'!D436</f>
        <v>AI xét duyệt cấp cơ sở</v>
      </c>
      <c r="F436" s="4" t="str">
        <f>'FSL Source'!E436</f>
        <v>Soát xét</v>
      </c>
      <c r="G436" s="4" t="str">
        <f>'FSL Source'!F436</f>
        <v>AI soát xét hồ sơ xét duyệt cấp cơ sở</v>
      </c>
      <c r="H436" s="4" t="str">
        <f>'FSL Source'!G436</f>
        <v>Đọc hồ sơ/eForm/tài liệu và đối chiếu checklist về mục tiêu, thuyết minh, dự toán, nhân sự, mua sắm, nguồn tiền, định mức.</v>
      </c>
      <c r="I436" s="3" t="str">
        <f>'FSL Source'!H436</f>
        <v>Chuyên viên/Chuyên quản</v>
      </c>
      <c r="J436" s="3" t="str">
        <f>'FSL Source'!I436</f>
        <v>AI hỗ trợ</v>
      </c>
      <c r="K436" s="3" t="str">
        <f>'FSL Source'!J436</f>
        <v>RD01.01, RD02.01</v>
      </c>
      <c r="L436" s="3" t="str">
        <f>'FSL Source'!K436</f>
        <v>CAP-21</v>
      </c>
      <c r="M436" s="3" t="str">
        <f>'FSL Source'!L436</f>
        <v>Could</v>
      </c>
      <c r="N436" s="3" t="str">
        <f>'FSL Source'!M436</f>
        <v>Pha 3</v>
      </c>
      <c r="O436" s="3" t="str">
        <f>'FSL Source'!N436</f>
        <v>Cần xác nhận</v>
      </c>
      <c r="P436" s="4" t="str">
        <f>'FSL Source'!O436</f>
        <v>Bổ sung theo CAP-21/VHT_AIAgnet</v>
      </c>
      <c r="Q436" s="4" t="str">
        <f>'FSL Source'!P436</f>
        <v>Phạm vi tùy chọn; chờ chốt A7. Áp dụng AI-AC-01…AI-AC-07 nếu được duyệt. Kết quả theo từng tiêu chí đạt/chưa đạt/cần lưu ý và truy được phiên bản checklist.</v>
      </c>
      <c r="R436" s="4" t="str">
        <f>'FSL Source'!Q436</f>
        <v>REQ-065</v>
      </c>
      <c r="S436" s="3"/>
      <c r="T436" s="3"/>
      <c r="U436" s="8"/>
      <c r="V436" s="8"/>
      <c r="W436" s="9"/>
      <c r="X436" s="9" t="str">
        <f t="shared" si="6"/>
        <v/>
      </c>
      <c r="Y436" s="3" t="s">
        <v>1860</v>
      </c>
      <c r="Z436" s="10">
        <v>0</v>
      </c>
      <c r="AA436" s="4"/>
    </row>
    <row r="437" spans="1:27" ht="51">
      <c r="A437" s="3" t="str">
        <f>B437&amp;"."&amp;TEXT(COUNTIF($B$5:B437,B437),"000")</f>
        <v>1.19.02.003</v>
      </c>
      <c r="B437" s="3" t="str">
        <f>IFERROR(INDEX('Work Packages'!$A$5:$A$200,MATCH(D437&amp;"|"&amp;E437,'Work Packages'!$P$5:$P$200,0)),"")</f>
        <v>1.19.02</v>
      </c>
      <c r="C437" s="3" t="str">
        <f>'FSL Source'!B437</f>
        <v>AIA-REV1-003</v>
      </c>
      <c r="D437" s="3" t="str">
        <f>'FSL Source'!C437</f>
        <v>Trợ lý AI hỗ trợ nghiệp vụ</v>
      </c>
      <c r="E437" s="3" t="str">
        <f>'FSL Source'!D437</f>
        <v>AI xét duyệt cấp cơ sở</v>
      </c>
      <c r="F437" s="4" t="str">
        <f>'FSL Source'!E437</f>
        <v>Kết quả</v>
      </c>
      <c r="G437" s="4" t="str">
        <f>'FSL Source'!F437</f>
        <v>Xem kết quả AI soát xét cấp cơ sở</v>
      </c>
      <c r="H437" s="4" t="str">
        <f>'FSL Source'!G437</f>
        <v>Hiển thị kết quả theo tiêu chí đạt/chưa đạt/cần lưu ý; cảnh báo thiếu hồ sơ, sai lệch dữ liệu, chưa đủ căn cứ.</v>
      </c>
      <c r="I437" s="3" t="str">
        <f>'FSL Source'!H437</f>
        <v>Chuyên viên/Chuyên quản</v>
      </c>
      <c r="J437" s="3" t="str">
        <f>'FSL Source'!I437</f>
        <v>AI hỗ trợ</v>
      </c>
      <c r="K437" s="3" t="str">
        <f>'FSL Source'!J437</f>
        <v>RD01.01, RD02.01</v>
      </c>
      <c r="L437" s="3" t="str">
        <f>'FSL Source'!K437</f>
        <v>CAP-21</v>
      </c>
      <c r="M437" s="3" t="str">
        <f>'FSL Source'!L437</f>
        <v>Could</v>
      </c>
      <c r="N437" s="3" t="str">
        <f>'FSL Source'!M437</f>
        <v>Pha 3</v>
      </c>
      <c r="O437" s="3" t="str">
        <f>'FSL Source'!N437</f>
        <v>Cần xác nhận</v>
      </c>
      <c r="P437" s="4" t="str">
        <f>'FSL Source'!O437</f>
        <v>Bổ sung theo CAP-21/VHT_AIAgnet</v>
      </c>
      <c r="Q437" s="4" t="str">
        <f>'FSL Source'!P437</f>
        <v>Phạm vi tùy chọn; chờ chốt A7. Áp dụng AI-AC-01…AI-AC-07 nếu được duyệt. Hiển thị cấu trúc gồm tiêu chí, trạng thái, mức cảnh báo, gợi ý, căn cứ và trạng thái xác nhận.</v>
      </c>
      <c r="R437" s="4" t="str">
        <f>'FSL Source'!Q437</f>
        <v>REQ-067</v>
      </c>
      <c r="S437" s="3"/>
      <c r="T437" s="3"/>
      <c r="U437" s="8"/>
      <c r="V437" s="8"/>
      <c r="W437" s="9"/>
      <c r="X437" s="9" t="str">
        <f t="shared" si="6"/>
        <v/>
      </c>
      <c r="Y437" s="3" t="s">
        <v>1860</v>
      </c>
      <c r="Z437" s="10">
        <v>0</v>
      </c>
      <c r="AA437" s="4"/>
    </row>
    <row r="438" spans="1:27" ht="51">
      <c r="A438" s="3" t="str">
        <f>B438&amp;"."&amp;TEXT(COUNTIF($B$5:B438,B438),"000")</f>
        <v>1.19.02.004</v>
      </c>
      <c r="B438" s="3" t="str">
        <f>IFERROR(INDEX('Work Packages'!$A$5:$A$200,MATCH(D438&amp;"|"&amp;E438,'Work Packages'!$P$5:$P$200,0)),"")</f>
        <v>1.19.02</v>
      </c>
      <c r="C438" s="3" t="str">
        <f>'FSL Source'!B438</f>
        <v>AIA-REV1-004</v>
      </c>
      <c r="D438" s="3" t="str">
        <f>'FSL Source'!C438</f>
        <v>Trợ lý AI hỗ trợ nghiệp vụ</v>
      </c>
      <c r="E438" s="3" t="str">
        <f>'FSL Source'!D438</f>
        <v>AI xét duyệt cấp cơ sở</v>
      </c>
      <c r="F438" s="4" t="str">
        <f>'FSL Source'!E438</f>
        <v>Human-in-the-loop</v>
      </c>
      <c r="G438" s="4" t="str">
        <f>'FSL Source'!F438</f>
        <v>Xác nhận/chỉnh sửa phản hồi AI cấp cơ sở</v>
      </c>
      <c r="H438" s="4" t="str">
        <f>'FSL Source'!G438</f>
        <v>Chuyên viên xác nhận, bác bỏ hoặc chỉnh sửa nhận xét AI; lưu feedback phục vụ cải thiện checklist/skill.</v>
      </c>
      <c r="I438" s="3" t="str">
        <f>'FSL Source'!H438</f>
        <v>Chuyên viên/Chuyên quản</v>
      </c>
      <c r="J438" s="3" t="str">
        <f>'FSL Source'!I438</f>
        <v>AI hỗ trợ</v>
      </c>
      <c r="K438" s="3" t="str">
        <f>'FSL Source'!J438</f>
        <v>RD01.01, RD02.01</v>
      </c>
      <c r="L438" s="3" t="str">
        <f>'FSL Source'!K438</f>
        <v>CAP-21</v>
      </c>
      <c r="M438" s="3" t="str">
        <f>'FSL Source'!L438</f>
        <v>Could</v>
      </c>
      <c r="N438" s="3" t="str">
        <f>'FSL Source'!M438</f>
        <v>Pha 3</v>
      </c>
      <c r="O438" s="3" t="str">
        <f>'FSL Source'!N438</f>
        <v>Cần xác nhận</v>
      </c>
      <c r="P438" s="4" t="str">
        <f>'FSL Source'!O438</f>
        <v>Bổ sung theo CAP-21/VHT_AIAgnet</v>
      </c>
      <c r="Q438" s="4" t="str">
        <f>'FSL Source'!P438</f>
        <v>Phạm vi tùy chọn; chờ chốt A7. Áp dụng AI-AC-01…AI-AC-07 nếu được duyệt. Lưu bất biến kết quả gốc, quyết định, nội dung sau sửa, người/thời điểm và phiên bản mô hình/checklist.</v>
      </c>
      <c r="R438" s="4" t="str">
        <f>'FSL Source'!Q438</f>
        <v>REQ-068</v>
      </c>
      <c r="S438" s="3"/>
      <c r="T438" s="3"/>
      <c r="U438" s="8"/>
      <c r="V438" s="8"/>
      <c r="W438" s="9"/>
      <c r="X438" s="9" t="str">
        <f t="shared" si="6"/>
        <v/>
      </c>
      <c r="Y438" s="3" t="s">
        <v>1860</v>
      </c>
      <c r="Z438" s="10">
        <v>0</v>
      </c>
      <c r="AA438" s="4"/>
    </row>
    <row r="439" spans="1:27" ht="51">
      <c r="A439" s="3" t="str">
        <f>B439&amp;"."&amp;TEXT(COUNTIF($B$5:B439,B439),"000")</f>
        <v>1.19.03.001</v>
      </c>
      <c r="B439" s="3" t="str">
        <f>IFERROR(INDEX('Work Packages'!$A$5:$A$200,MATCH(D439&amp;"|"&amp;E439,'Work Packages'!$P$5:$P$200,0)),"")</f>
        <v>1.19.03</v>
      </c>
      <c r="C439" s="3" t="str">
        <f>'FSL Source'!B439</f>
        <v>AIA-REV2-001</v>
      </c>
      <c r="D439" s="3" t="str">
        <f>'FSL Source'!C439</f>
        <v>Trợ lý AI hỗ trợ nghiệp vụ</v>
      </c>
      <c r="E439" s="3" t="str">
        <f>'FSL Source'!D439</f>
        <v>AI xét duyệt cấp Tập đoàn</v>
      </c>
      <c r="F439" s="4" t="str">
        <f>'FSL Source'!E439</f>
        <v>Soát xét</v>
      </c>
      <c r="G439" s="4" t="str">
        <f>'FSL Source'!F439</f>
        <v>AI soát xét hồ sơ xét duyệt cấp Tập đoàn</v>
      </c>
      <c r="H439" s="4" t="str">
        <f>'FSL Source'!G439</f>
        <v>Đọc hồ sơ cấp Tập đoàn, đối chiếu checklist về hồ sơ, thuyết minh, dự toán, nhân sự, mua sắm, sản phẩm, căn cứ pháp lý.</v>
      </c>
      <c r="I439" s="3" t="str">
        <f>'FSL Source'!H439</f>
        <v>Chuyên quản</v>
      </c>
      <c r="J439" s="3" t="str">
        <f>'FSL Source'!I439</f>
        <v>AI hỗ trợ</v>
      </c>
      <c r="K439" s="3" t="str">
        <f>'FSL Source'!J439</f>
        <v>RD01.02, RD02.02</v>
      </c>
      <c r="L439" s="3" t="str">
        <f>'FSL Source'!K439</f>
        <v>CAP-21</v>
      </c>
      <c r="M439" s="3" t="str">
        <f>'FSL Source'!L439</f>
        <v>Could</v>
      </c>
      <c r="N439" s="3" t="str">
        <f>'FSL Source'!M439</f>
        <v>Pha 3</v>
      </c>
      <c r="O439" s="3" t="str">
        <f>'FSL Source'!N439</f>
        <v>Cần xác nhận</v>
      </c>
      <c r="P439" s="4" t="str">
        <f>'FSL Source'!O439</f>
        <v>Bổ sung theo CAP-21/VHT_AIAgnet</v>
      </c>
      <c r="Q439" s="4" t="str">
        <f>'FSL Source'!P439</f>
        <v>Phạm vi tùy chọn; chờ chốt A7. Áp dụng AI-AC-01…AI-AC-07 nếu được duyệt. Kết quả theo từng tiêu chí đạt/chưa đạt/cần lưu ý và truy được phiên bản checklist.</v>
      </c>
      <c r="R439" s="4" t="str">
        <f>'FSL Source'!Q439</f>
        <v>REQ-065</v>
      </c>
      <c r="S439" s="3"/>
      <c r="T439" s="3"/>
      <c r="U439" s="8"/>
      <c r="V439" s="8"/>
      <c r="W439" s="9"/>
      <c r="X439" s="9" t="str">
        <f t="shared" si="6"/>
        <v/>
      </c>
      <c r="Y439" s="3" t="s">
        <v>1860</v>
      </c>
      <c r="Z439" s="10">
        <v>0</v>
      </c>
      <c r="AA439" s="4"/>
    </row>
    <row r="440" spans="1:27" ht="51">
      <c r="A440" s="3" t="str">
        <f>B440&amp;"."&amp;TEXT(COUNTIF($B$5:B440,B440),"000")</f>
        <v>1.19.03.002</v>
      </c>
      <c r="B440" s="3" t="str">
        <f>IFERROR(INDEX('Work Packages'!$A$5:$A$200,MATCH(D440&amp;"|"&amp;E440,'Work Packages'!$P$5:$P$200,0)),"")</f>
        <v>1.19.03</v>
      </c>
      <c r="C440" s="3" t="str">
        <f>'FSL Source'!B440</f>
        <v>AIA-REV2-002</v>
      </c>
      <c r="D440" s="3" t="str">
        <f>'FSL Source'!C440</f>
        <v>Trợ lý AI hỗ trợ nghiệp vụ</v>
      </c>
      <c r="E440" s="3" t="str">
        <f>'FSL Source'!D440</f>
        <v>AI xét duyệt cấp Tập đoàn</v>
      </c>
      <c r="F440" s="4" t="str">
        <f>'FSL Source'!E440</f>
        <v>Kết quả</v>
      </c>
      <c r="G440" s="4" t="str">
        <f>'FSL Source'!F440</f>
        <v>Xem kết quả AI soát xét cấp Tập đoàn</v>
      </c>
      <c r="H440" s="4" t="str">
        <f>'FSL Source'!G440</f>
        <v>Hiển thị kết quả theo tiêu chí; cảnh báo thiếu/sai lệch hồ sơ; đề xuất bổ sung hoặc lưu ý thẩm định trước khi trình.</v>
      </c>
      <c r="I440" s="3" t="str">
        <f>'FSL Source'!H440</f>
        <v>Chuyên quản</v>
      </c>
      <c r="J440" s="3" t="str">
        <f>'FSL Source'!I440</f>
        <v>AI hỗ trợ</v>
      </c>
      <c r="K440" s="3" t="str">
        <f>'FSL Source'!J440</f>
        <v>RD01.02, RD02.02</v>
      </c>
      <c r="L440" s="3" t="str">
        <f>'FSL Source'!K440</f>
        <v>CAP-21</v>
      </c>
      <c r="M440" s="3" t="str">
        <f>'FSL Source'!L440</f>
        <v>Could</v>
      </c>
      <c r="N440" s="3" t="str">
        <f>'FSL Source'!M440</f>
        <v>Pha 3</v>
      </c>
      <c r="O440" s="3" t="str">
        <f>'FSL Source'!N440</f>
        <v>Cần xác nhận</v>
      </c>
      <c r="P440" s="4" t="str">
        <f>'FSL Source'!O440</f>
        <v>Bổ sung theo CAP-21/VHT_AIAgnet</v>
      </c>
      <c r="Q440" s="4" t="str">
        <f>'FSL Source'!P440</f>
        <v>Phạm vi tùy chọn; chờ chốt A7. Áp dụng AI-AC-01…AI-AC-07 nếu được duyệt. Hiển thị cấu trúc gồm tiêu chí, trạng thái, mức cảnh báo, gợi ý, căn cứ và trạng thái xác nhận.</v>
      </c>
      <c r="R440" s="4" t="str">
        <f>'FSL Source'!Q440</f>
        <v>REQ-067</v>
      </c>
      <c r="S440" s="3"/>
      <c r="T440" s="3"/>
      <c r="U440" s="8"/>
      <c r="V440" s="8"/>
      <c r="W440" s="9"/>
      <c r="X440" s="9" t="str">
        <f t="shared" si="6"/>
        <v/>
      </c>
      <c r="Y440" s="3" t="s">
        <v>1860</v>
      </c>
      <c r="Z440" s="10">
        <v>0</v>
      </c>
      <c r="AA440" s="4"/>
    </row>
    <row r="441" spans="1:27" ht="51">
      <c r="A441" s="3" t="str">
        <f>B441&amp;"."&amp;TEXT(COUNTIF($B$5:B441,B441),"000")</f>
        <v>1.19.03.003</v>
      </c>
      <c r="B441" s="3" t="str">
        <f>IFERROR(INDEX('Work Packages'!$A$5:$A$200,MATCH(D441&amp;"|"&amp;E441,'Work Packages'!$P$5:$P$200,0)),"")</f>
        <v>1.19.03</v>
      </c>
      <c r="C441" s="3" t="str">
        <f>'FSL Source'!B441</f>
        <v>AIA-REV2-003</v>
      </c>
      <c r="D441" s="3" t="str">
        <f>'FSL Source'!C441</f>
        <v>Trợ lý AI hỗ trợ nghiệp vụ</v>
      </c>
      <c r="E441" s="3" t="str">
        <f>'FSL Source'!D441</f>
        <v>AI xét duyệt cấp Tập đoàn</v>
      </c>
      <c r="F441" s="4" t="str">
        <f>'FSL Source'!E441</f>
        <v>Human-in-the-loop</v>
      </c>
      <c r="G441" s="4" t="str">
        <f>'FSL Source'!F441</f>
        <v>Xác nhận/chỉnh sửa phản hồi AI cấp Tập đoàn</v>
      </c>
      <c r="H441" s="4" t="str">
        <f>'FSL Source'!G441</f>
        <v>Chuyên quản xác nhận, chỉnh sửa hoặc bác bỏ kết quả AI; lưu feedback phục vụ checklist/skill.</v>
      </c>
      <c r="I441" s="3" t="str">
        <f>'FSL Source'!H441</f>
        <v>Chuyên quản</v>
      </c>
      <c r="J441" s="3" t="str">
        <f>'FSL Source'!I441</f>
        <v>AI hỗ trợ</v>
      </c>
      <c r="K441" s="3" t="str">
        <f>'FSL Source'!J441</f>
        <v>RD01.02, RD02.02</v>
      </c>
      <c r="L441" s="3" t="str">
        <f>'FSL Source'!K441</f>
        <v>CAP-21</v>
      </c>
      <c r="M441" s="3" t="str">
        <f>'FSL Source'!L441</f>
        <v>Could</v>
      </c>
      <c r="N441" s="3" t="str">
        <f>'FSL Source'!M441</f>
        <v>Pha 3</v>
      </c>
      <c r="O441" s="3" t="str">
        <f>'FSL Source'!N441</f>
        <v>Cần xác nhận</v>
      </c>
      <c r="P441" s="4" t="str">
        <f>'FSL Source'!O441</f>
        <v>Bổ sung theo CAP-21/VHT_AIAgnet</v>
      </c>
      <c r="Q441" s="4" t="str">
        <f>'FSL Source'!P441</f>
        <v>Phạm vi tùy chọn; chờ chốt A7. Áp dụng AI-AC-01…AI-AC-07 nếu được duyệt. Lưu bất biến kết quả gốc, quyết định, nội dung sau sửa, người/thời điểm và phiên bản mô hình/checklist.</v>
      </c>
      <c r="R441" s="4" t="str">
        <f>'FSL Source'!Q441</f>
        <v>REQ-068</v>
      </c>
      <c r="S441" s="3"/>
      <c r="T441" s="3"/>
      <c r="U441" s="8"/>
      <c r="V441" s="8"/>
      <c r="W441" s="9"/>
      <c r="X441" s="9" t="str">
        <f t="shared" si="6"/>
        <v/>
      </c>
      <c r="Y441" s="3" t="s">
        <v>1860</v>
      </c>
      <c r="Z441" s="10">
        <v>0</v>
      </c>
      <c r="AA441" s="4"/>
    </row>
    <row r="442" spans="1:27" ht="76.5">
      <c r="A442" s="3" t="str">
        <f>B442&amp;"."&amp;TEXT(COUNTIF($B$5:B442,B442),"000")</f>
        <v>1.19.04.001</v>
      </c>
      <c r="B442" s="3" t="str">
        <f>IFERROR(INDEX('Work Packages'!$A$5:$A$200,MATCH(D442&amp;"|"&amp;E442,'Work Packages'!$P$5:$P$200,0)),"")</f>
        <v>1.19.04</v>
      </c>
      <c r="C442" s="3" t="str">
        <f>'FSL Source'!B442</f>
        <v>AIA-ADJ-001</v>
      </c>
      <c r="D442" s="3" t="str">
        <f>'FSL Source'!C442</f>
        <v>Trợ lý AI hỗ trợ nghiệp vụ</v>
      </c>
      <c r="E442" s="3" t="str">
        <f>'FSL Source'!D442</f>
        <v>AI điều chỉnh nhiệm vụ</v>
      </c>
      <c r="F442" s="4" t="str">
        <f>'FSL Source'!E442</f>
        <v>Soát xét</v>
      </c>
      <c r="G442" s="4" t="str">
        <f>'FSL Source'!F442</f>
        <v>AI soát xét hồ sơ điều chỉnh</v>
      </c>
      <c r="H442" s="4" t="str">
        <f>'FSL Source'!G442</f>
        <v>Đọc hồ sơ/eForm/tài liệu, đối chiếu checklist theo loại điều chỉnh; phát hiện thiếu hồ sơ, sai lệch dữ liệu, vượt điều kiện điều chỉnh.</v>
      </c>
      <c r="I442" s="3" t="str">
        <f>'FSL Source'!H442</f>
        <v>Chuyên viên</v>
      </c>
      <c r="J442" s="3" t="str">
        <f>'FSL Source'!I442</f>
        <v>AI hỗ trợ</v>
      </c>
      <c r="K442" s="3" t="str">
        <f>'FSL Source'!J442</f>
        <v>RD04</v>
      </c>
      <c r="L442" s="3" t="str">
        <f>'FSL Source'!K442</f>
        <v>CAP-21</v>
      </c>
      <c r="M442" s="3" t="str">
        <f>'FSL Source'!L442</f>
        <v>Could</v>
      </c>
      <c r="N442" s="3" t="str">
        <f>'FSL Source'!M442</f>
        <v>Pha 3</v>
      </c>
      <c r="O442" s="3" t="str">
        <f>'FSL Source'!N442</f>
        <v>Cần xác nhận</v>
      </c>
      <c r="P442" s="4" t="str">
        <f>'FSL Source'!O442</f>
        <v>Bổ sung theo CAP-21/VHT_AIAgnet</v>
      </c>
      <c r="Q442" s="4" t="str">
        <f>'FSL Source'!P442</f>
        <v>Phạm vi tùy chọn; chờ chốt A7. Áp dụng AI-AC-01…AI-AC-07 nếu được duyệt. Kết quả theo từng tiêu chí đạt/chưa đạt/cần lưu ý và truy được phiên bản checklist. Cảnh báo có loại, mức độ, dữ liệu so sánh và lý do; không tự chặn/chuyển bước.</v>
      </c>
      <c r="R442" s="4" t="str">
        <f>'FSL Source'!Q442</f>
        <v>REQ-065; REQ-066</v>
      </c>
      <c r="S442" s="3"/>
      <c r="T442" s="3"/>
      <c r="U442" s="8"/>
      <c r="V442" s="8"/>
      <c r="W442" s="9"/>
      <c r="X442" s="9" t="str">
        <f t="shared" si="6"/>
        <v/>
      </c>
      <c r="Y442" s="3" t="s">
        <v>1860</v>
      </c>
      <c r="Z442" s="10">
        <v>0</v>
      </c>
      <c r="AA442" s="4"/>
    </row>
    <row r="443" spans="1:27" ht="76.5">
      <c r="A443" s="3" t="str">
        <f>B443&amp;"."&amp;TEXT(COUNTIF($B$5:B443,B443),"000")</f>
        <v>1.19.04.002</v>
      </c>
      <c r="B443" s="3" t="str">
        <f>IFERROR(INDEX('Work Packages'!$A$5:$A$200,MATCH(D443&amp;"|"&amp;E443,'Work Packages'!$P$5:$P$200,0)),"")</f>
        <v>1.19.04</v>
      </c>
      <c r="C443" s="3" t="str">
        <f>'FSL Source'!B443</f>
        <v>AIA-ADJ-002</v>
      </c>
      <c r="D443" s="3" t="str">
        <f>'FSL Source'!C443</f>
        <v>Trợ lý AI hỗ trợ nghiệp vụ</v>
      </c>
      <c r="E443" s="3" t="str">
        <f>'FSL Source'!D443</f>
        <v>AI điều chỉnh nhiệm vụ</v>
      </c>
      <c r="F443" s="4" t="str">
        <f>'FSL Source'!E443</f>
        <v>Kết quả</v>
      </c>
      <c r="G443" s="4" t="str">
        <f>'FSL Source'!F443</f>
        <v>Xem kết quả AI soát xét điều chỉnh</v>
      </c>
      <c r="H443" s="4" t="str">
        <f>'FSL Source'!G443</f>
        <v>Hiển thị kết quả theo loại cảnh báo, điều kiện đạt/chưa đạt và dữ liệu chênh lệch trước/sau điều chỉnh.</v>
      </c>
      <c r="I443" s="3" t="str">
        <f>'FSL Source'!H443</f>
        <v>Chuyên viên</v>
      </c>
      <c r="J443" s="3" t="str">
        <f>'FSL Source'!I443</f>
        <v>AI hỗ trợ</v>
      </c>
      <c r="K443" s="3" t="str">
        <f>'FSL Source'!J443</f>
        <v>RD04</v>
      </c>
      <c r="L443" s="3" t="str">
        <f>'FSL Source'!K443</f>
        <v>CAP-21</v>
      </c>
      <c r="M443" s="3" t="str">
        <f>'FSL Source'!L443</f>
        <v>Could</v>
      </c>
      <c r="N443" s="3" t="str">
        <f>'FSL Source'!M443</f>
        <v>Pha 3</v>
      </c>
      <c r="O443" s="3" t="str">
        <f>'FSL Source'!N443</f>
        <v>Cần xác nhận</v>
      </c>
      <c r="P443" s="4" t="str">
        <f>'FSL Source'!O443</f>
        <v>Bổ sung theo CAP-21/VHT_AIAgnet</v>
      </c>
      <c r="Q443" s="4" t="str">
        <f>'FSL Source'!P443</f>
        <v>Phạm vi tùy chọn; chờ chốt A7. Áp dụng AI-AC-01…AI-AC-07 nếu được duyệt. Cảnh báo có loại, mức độ, dữ liệu so sánh và lý do; không tự chặn/chuyển bước. Hiển thị cấu trúc gồm tiêu chí, trạng thái, mức cảnh báo, gợi ý, căn cứ và trạng thái xác nhận.</v>
      </c>
      <c r="R443" s="4" t="str">
        <f>'FSL Source'!Q443</f>
        <v>REQ-067; REQ-066</v>
      </c>
      <c r="S443" s="3"/>
      <c r="T443" s="3"/>
      <c r="U443" s="8"/>
      <c r="V443" s="8"/>
      <c r="W443" s="9"/>
      <c r="X443" s="9" t="str">
        <f t="shared" si="6"/>
        <v/>
      </c>
      <c r="Y443" s="3" t="s">
        <v>1860</v>
      </c>
      <c r="Z443" s="10">
        <v>0</v>
      </c>
      <c r="AA443" s="4"/>
    </row>
    <row r="444" spans="1:27" ht="51">
      <c r="A444" s="3" t="str">
        <f>B444&amp;"."&amp;TEXT(COUNTIF($B$5:B444,B444),"000")</f>
        <v>1.19.04.003</v>
      </c>
      <c r="B444" s="3" t="str">
        <f>IFERROR(INDEX('Work Packages'!$A$5:$A$200,MATCH(D444&amp;"|"&amp;E444,'Work Packages'!$P$5:$P$200,0)),"")</f>
        <v>1.19.04</v>
      </c>
      <c r="C444" s="3" t="str">
        <f>'FSL Source'!B444</f>
        <v>AIA-ADJ-003</v>
      </c>
      <c r="D444" s="3" t="str">
        <f>'FSL Source'!C444</f>
        <v>Trợ lý AI hỗ trợ nghiệp vụ</v>
      </c>
      <c r="E444" s="3" t="str">
        <f>'FSL Source'!D444</f>
        <v>AI điều chỉnh nhiệm vụ</v>
      </c>
      <c r="F444" s="4" t="str">
        <f>'FSL Source'!E444</f>
        <v>Human-in-the-loop</v>
      </c>
      <c r="G444" s="4" t="str">
        <f>'FSL Source'!F444</f>
        <v>Xác nhận/chỉnh sửa kết quả AI điều chỉnh</v>
      </c>
      <c r="H444" s="4" t="str">
        <f>'FSL Source'!G444</f>
        <v>Chuyên viên xác nhận, chỉnh sửa hoặc bác bỏ kết quả AI; lưu feedback phục vụ checklist/skill.</v>
      </c>
      <c r="I444" s="3" t="str">
        <f>'FSL Source'!H444</f>
        <v>Chuyên viên</v>
      </c>
      <c r="J444" s="3" t="str">
        <f>'FSL Source'!I444</f>
        <v>AI hỗ trợ</v>
      </c>
      <c r="K444" s="3" t="str">
        <f>'FSL Source'!J444</f>
        <v>RD04</v>
      </c>
      <c r="L444" s="3" t="str">
        <f>'FSL Source'!K444</f>
        <v>CAP-21</v>
      </c>
      <c r="M444" s="3" t="str">
        <f>'FSL Source'!L444</f>
        <v>Could</v>
      </c>
      <c r="N444" s="3" t="str">
        <f>'FSL Source'!M444</f>
        <v>Pha 3</v>
      </c>
      <c r="O444" s="3" t="str">
        <f>'FSL Source'!N444</f>
        <v>Cần xác nhận</v>
      </c>
      <c r="P444" s="4" t="str">
        <f>'FSL Source'!O444</f>
        <v>Bổ sung theo CAP-21/VHT_AIAgnet</v>
      </c>
      <c r="Q444" s="4" t="str">
        <f>'FSL Source'!P444</f>
        <v>Phạm vi tùy chọn; chờ chốt A7. Áp dụng AI-AC-01…AI-AC-07 nếu được duyệt. Lưu bất biến kết quả gốc, quyết định, nội dung sau sửa, người/thời điểm và phiên bản mô hình/checklist.</v>
      </c>
      <c r="R444" s="4" t="str">
        <f>'FSL Source'!Q444</f>
        <v>REQ-068</v>
      </c>
      <c r="S444" s="3"/>
      <c r="T444" s="3"/>
      <c r="U444" s="8"/>
      <c r="V444" s="8"/>
      <c r="W444" s="9"/>
      <c r="X444" s="9" t="str">
        <f t="shared" si="6"/>
        <v/>
      </c>
      <c r="Y444" s="3" t="s">
        <v>1860</v>
      </c>
      <c r="Z444" s="10">
        <v>0</v>
      </c>
      <c r="AA444" s="4"/>
    </row>
    <row r="445" spans="1:27" ht="51">
      <c r="A445" s="3" t="str">
        <f>B445&amp;"."&amp;TEXT(COUNTIF($B$5:B445,B445),"000")</f>
        <v>1.19.05.001</v>
      </c>
      <c r="B445" s="3" t="str">
        <f>IFERROR(INDEX('Work Packages'!$A$5:$A$200,MATCH(D445&amp;"|"&amp;E445,'Work Packages'!$P$5:$P$200,0)),"")</f>
        <v>1.19.05</v>
      </c>
      <c r="C445" s="3" t="str">
        <f>'FSL Source'!B445</f>
        <v>AIA-EXE-001</v>
      </c>
      <c r="D445" s="3" t="str">
        <f>'FSL Source'!C445</f>
        <v>Trợ lý AI hỗ trợ nghiệp vụ</v>
      </c>
      <c r="E445" s="3" t="str">
        <f>'FSL Source'!D445</f>
        <v>AI theo dõi thực hiện</v>
      </c>
      <c r="F445" s="4" t="str">
        <f>'FSL Source'!E445</f>
        <v>Cảnh báo rủi ro</v>
      </c>
      <c r="G445" s="4" t="str">
        <f>'FSL Source'!F445</f>
        <v>AI phát hiện rủi ro chậm tiến độ/vượt chi phí</v>
      </c>
      <c r="H445" s="4" t="str">
        <f>'FSL Source'!G445</f>
        <v>Phân tích tiến độ, chi phí, mua sắm, tài liệu để cảnh báo nguy cơ chậm tiến độ, thiếu dữ liệu hoặc vượt dự toán; phụ thuộc dữ liệu tích hợp Pha 2.</v>
      </c>
      <c r="I445" s="3" t="str">
        <f>'FSL Source'!H445</f>
        <v>Chủ nhiệm/Cán bộ KHCN</v>
      </c>
      <c r="J445" s="3" t="str">
        <f>'FSL Source'!I445</f>
        <v>AI hỗ trợ</v>
      </c>
      <c r="K445" s="3" t="str">
        <f>'FSL Source'!J445</f>
        <v>RD03</v>
      </c>
      <c r="L445" s="3" t="str">
        <f>'FSL Source'!K445</f>
        <v>CAP-21</v>
      </c>
      <c r="M445" s="3" t="str">
        <f>'FSL Source'!L445</f>
        <v>Could</v>
      </c>
      <c r="N445" s="3" t="str">
        <f>'FSL Source'!M445</f>
        <v>Pha 3</v>
      </c>
      <c r="O445" s="3" t="str">
        <f>'FSL Source'!N445</f>
        <v>Cần xác nhận</v>
      </c>
      <c r="P445" s="4" t="str">
        <f>'FSL Source'!O445</f>
        <v>Bổ sung theo CAP-21/VHT_AIAgnet</v>
      </c>
      <c r="Q445" s="4" t="str">
        <f>'FSL Source'!P445</f>
        <v>Phạm vi tùy chọn; chờ chốt A7. Áp dụng AI-AC-01…AI-AC-07 nếu được duyệt. Cảnh báo có loại, mức độ, dữ liệu so sánh và lý do; không tự chặn/chuyển bước.</v>
      </c>
      <c r="R445" s="4" t="str">
        <f>'FSL Source'!Q445</f>
        <v>REQ-066</v>
      </c>
      <c r="S445" s="3"/>
      <c r="T445" s="3"/>
      <c r="U445" s="8"/>
      <c r="V445" s="8"/>
      <c r="W445" s="9"/>
      <c r="X445" s="9" t="str">
        <f t="shared" si="6"/>
        <v/>
      </c>
      <c r="Y445" s="3" t="s">
        <v>1860</v>
      </c>
      <c r="Z445" s="10">
        <v>0</v>
      </c>
      <c r="AA445" s="4"/>
    </row>
    <row r="446" spans="1:27" ht="51">
      <c r="A446" s="3" t="str">
        <f>B446&amp;"."&amp;TEXT(COUNTIF($B$5:B446,B446),"000")</f>
        <v>1.19.05.002</v>
      </c>
      <c r="B446" s="3" t="str">
        <f>IFERROR(INDEX('Work Packages'!$A$5:$A$200,MATCH(D446&amp;"|"&amp;E446,'Work Packages'!$P$5:$P$200,0)),"")</f>
        <v>1.19.05</v>
      </c>
      <c r="C446" s="3" t="str">
        <f>'FSL Source'!B446</f>
        <v>AIA-EXE-002</v>
      </c>
      <c r="D446" s="3" t="str">
        <f>'FSL Source'!C446</f>
        <v>Trợ lý AI hỗ trợ nghiệp vụ</v>
      </c>
      <c r="E446" s="3" t="str">
        <f>'FSL Source'!D446</f>
        <v>AI theo dõi thực hiện</v>
      </c>
      <c r="F446" s="4" t="str">
        <f>'FSL Source'!E446</f>
        <v>Gợi ý nội dung</v>
      </c>
      <c r="G446" s="4" t="str">
        <f>'FSL Source'!F446</f>
        <v>AI gợi ý nội dung cập nhật tiến độ/vướng mắc</v>
      </c>
      <c r="H446" s="4" t="str">
        <f>'FSL Source'!G446</f>
        <v>Tổng hợp dữ liệu thực hiện để gợi ý nội dung cập nhật tiến độ, vướng mắc, kiến nghị cho người phụ trách kiểm tra.</v>
      </c>
      <c r="I446" s="3" t="str">
        <f>'FSL Source'!H446</f>
        <v>Chủ nhiệm/Cán bộ KHCN</v>
      </c>
      <c r="J446" s="3" t="str">
        <f>'FSL Source'!I446</f>
        <v>AI hỗ trợ</v>
      </c>
      <c r="K446" s="3" t="str">
        <f>'FSL Source'!J446</f>
        <v>RD03.06</v>
      </c>
      <c r="L446" s="3" t="str">
        <f>'FSL Source'!K446</f>
        <v>CAP-21</v>
      </c>
      <c r="M446" s="3" t="str">
        <f>'FSL Source'!L446</f>
        <v>Could</v>
      </c>
      <c r="N446" s="3" t="str">
        <f>'FSL Source'!M446</f>
        <v>Pha 3</v>
      </c>
      <c r="O446" s="3" t="str">
        <f>'FSL Source'!N446</f>
        <v>Cần xác nhận</v>
      </c>
      <c r="P446" s="4" t="str">
        <f>'FSL Source'!O446</f>
        <v>Bổ sung theo CAP-21/VHT_AIAgnet</v>
      </c>
      <c r="Q446" s="4" t="str">
        <f>'FSL Source'!P446</f>
        <v>Phạm vi tùy chọn; chờ chốt A7. Áp dụng AI-AC-01…AI-AC-07 nếu được duyệt. Gợi ý tách biệt với dữ liệu đã xác nhận, có căn cứ và chỉ được ghi sau khi người dùng xác nhận.</v>
      </c>
      <c r="R446" s="4" t="str">
        <f>'FSL Source'!Q446</f>
        <v>REQ-064</v>
      </c>
      <c r="S446" s="3"/>
      <c r="T446" s="3"/>
      <c r="U446" s="8"/>
      <c r="V446" s="8"/>
      <c r="W446" s="9"/>
      <c r="X446" s="9" t="str">
        <f t="shared" si="6"/>
        <v/>
      </c>
      <c r="Y446" s="3" t="s">
        <v>1860</v>
      </c>
      <c r="Z446" s="10">
        <v>0</v>
      </c>
      <c r="AA446" s="4"/>
    </row>
    <row r="447" spans="1:27" ht="51">
      <c r="A447" s="3" t="str">
        <f>B447&amp;"."&amp;TEXT(COUNTIF($B$5:B447,B447),"000")</f>
        <v>1.19.05.003</v>
      </c>
      <c r="B447" s="3" t="str">
        <f>IFERROR(INDEX('Work Packages'!$A$5:$A$200,MATCH(D447&amp;"|"&amp;E447,'Work Packages'!$P$5:$P$200,0)),"")</f>
        <v>1.19.05</v>
      </c>
      <c r="C447" s="3" t="str">
        <f>'FSL Source'!B447</f>
        <v>AIA-EXE-003</v>
      </c>
      <c r="D447" s="3" t="str">
        <f>'FSL Source'!C447</f>
        <v>Trợ lý AI hỗ trợ nghiệp vụ</v>
      </c>
      <c r="E447" s="3" t="str">
        <f>'FSL Source'!D447</f>
        <v>AI theo dõi thực hiện</v>
      </c>
      <c r="F447" s="4" t="str">
        <f>'FSL Source'!E447</f>
        <v>Human-in-the-loop</v>
      </c>
      <c r="G447" s="4" t="str">
        <f>'FSL Source'!F447</f>
        <v>Xác nhận/chỉnh sửa cảnh báo AI thực hiện</v>
      </c>
      <c r="H447" s="4" t="str">
        <f>'FSL Source'!G447</f>
        <v>Chuyên viên xác nhận, bác bỏ hoặc chỉnh sửa cảnh báo/gợi ý AI; lưu feedback phục vụ cải thiện skill/checklist.</v>
      </c>
      <c r="I447" s="3" t="str">
        <f>'FSL Source'!H447</f>
        <v>Chủ nhiệm/Cán bộ KHCN</v>
      </c>
      <c r="J447" s="3" t="str">
        <f>'FSL Source'!I447</f>
        <v>AI hỗ trợ</v>
      </c>
      <c r="K447" s="3" t="str">
        <f>'FSL Source'!J447</f>
        <v>RD03</v>
      </c>
      <c r="L447" s="3" t="str">
        <f>'FSL Source'!K447</f>
        <v>CAP-21</v>
      </c>
      <c r="M447" s="3" t="str">
        <f>'FSL Source'!L447</f>
        <v>Could</v>
      </c>
      <c r="N447" s="3" t="str">
        <f>'FSL Source'!M447</f>
        <v>Pha 3</v>
      </c>
      <c r="O447" s="3" t="str">
        <f>'FSL Source'!N447</f>
        <v>Cần xác nhận</v>
      </c>
      <c r="P447" s="4" t="str">
        <f>'FSL Source'!O447</f>
        <v>Bổ sung theo CAP-21/VHT_AIAgnet</v>
      </c>
      <c r="Q447" s="4" t="str">
        <f>'FSL Source'!P447</f>
        <v>Phạm vi tùy chọn; chờ chốt A7. Áp dụng AI-AC-01…AI-AC-07 nếu được duyệt. Lưu bất biến kết quả gốc, quyết định, nội dung sau sửa, người/thời điểm và phiên bản mô hình/checklist.</v>
      </c>
      <c r="R447" s="4" t="str">
        <f>'FSL Source'!Q447</f>
        <v>REQ-068</v>
      </c>
      <c r="S447" s="3"/>
      <c r="T447" s="3"/>
      <c r="U447" s="8"/>
      <c r="V447" s="8"/>
      <c r="W447" s="9"/>
      <c r="X447" s="9" t="str">
        <f t="shared" si="6"/>
        <v/>
      </c>
      <c r="Y447" s="3" t="s">
        <v>1860</v>
      </c>
      <c r="Z447" s="10">
        <v>0</v>
      </c>
      <c r="AA447" s="4"/>
    </row>
    <row r="448" spans="1:27" ht="51">
      <c r="A448" s="3" t="str">
        <f>B448&amp;"."&amp;TEXT(COUNTIF($B$5:B448,B448),"000")</f>
        <v>1.19.06.001</v>
      </c>
      <c r="B448" s="3" t="str">
        <f>IFERROR(INDEX('Work Packages'!$A$5:$A$200,MATCH(D448&amp;"|"&amp;E448,'Work Packages'!$P$5:$P$200,0)),"")</f>
        <v>1.19.06</v>
      </c>
      <c r="C448" s="3" t="str">
        <f>'FSL Source'!B448</f>
        <v>AIA-PROD-001</v>
      </c>
      <c r="D448" s="3" t="str">
        <f>'FSL Source'!C448</f>
        <v>Trợ lý AI hỗ trợ nghiệp vụ</v>
      </c>
      <c r="E448" s="3" t="str">
        <f>'FSL Source'!D448</f>
        <v>AI sản phẩm nghiên cứu</v>
      </c>
      <c r="F448" s="4" t="str">
        <f>'FSL Source'!E448</f>
        <v>Chuẩn hóa</v>
      </c>
      <c r="G448" s="4" t="str">
        <f>'FSL Source'!F448</f>
        <v>AI gợi ý chuẩn hóa mô tả sản phẩm</v>
      </c>
      <c r="H448" s="4" t="str">
        <f>'FSL Source'!G448</f>
        <v>Đọc hồ sơ nhiệm vụ/nghiệm thu/tài liệu kỹ thuật để gợi ý mô tả sản phẩm, từ khóa, lĩnh vực ứng dụng và nhóm sản phẩm.</v>
      </c>
      <c r="I448" s="3" t="str">
        <f>'FSL Source'!H448</f>
        <v>Cán bộ quản lý sản phẩm</v>
      </c>
      <c r="J448" s="3" t="str">
        <f>'FSL Source'!I448</f>
        <v>AI hỗ trợ</v>
      </c>
      <c r="K448" s="3" t="str">
        <f>'FSL Source'!J448</f>
        <v>RD07</v>
      </c>
      <c r="L448" s="3" t="str">
        <f>'FSL Source'!K448</f>
        <v>CAP-21</v>
      </c>
      <c r="M448" s="3" t="str">
        <f>'FSL Source'!L448</f>
        <v>Could</v>
      </c>
      <c r="N448" s="3" t="str">
        <f>'FSL Source'!M448</f>
        <v>Pha 3</v>
      </c>
      <c r="O448" s="3" t="str">
        <f>'FSL Source'!N448</f>
        <v>Cần xác nhận</v>
      </c>
      <c r="P448" s="4" t="str">
        <f>'FSL Source'!O448</f>
        <v>Bổ sung theo CAP-21/VHT_AIAgnet</v>
      </c>
      <c r="Q448" s="4" t="str">
        <f>'FSL Source'!P448</f>
        <v>Phạm vi tùy chọn; chờ chốt A7. Áp dụng AI-AC-01…AI-AC-07 nếu được duyệt. Gợi ý tách biệt với dữ liệu đã xác nhận, có căn cứ và chỉ được ghi sau khi người dùng xác nhận.</v>
      </c>
      <c r="R448" s="4" t="str">
        <f>'FSL Source'!Q448</f>
        <v>REQ-064</v>
      </c>
      <c r="S448" s="3"/>
      <c r="T448" s="3"/>
      <c r="U448" s="8"/>
      <c r="V448" s="8"/>
      <c r="W448" s="9"/>
      <c r="X448" s="9" t="str">
        <f t="shared" si="6"/>
        <v/>
      </c>
      <c r="Y448" s="3" t="s">
        <v>1860</v>
      </c>
      <c r="Z448" s="10">
        <v>0</v>
      </c>
      <c r="AA448" s="4"/>
    </row>
    <row r="449" spans="1:27" ht="51">
      <c r="A449" s="3" t="str">
        <f>B449&amp;"."&amp;TEXT(COUNTIF($B$5:B449,B449),"000")</f>
        <v>1.19.06.002</v>
      </c>
      <c r="B449" s="3" t="str">
        <f>IFERROR(INDEX('Work Packages'!$A$5:$A$200,MATCH(D449&amp;"|"&amp;E449,'Work Packages'!$P$5:$P$200,0)),"")</f>
        <v>1.19.06</v>
      </c>
      <c r="C449" s="3" t="str">
        <f>'FSL Source'!B449</f>
        <v>AIA-PROD-002</v>
      </c>
      <c r="D449" s="3" t="str">
        <f>'FSL Source'!C449</f>
        <v>Trợ lý AI hỗ trợ nghiệp vụ</v>
      </c>
      <c r="E449" s="3" t="str">
        <f>'FSL Source'!D449</f>
        <v>AI sản phẩm nghiên cứu</v>
      </c>
      <c r="F449" s="4" t="str">
        <f>'FSL Source'!E449</f>
        <v>Chống trùng lặp</v>
      </c>
      <c r="G449" s="4" t="str">
        <f>'FSL Source'!F449</f>
        <v>AI phát hiện trùng/lặp sản phẩm</v>
      </c>
      <c r="H449" s="4" t="str">
        <f>'FSL Source'!G449</f>
        <v>So sánh tên, mô tả, tài liệu và nhiệm vụ nguồn để cảnh báo sản phẩm trùng hoặc gần trùng trong danh mục.</v>
      </c>
      <c r="I449" s="3" t="str">
        <f>'FSL Source'!H449</f>
        <v>Cán bộ quản lý sản phẩm</v>
      </c>
      <c r="J449" s="3" t="str">
        <f>'FSL Source'!I449</f>
        <v>AI hỗ trợ</v>
      </c>
      <c r="K449" s="3" t="str">
        <f>'FSL Source'!J449</f>
        <v>RD07</v>
      </c>
      <c r="L449" s="3" t="str">
        <f>'FSL Source'!K449</f>
        <v>CAP-21</v>
      </c>
      <c r="M449" s="3" t="str">
        <f>'FSL Source'!L449</f>
        <v>Could</v>
      </c>
      <c r="N449" s="3" t="str">
        <f>'FSL Source'!M449</f>
        <v>Pha 3</v>
      </c>
      <c r="O449" s="3" t="str">
        <f>'FSL Source'!N449</f>
        <v>Cần xác nhận</v>
      </c>
      <c r="P449" s="4" t="str">
        <f>'FSL Source'!O449</f>
        <v>Bổ sung theo CAP-21/VHT_AIAgnet</v>
      </c>
      <c r="Q449" s="4" t="str">
        <f>'FSL Source'!P449</f>
        <v>Phạm vi tùy chọn; chờ chốt A7. Áp dụng AI-AC-01…AI-AC-07 nếu được duyệt. Cảnh báo có loại, mức độ, dữ liệu so sánh và lý do; không tự chặn/chuyển bước.</v>
      </c>
      <c r="R449" s="4" t="str">
        <f>'FSL Source'!Q449</f>
        <v>REQ-066</v>
      </c>
      <c r="S449" s="3"/>
      <c r="T449" s="3"/>
      <c r="U449" s="8"/>
      <c r="V449" s="8"/>
      <c r="W449" s="9"/>
      <c r="X449" s="9" t="str">
        <f t="shared" si="6"/>
        <v/>
      </c>
      <c r="Y449" s="3" t="s">
        <v>1860</v>
      </c>
      <c r="Z449" s="10">
        <v>0</v>
      </c>
      <c r="AA449" s="4"/>
    </row>
    <row r="450" spans="1:27" ht="51">
      <c r="A450" s="3" t="str">
        <f>B450&amp;"."&amp;TEXT(COUNTIF($B$5:B450,B450),"000")</f>
        <v>1.19.06.003</v>
      </c>
      <c r="B450" s="3" t="str">
        <f>IFERROR(INDEX('Work Packages'!$A$5:$A$200,MATCH(D450&amp;"|"&amp;E450,'Work Packages'!$P$5:$P$200,0)),"")</f>
        <v>1.19.06</v>
      </c>
      <c r="C450" s="3" t="str">
        <f>'FSL Source'!B450</f>
        <v>AIA-PROD-003</v>
      </c>
      <c r="D450" s="3" t="str">
        <f>'FSL Source'!C450</f>
        <v>Trợ lý AI hỗ trợ nghiệp vụ</v>
      </c>
      <c r="E450" s="3" t="str">
        <f>'FSL Source'!D450</f>
        <v>AI sản phẩm nghiên cứu</v>
      </c>
      <c r="F450" s="4" t="str">
        <f>'FSL Source'!E450</f>
        <v>Human-in-the-loop</v>
      </c>
      <c r="G450" s="4" t="str">
        <f>'FSL Source'!F450</f>
        <v>Xác nhận/chỉnh sửa gợi ý AI cho sản phẩm</v>
      </c>
      <c r="H450" s="4" t="str">
        <f>'FSL Source'!G450</f>
        <v>Người dùng xác nhận, chỉnh sửa hoặc bác bỏ gợi ý AI; lưu feedback để cải thiện checklist/skill.</v>
      </c>
      <c r="I450" s="3" t="str">
        <f>'FSL Source'!H450</f>
        <v>Cán bộ quản lý sản phẩm</v>
      </c>
      <c r="J450" s="3" t="str">
        <f>'FSL Source'!I450</f>
        <v>AI hỗ trợ</v>
      </c>
      <c r="K450" s="3" t="str">
        <f>'FSL Source'!J450</f>
        <v>RD07</v>
      </c>
      <c r="L450" s="3" t="str">
        <f>'FSL Source'!K450</f>
        <v>CAP-21</v>
      </c>
      <c r="M450" s="3" t="str">
        <f>'FSL Source'!L450</f>
        <v>Could</v>
      </c>
      <c r="N450" s="3" t="str">
        <f>'FSL Source'!M450</f>
        <v>Pha 3</v>
      </c>
      <c r="O450" s="3" t="str">
        <f>'FSL Source'!N450</f>
        <v>Cần xác nhận</v>
      </c>
      <c r="P450" s="4" t="str">
        <f>'FSL Source'!O450</f>
        <v>Bổ sung theo CAP-21/VHT_AIAgnet</v>
      </c>
      <c r="Q450" s="4" t="str">
        <f>'FSL Source'!P450</f>
        <v>Phạm vi tùy chọn; chờ chốt A7. Áp dụng AI-AC-01…AI-AC-07 nếu được duyệt. Lưu bất biến kết quả gốc, quyết định, nội dung sau sửa, người/thời điểm và phiên bản mô hình/checklist.</v>
      </c>
      <c r="R450" s="4" t="str">
        <f>'FSL Source'!Q450</f>
        <v>REQ-068</v>
      </c>
      <c r="S450" s="3"/>
      <c r="T450" s="3"/>
      <c r="U450" s="8"/>
      <c r="V450" s="8"/>
      <c r="W450" s="9"/>
      <c r="X450" s="9" t="str">
        <f t="shared" si="6"/>
        <v/>
      </c>
      <c r="Y450" s="3" t="s">
        <v>1860</v>
      </c>
      <c r="Z450" s="10">
        <v>0</v>
      </c>
      <c r="AA450" s="4"/>
    </row>
    <row r="451" spans="1:27" ht="51">
      <c r="A451" s="3" t="str">
        <f>B451&amp;"."&amp;TEXT(COUNTIF($B$5:B451,B451),"000")</f>
        <v>1.19.07.001</v>
      </c>
      <c r="B451" s="3" t="str">
        <f>IFERROR(INDEX('Work Packages'!$A$5:$A$200,MATCH(D451&amp;"|"&amp;E451,'Work Packages'!$P$5:$P$200,0)),"")</f>
        <v>1.19.07</v>
      </c>
      <c r="C451" s="3" t="str">
        <f>'FSL Source'!B451</f>
        <v>AIA-IP-001</v>
      </c>
      <c r="D451" s="3" t="str">
        <f>'FSL Source'!C451</f>
        <v>Trợ lý AI hỗ trợ nghiệp vụ</v>
      </c>
      <c r="E451" s="3" t="str">
        <f>'FSL Source'!D451</f>
        <v>AI sở hữu trí tuệ</v>
      </c>
      <c r="F451" s="4" t="str">
        <f>'FSL Source'!E451</f>
        <v>Rà soát</v>
      </c>
      <c r="G451" s="4" t="str">
        <f>'FSL Source'!F451</f>
        <v>AI rà soát hồ sơ SHTT</v>
      </c>
      <c r="H451" s="4" t="str">
        <f>'FSL Source'!G451</f>
        <v>Đọc hồ sơ/tài liệu SHTT; kiểm tra thiếu tài liệu, sai biểu mẫu, thiếu thông tin tác giả/sản phẩm/nhiệm vụ liên quan.</v>
      </c>
      <c r="I451" s="3" t="str">
        <f>'FSL Source'!H451</f>
        <v>Cán bộ SHTT</v>
      </c>
      <c r="J451" s="3" t="str">
        <f>'FSL Source'!I451</f>
        <v>AI hỗ trợ</v>
      </c>
      <c r="K451" s="3" t="str">
        <f>'FSL Source'!J451</f>
        <v>RD08</v>
      </c>
      <c r="L451" s="3" t="str">
        <f>'FSL Source'!K451</f>
        <v>CAP-21</v>
      </c>
      <c r="M451" s="3" t="str">
        <f>'FSL Source'!L451</f>
        <v>Could</v>
      </c>
      <c r="N451" s="3" t="str">
        <f>'FSL Source'!M451</f>
        <v>Pha 3</v>
      </c>
      <c r="O451" s="3" t="str">
        <f>'FSL Source'!N451</f>
        <v>Cần xác nhận</v>
      </c>
      <c r="P451" s="4" t="str">
        <f>'FSL Source'!O451</f>
        <v>Bổ sung theo CAP-21/VHT_AIAgnet</v>
      </c>
      <c r="Q451" s="4" t="str">
        <f>'FSL Source'!P451</f>
        <v>Phạm vi tùy chọn; chờ chốt A7. Áp dụng AI-AC-01…AI-AC-07 nếu được duyệt. Kết quả theo từng tiêu chí đạt/chưa đạt/cần lưu ý và truy được phiên bản checklist.</v>
      </c>
      <c r="R451" s="4" t="str">
        <f>'FSL Source'!Q451</f>
        <v>REQ-065</v>
      </c>
      <c r="S451" s="3"/>
      <c r="T451" s="3"/>
      <c r="U451" s="8"/>
      <c r="V451" s="8"/>
      <c r="W451" s="9"/>
      <c r="X451" s="9" t="str">
        <f t="shared" si="6"/>
        <v/>
      </c>
      <c r="Y451" s="3" t="s">
        <v>1860</v>
      </c>
      <c r="Z451" s="10">
        <v>0</v>
      </c>
      <c r="AA451" s="4"/>
    </row>
    <row r="452" spans="1:27" ht="51">
      <c r="A452" s="3" t="str">
        <f>B452&amp;"."&amp;TEXT(COUNTIF($B$5:B452,B452),"000")</f>
        <v>1.19.07.002</v>
      </c>
      <c r="B452" s="3" t="str">
        <f>IFERROR(INDEX('Work Packages'!$A$5:$A$200,MATCH(D452&amp;"|"&amp;E452,'Work Packages'!$P$5:$P$200,0)),"")</f>
        <v>1.19.07</v>
      </c>
      <c r="C452" s="3" t="str">
        <f>'FSL Source'!B452</f>
        <v>AIA-IP-002</v>
      </c>
      <c r="D452" s="3" t="str">
        <f>'FSL Source'!C452</f>
        <v>Trợ lý AI hỗ trợ nghiệp vụ</v>
      </c>
      <c r="E452" s="3" t="str">
        <f>'FSL Source'!D452</f>
        <v>AI sở hữu trí tuệ</v>
      </c>
      <c r="F452" s="4" t="str">
        <f>'FSL Source'!E452</f>
        <v>Phân loại</v>
      </c>
      <c r="G452" s="4" t="str">
        <f>'FSL Source'!F452</f>
        <v>AI gợi ý phân loại bài báo/sáng chế/công nghệ lõi</v>
      </c>
      <c r="H452" s="4" t="str">
        <f>'FSL Source'!G452</f>
        <v>Gợi ý loại hồ sơ SHTT, lĩnh vực công nghệ, từ khóa và sản phẩm/nhiệm vụ liên quan dựa trên nội dung tài liệu.</v>
      </c>
      <c r="I452" s="3" t="str">
        <f>'FSL Source'!H452</f>
        <v>Cán bộ SHTT</v>
      </c>
      <c r="J452" s="3" t="str">
        <f>'FSL Source'!I452</f>
        <v>AI hỗ trợ</v>
      </c>
      <c r="K452" s="3" t="str">
        <f>'FSL Source'!J452</f>
        <v>RD08</v>
      </c>
      <c r="L452" s="3" t="str">
        <f>'FSL Source'!K452</f>
        <v>CAP-21</v>
      </c>
      <c r="M452" s="3" t="str">
        <f>'FSL Source'!L452</f>
        <v>Could</v>
      </c>
      <c r="N452" s="3" t="str">
        <f>'FSL Source'!M452</f>
        <v>Pha 3</v>
      </c>
      <c r="O452" s="3" t="str">
        <f>'FSL Source'!N452</f>
        <v>Cần xác nhận</v>
      </c>
      <c r="P452" s="4" t="str">
        <f>'FSL Source'!O452</f>
        <v>Bổ sung theo CAP-21/VHT_AIAgnet</v>
      </c>
      <c r="Q452" s="4" t="str">
        <f>'FSL Source'!P452</f>
        <v>Phạm vi tùy chọn; chờ chốt A7. Áp dụng AI-AC-01…AI-AC-07 nếu được duyệt. Gợi ý tách biệt với dữ liệu đã xác nhận, có căn cứ và chỉ được ghi sau khi người dùng xác nhận.</v>
      </c>
      <c r="R452" s="4" t="str">
        <f>'FSL Source'!Q452</f>
        <v>REQ-064</v>
      </c>
      <c r="S452" s="3"/>
      <c r="T452" s="3"/>
      <c r="U452" s="8"/>
      <c r="V452" s="8"/>
      <c r="W452" s="9"/>
      <c r="X452" s="9" t="str">
        <f t="shared" si="6"/>
        <v/>
      </c>
      <c r="Y452" s="3" t="s">
        <v>1860</v>
      </c>
      <c r="Z452" s="10">
        <v>0</v>
      </c>
      <c r="AA452" s="4"/>
    </row>
    <row r="453" spans="1:27" ht="51">
      <c r="A453" s="3" t="str">
        <f>B453&amp;"."&amp;TEXT(COUNTIF($B$5:B453,B453),"000")</f>
        <v>1.19.07.003</v>
      </c>
      <c r="B453" s="3" t="str">
        <f>IFERROR(INDEX('Work Packages'!$A$5:$A$200,MATCH(D453&amp;"|"&amp;E453,'Work Packages'!$P$5:$P$200,0)),"")</f>
        <v>1.19.07</v>
      </c>
      <c r="C453" s="3" t="str">
        <f>'FSL Source'!B453</f>
        <v>AIA-IP-003</v>
      </c>
      <c r="D453" s="3" t="str">
        <f>'FSL Source'!C453</f>
        <v>Trợ lý AI hỗ trợ nghiệp vụ</v>
      </c>
      <c r="E453" s="3" t="str">
        <f>'FSL Source'!D453</f>
        <v>AI sở hữu trí tuệ</v>
      </c>
      <c r="F453" s="4" t="str">
        <f>'FSL Source'!E453</f>
        <v>Human-in-the-loop</v>
      </c>
      <c r="G453" s="4" t="str">
        <f>'FSL Source'!F453</f>
        <v>Xác nhận/chỉnh sửa kết quả AI SHTT</v>
      </c>
      <c r="H453" s="4" t="str">
        <f>'FSL Source'!G453</f>
        <v>Chuyên viên xác nhận, chỉnh sửa hoặc bác bỏ kết quả AI; lưu feedback phục vụ cải thiện skill/checklist.</v>
      </c>
      <c r="I453" s="3" t="str">
        <f>'FSL Source'!H453</f>
        <v>Cán bộ SHTT</v>
      </c>
      <c r="J453" s="3" t="str">
        <f>'FSL Source'!I453</f>
        <v>AI hỗ trợ</v>
      </c>
      <c r="K453" s="3" t="str">
        <f>'FSL Source'!J453</f>
        <v>RD08</v>
      </c>
      <c r="L453" s="3" t="str">
        <f>'FSL Source'!K453</f>
        <v>CAP-21</v>
      </c>
      <c r="M453" s="3" t="str">
        <f>'FSL Source'!L453</f>
        <v>Could</v>
      </c>
      <c r="N453" s="3" t="str">
        <f>'FSL Source'!M453</f>
        <v>Pha 3</v>
      </c>
      <c r="O453" s="3" t="str">
        <f>'FSL Source'!N453</f>
        <v>Cần xác nhận</v>
      </c>
      <c r="P453" s="4" t="str">
        <f>'FSL Source'!O453</f>
        <v>Bổ sung theo CAP-21/VHT_AIAgnet</v>
      </c>
      <c r="Q453" s="4" t="str">
        <f>'FSL Source'!P453</f>
        <v>Phạm vi tùy chọn; chờ chốt A7. Áp dụng AI-AC-01…AI-AC-07 nếu được duyệt. Lưu bất biến kết quả gốc, quyết định, nội dung sau sửa, người/thời điểm và phiên bản mô hình/checklist.</v>
      </c>
      <c r="R453" s="4" t="str">
        <f>'FSL Source'!Q453</f>
        <v>REQ-068</v>
      </c>
      <c r="S453" s="3"/>
      <c r="T453" s="3"/>
      <c r="U453" s="8"/>
      <c r="V453" s="8"/>
      <c r="W453" s="9"/>
      <c r="X453" s="9" t="str">
        <f t="shared" ref="X453:X457" si="7">IF(OR(W453="",V453=""),"",WORKDAY(W453,V453-1))</f>
        <v/>
      </c>
      <c r="Y453" s="3" t="s">
        <v>1860</v>
      </c>
      <c r="Z453" s="10">
        <v>0</v>
      </c>
      <c r="AA453" s="4"/>
    </row>
    <row r="454" spans="1:27" ht="51">
      <c r="A454" s="3" t="str">
        <f>B454&amp;"."&amp;TEXT(COUNTIF($B$5:B454,B454),"000")</f>
        <v>1.19.08.001</v>
      </c>
      <c r="B454" s="3" t="str">
        <f>IFERROR(INDEX('Work Packages'!$A$5:$A$200,MATCH(D454&amp;"|"&amp;E454,'Work Packages'!$P$5:$P$200,0)),"")</f>
        <v>1.19.08</v>
      </c>
      <c r="C454" s="3" t="str">
        <f>'FSL Source'!B454</f>
        <v>AIA-APP-001</v>
      </c>
      <c r="D454" s="3" t="str">
        <f>'FSL Source'!C454</f>
        <v>Trợ lý AI hỗ trợ nghiệp vụ</v>
      </c>
      <c r="E454" s="3" t="str">
        <f>'FSL Source'!D454</f>
        <v>AI hỗ trợ thẩm định</v>
      </c>
      <c r="F454" s="4" t="str">
        <f>'FSL Source'!E454</f>
        <v>Rà soát</v>
      </c>
      <c r="G454" s="4" t="str">
        <f>'FSL Source'!F454</f>
        <v>AI rà soát hồ sơ trước thẩm định</v>
      </c>
      <c r="H454" s="4" t="str">
        <f>'FSL Source'!G454</f>
        <v>Đọc hồ sơ nguồn, tài liệu, dữ liệu tích hợp và checklist để gợi ý điểm thiếu/sai lệch/cần lưu ý cho người thẩm định.</v>
      </c>
      <c r="I454" s="3" t="str">
        <f>'FSL Source'!H454</f>
        <v>Người thẩm định</v>
      </c>
      <c r="J454" s="3" t="str">
        <f>'FSL Source'!I454</f>
        <v>AI hỗ trợ</v>
      </c>
      <c r="K454" s="3" t="str">
        <f>'FSL Source'!J454</f>
        <v>RD01, RD02, RD04, RD05</v>
      </c>
      <c r="L454" s="3" t="str">
        <f>'FSL Source'!K454</f>
        <v>CAP-21</v>
      </c>
      <c r="M454" s="3" t="str">
        <f>'FSL Source'!L454</f>
        <v>Could</v>
      </c>
      <c r="N454" s="3" t="str">
        <f>'FSL Source'!M454</f>
        <v>Pha 3</v>
      </c>
      <c r="O454" s="3" t="str">
        <f>'FSL Source'!N454</f>
        <v>Cần xác nhận</v>
      </c>
      <c r="P454" s="4" t="str">
        <f>'FSL Source'!O454</f>
        <v>Bổ sung theo CAP-21/VHT_AIAgnet</v>
      </c>
      <c r="Q454" s="4" t="str">
        <f>'FSL Source'!P454</f>
        <v>Phạm vi tùy chọn; chờ chốt A7. Áp dụng AI-AC-01…AI-AC-07 nếu được duyệt. Kết quả theo từng tiêu chí đạt/chưa đạt/cần lưu ý và truy được phiên bản checklist.</v>
      </c>
      <c r="R454" s="4" t="str">
        <f>'FSL Source'!Q454</f>
        <v>REQ-065</v>
      </c>
      <c r="S454" s="3"/>
      <c r="T454" s="3"/>
      <c r="U454" s="8"/>
      <c r="V454" s="8"/>
      <c r="W454" s="9"/>
      <c r="X454" s="9" t="str">
        <f t="shared" si="7"/>
        <v/>
      </c>
      <c r="Y454" s="3" t="s">
        <v>1860</v>
      </c>
      <c r="Z454" s="10">
        <v>0</v>
      </c>
      <c r="AA454" s="4"/>
    </row>
    <row r="455" spans="1:27" ht="51">
      <c r="A455" s="3" t="str">
        <f>B455&amp;"."&amp;TEXT(COUNTIF($B$5:B455,B455),"000")</f>
        <v>1.19.08.002</v>
      </c>
      <c r="B455" s="3" t="str">
        <f>IFERROR(INDEX('Work Packages'!$A$5:$A$200,MATCH(D455&amp;"|"&amp;E455,'Work Packages'!$P$5:$P$200,0)),"")</f>
        <v>1.19.08</v>
      </c>
      <c r="C455" s="3" t="str">
        <f>'FSL Source'!B455</f>
        <v>AIA-APP-002</v>
      </c>
      <c r="D455" s="3" t="str">
        <f>'FSL Source'!C455</f>
        <v>Trợ lý AI hỗ trợ nghiệp vụ</v>
      </c>
      <c r="E455" s="3" t="str">
        <f>'FSL Source'!D455</f>
        <v>AI hỗ trợ thẩm định</v>
      </c>
      <c r="F455" s="4" t="str">
        <f>'FSL Source'!E455</f>
        <v>Gợi ý nhận xét</v>
      </c>
      <c r="G455" s="4" t="str">
        <f>'FSL Source'!F455</f>
        <v>AI gợi ý nhận xét thẩm định</v>
      </c>
      <c r="H455" s="4" t="str">
        <f>'FSL Source'!G455</f>
        <v>Gợi ý nhận xét/kiến nghị dựa trên checklist, dữ liệu hồ sơ và tài liệu liên quan để người thẩm định xem xét; không thay thế phiếu nhận xét chính thức (CAP-09).</v>
      </c>
      <c r="I455" s="3" t="str">
        <f>'FSL Source'!H455</f>
        <v>Người thẩm định</v>
      </c>
      <c r="J455" s="3" t="str">
        <f>'FSL Source'!I455</f>
        <v>AI hỗ trợ</v>
      </c>
      <c r="K455" s="3" t="str">
        <f>'FSL Source'!J455</f>
        <v>RD01, RD02, RD04, RD05</v>
      </c>
      <c r="L455" s="3" t="str">
        <f>'FSL Source'!K455</f>
        <v>CAP-21</v>
      </c>
      <c r="M455" s="3" t="str">
        <f>'FSL Source'!L455</f>
        <v>Could</v>
      </c>
      <c r="N455" s="3" t="str">
        <f>'FSL Source'!M455</f>
        <v>Pha 3</v>
      </c>
      <c r="O455" s="3" t="str">
        <f>'FSL Source'!N455</f>
        <v>Cần xác nhận</v>
      </c>
      <c r="P455" s="4" t="str">
        <f>'FSL Source'!O455</f>
        <v>Bổ sung theo CAP-21/VHT_AIAgnet</v>
      </c>
      <c r="Q455" s="4" t="str">
        <f>'FSL Source'!P455</f>
        <v>Phạm vi tùy chọn; chờ chốt A7. Áp dụng AI-AC-01…AI-AC-07 nếu được duyệt. Gợi ý tách biệt với dữ liệu đã xác nhận, có căn cứ và chỉ được ghi sau khi người dùng xác nhận.</v>
      </c>
      <c r="R455" s="4" t="str">
        <f>'FSL Source'!Q455</f>
        <v>REQ-064</v>
      </c>
      <c r="S455" s="3"/>
      <c r="T455" s="3"/>
      <c r="U455" s="8"/>
      <c r="V455" s="8"/>
      <c r="W455" s="9"/>
      <c r="X455" s="9" t="str">
        <f t="shared" si="7"/>
        <v/>
      </c>
      <c r="Y455" s="3" t="s">
        <v>1860</v>
      </c>
      <c r="Z455" s="10">
        <v>0</v>
      </c>
      <c r="AA455" s="4"/>
    </row>
    <row r="456" spans="1:27" ht="51">
      <c r="A456" s="3" t="str">
        <f>B456&amp;"."&amp;TEXT(COUNTIF($B$5:B456,B456),"000")</f>
        <v>1.19.08.003</v>
      </c>
      <c r="B456" s="3" t="str">
        <f>IFERROR(INDEX('Work Packages'!$A$5:$A$200,MATCH(D456&amp;"|"&amp;E456,'Work Packages'!$P$5:$P$200,0)),"")</f>
        <v>1.19.08</v>
      </c>
      <c r="C456" s="3" t="str">
        <f>'FSL Source'!B456</f>
        <v>AIA-APP-003</v>
      </c>
      <c r="D456" s="3" t="str">
        <f>'FSL Source'!C456</f>
        <v>Trợ lý AI hỗ trợ nghiệp vụ</v>
      </c>
      <c r="E456" s="3" t="str">
        <f>'FSL Source'!D456</f>
        <v>AI hỗ trợ thẩm định</v>
      </c>
      <c r="F456" s="4" t="str">
        <f>'FSL Source'!E456</f>
        <v>Kết quả</v>
      </c>
      <c r="G456" s="4" t="str">
        <f>'FSL Source'!F456</f>
        <v>Xem kết quả AI hỗ trợ thẩm định</v>
      </c>
      <c r="H456" s="4" t="str">
        <f>'FSL Source'!G456</f>
        <v>Hiển thị kết quả theo tiêu chí, mức cảnh báo, căn cứ, tài liệu tham chiếu và trạng thái xác nhận của người dùng.</v>
      </c>
      <c r="I456" s="3" t="str">
        <f>'FSL Source'!H456</f>
        <v>Người thẩm định</v>
      </c>
      <c r="J456" s="3" t="str">
        <f>'FSL Source'!I456</f>
        <v>AI hỗ trợ</v>
      </c>
      <c r="K456" s="3" t="str">
        <f>'FSL Source'!J456</f>
        <v>RD01, RD02, RD04, RD05</v>
      </c>
      <c r="L456" s="3" t="str">
        <f>'FSL Source'!K456</f>
        <v>CAP-21</v>
      </c>
      <c r="M456" s="3" t="str">
        <f>'FSL Source'!L456</f>
        <v>Could</v>
      </c>
      <c r="N456" s="3" t="str">
        <f>'FSL Source'!M456</f>
        <v>Pha 3</v>
      </c>
      <c r="O456" s="3" t="str">
        <f>'FSL Source'!N456</f>
        <v>Cần xác nhận</v>
      </c>
      <c r="P456" s="4" t="str">
        <f>'FSL Source'!O456</f>
        <v>Bổ sung theo CAP-21/VHT_AIAgnet</v>
      </c>
      <c r="Q456" s="4" t="str">
        <f>'FSL Source'!P456</f>
        <v>Phạm vi tùy chọn; chờ chốt A7. Áp dụng AI-AC-01…AI-AC-07 nếu được duyệt. Hiển thị cấu trúc gồm tiêu chí, trạng thái, mức cảnh báo, gợi ý, căn cứ và trạng thái xác nhận.</v>
      </c>
      <c r="R456" s="4" t="str">
        <f>'FSL Source'!Q456</f>
        <v>REQ-067</v>
      </c>
      <c r="S456" s="3"/>
      <c r="T456" s="3"/>
      <c r="U456" s="8"/>
      <c r="V456" s="8"/>
      <c r="W456" s="9"/>
      <c r="X456" s="9" t="str">
        <f t="shared" si="7"/>
        <v/>
      </c>
      <c r="Y456" s="3" t="s">
        <v>1860</v>
      </c>
      <c r="Z456" s="10">
        <v>0</v>
      </c>
      <c r="AA456" s="4"/>
    </row>
    <row r="457" spans="1:27" ht="51">
      <c r="A457" s="3" t="str">
        <f>B457&amp;"."&amp;TEXT(COUNTIF($B$5:B457,B457),"000")</f>
        <v>1.19.08.004</v>
      </c>
      <c r="B457" s="3" t="str">
        <f>IFERROR(INDEX('Work Packages'!$A$5:$A$200,MATCH(D457&amp;"|"&amp;E457,'Work Packages'!$P$5:$P$200,0)),"")</f>
        <v>1.19.08</v>
      </c>
      <c r="C457" s="3" t="str">
        <f>'FSL Source'!B457</f>
        <v>AIA-APP-004</v>
      </c>
      <c r="D457" s="3" t="str">
        <f>'FSL Source'!C457</f>
        <v>Trợ lý AI hỗ trợ nghiệp vụ</v>
      </c>
      <c r="E457" s="3" t="str">
        <f>'FSL Source'!D457</f>
        <v>AI hỗ trợ thẩm định</v>
      </c>
      <c r="F457" s="4" t="str">
        <f>'FSL Source'!E457</f>
        <v>Human-in-the-loop</v>
      </c>
      <c r="G457" s="4" t="str">
        <f>'FSL Source'!F457</f>
        <v>Xác nhận/chỉnh sửa kết quả AI thẩm định</v>
      </c>
      <c r="H457" s="4" t="str">
        <f>'FSL Source'!G457</f>
        <v>Người thẩm định xác nhận, chỉnh sửa hoặc bác bỏ gợi ý AI; lưu feedback để cải thiện checklist/skill.</v>
      </c>
      <c r="I457" s="3" t="str">
        <f>'FSL Source'!H457</f>
        <v>Người thẩm định</v>
      </c>
      <c r="J457" s="3" t="str">
        <f>'FSL Source'!I457</f>
        <v>AI hỗ trợ</v>
      </c>
      <c r="K457" s="3" t="str">
        <f>'FSL Source'!J457</f>
        <v>RD01, RD02, RD04, RD05</v>
      </c>
      <c r="L457" s="3" t="str">
        <f>'FSL Source'!K457</f>
        <v>CAP-21</v>
      </c>
      <c r="M457" s="3" t="str">
        <f>'FSL Source'!L457</f>
        <v>Could</v>
      </c>
      <c r="N457" s="3" t="str">
        <f>'FSL Source'!M457</f>
        <v>Pha 3</v>
      </c>
      <c r="O457" s="3" t="str">
        <f>'FSL Source'!N457</f>
        <v>Cần xác nhận</v>
      </c>
      <c r="P457" s="4" t="str">
        <f>'FSL Source'!O457</f>
        <v>Bổ sung theo CAP-21/VHT_AIAgnet</v>
      </c>
      <c r="Q457" s="4" t="str">
        <f>'FSL Source'!P457</f>
        <v>Phạm vi tùy chọn; chờ chốt A7. Áp dụng AI-AC-01…AI-AC-07 nếu được duyệt. Lưu bất biến kết quả gốc, quyết định, nội dung sau sửa, người/thời điểm và phiên bản mô hình/checklist.</v>
      </c>
      <c r="R457" s="4" t="str">
        <f>'FSL Source'!Q457</f>
        <v>REQ-068</v>
      </c>
      <c r="S457" s="3"/>
      <c r="T457" s="3"/>
      <c r="U457" s="8"/>
      <c r="V457" s="8"/>
      <c r="W457" s="9"/>
      <c r="X457" s="9" t="str">
        <f t="shared" si="7"/>
        <v/>
      </c>
      <c r="Y457" s="3" t="s">
        <v>1860</v>
      </c>
      <c r="Z457" s="10">
        <v>0</v>
      </c>
      <c r="AA457" s="4"/>
    </row>
  </sheetData>
  <mergeCells count="2">
    <mergeCell ref="A1:AA1"/>
    <mergeCell ref="A2:AA2"/>
  </mergeCells>
  <conditionalFormatting sqref="Y5:Y457">
    <cfRule type="cellIs" dxfId="7" priority="1" stopIfTrue="1" operator="equal">
      <formula>"Done"</formula>
    </cfRule>
    <cfRule type="cellIs" dxfId="6" priority="2" stopIfTrue="1" operator="equal">
      <formula>"Blocked"</formula>
    </cfRule>
    <cfRule type="cellIs" dxfId="5" priority="3" stopIfTrue="1" operator="equal">
      <formula>"In Progress"</formula>
    </cfRule>
  </conditionalFormatting>
  <dataValidations count="1">
    <dataValidation type="decimal" allowBlank="1" showInputMessage="1" showErrorMessage="1" sqref="Z5:Z457">
      <formula1>0</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14:formula1>
            <xm:f>Lists!$B$2:$B$4</xm:f>
          </x14:formula1>
          <xm:sqref>M5:M457</xm:sqref>
        </x14:dataValidation>
        <x14:dataValidation type="list" allowBlank="1" showInputMessage="1" showErrorMessage="1">
          <x14:formula1>
            <xm:f>Lists!$C$2:$C$4</xm:f>
          </x14:formula1>
          <xm:sqref>N5:N457</xm:sqref>
        </x14:dataValidation>
        <x14:dataValidation type="list" allowBlank="1" showInputMessage="1" showErrorMessage="1">
          <x14:formula1>
            <xm:f>Lists!$D$2:$D$3</xm:f>
          </x14:formula1>
          <xm:sqref>O5:O457</xm:sqref>
        </x14:dataValidation>
        <x14:dataValidation type="list" allowBlank="1" showInputMessage="1" showErrorMessage="1">
          <x14:formula1>
            <xm:f>Lists!$F$2:$F$12</xm:f>
          </x14:formula1>
          <xm:sqref>T5:T457</xm:sqref>
        </x14:dataValidation>
        <x14:dataValidation type="list" allowBlank="1" showInputMessage="1" showErrorMessage="1">
          <x14:formula1>
            <xm:f>Lists!$A$2:$A$6</xm:f>
          </x14:formula1>
          <xm:sqref>Y5:Y457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6"/>
  <sheetViews>
    <sheetView showGridLines="0" workbookViewId="0">
      <pane xSplit="3" ySplit="4" topLeftCell="D5" activePane="bottomRight" state="frozenSplit"/>
      <selection pane="topRight" activeCell="D1" sqref="D1"/>
      <selection pane="bottomLeft" activeCell="A5" sqref="A5"/>
      <selection pane="bottomRight" sqref="A1:P1"/>
    </sheetView>
  </sheetViews>
  <sheetFormatPr defaultRowHeight="12.75"/>
  <cols>
    <col min="1" max="1" width="13.7109375" style="1" customWidth="1"/>
    <col min="2" max="2" width="30.7109375" style="1" customWidth="1"/>
    <col min="3" max="3" width="28.7109375" style="1" customWidth="1"/>
    <col min="4" max="4" width="14.7109375" style="1" customWidth="1"/>
    <col min="5" max="10" width="10.7109375" style="1" customWidth="1"/>
    <col min="11" max="11" width="15.7109375" style="1" customWidth="1"/>
    <col min="12" max="12" width="20.7109375" style="1" customWidth="1"/>
    <col min="13" max="14" width="14.7109375" style="1" customWidth="1"/>
    <col min="15" max="15" width="12.7109375" style="1" customWidth="1"/>
    <col min="16" max="16" width="13.85546875" style="1" hidden="1" customWidth="1"/>
    <col min="17" max="16384" width="9.140625" style="1"/>
  </cols>
  <sheetData>
    <row r="1" spans="1:16" ht="20.25">
      <c r="A1" s="19" t="s">
        <v>1896</v>
      </c>
      <c r="B1" s="19"/>
      <c r="C1" s="19"/>
      <c r="D1" s="19"/>
      <c r="E1" s="19"/>
      <c r="F1" s="19"/>
      <c r="G1" s="19"/>
      <c r="H1" s="19"/>
      <c r="I1" s="19"/>
      <c r="J1" s="19"/>
      <c r="K1" s="19"/>
      <c r="L1" s="19"/>
      <c r="M1" s="19"/>
      <c r="N1" s="19"/>
      <c r="O1" s="19"/>
      <c r="P1" s="19"/>
    </row>
    <row r="2" spans="1:16">
      <c r="A2" s="20" t="s">
        <v>1897</v>
      </c>
      <c r="B2" s="20"/>
      <c r="C2" s="20"/>
      <c r="D2" s="20"/>
      <c r="E2" s="20"/>
      <c r="F2" s="20"/>
      <c r="G2" s="20"/>
      <c r="H2" s="20"/>
      <c r="I2" s="20"/>
      <c r="J2" s="20"/>
      <c r="K2" s="20"/>
      <c r="L2" s="20"/>
      <c r="M2" s="20"/>
      <c r="N2" s="20"/>
      <c r="O2" s="20"/>
      <c r="P2" s="20"/>
    </row>
    <row r="4" spans="1:16" ht="33.950000000000003" customHeight="1">
      <c r="A4" s="5" t="s">
        <v>1884</v>
      </c>
      <c r="B4" s="5" t="s">
        <v>4</v>
      </c>
      <c r="C4" s="5" t="s">
        <v>5</v>
      </c>
      <c r="D4" s="5" t="s">
        <v>1898</v>
      </c>
      <c r="E4" s="5" t="s">
        <v>28</v>
      </c>
      <c r="F4" s="5" t="s">
        <v>71</v>
      </c>
      <c r="G4" s="5" t="s">
        <v>407</v>
      </c>
      <c r="H4" s="5" t="s">
        <v>29</v>
      </c>
      <c r="I4" s="5" t="s">
        <v>125</v>
      </c>
      <c r="J4" s="5" t="s">
        <v>408</v>
      </c>
      <c r="K4" s="5" t="s">
        <v>209</v>
      </c>
      <c r="L4" s="5" t="s">
        <v>1889</v>
      </c>
      <c r="M4" s="5" t="s">
        <v>1899</v>
      </c>
      <c r="N4" s="5" t="s">
        <v>1855</v>
      </c>
      <c r="O4" s="5" t="s">
        <v>1894</v>
      </c>
      <c r="P4" s="5" t="s">
        <v>1900</v>
      </c>
    </row>
    <row r="5" spans="1:16">
      <c r="A5" s="1" t="s">
        <v>1901</v>
      </c>
      <c r="B5" s="11" t="s">
        <v>20</v>
      </c>
      <c r="C5" s="11" t="s">
        <v>21</v>
      </c>
      <c r="D5" s="1">
        <f>COUNTIFS(WBS!$D$5:$D$457,B5,WBS!$E$5:$E$457,C5)</f>
        <v>4</v>
      </c>
      <c r="E5" s="1">
        <f>COUNTIFS(WBS!$D$5:$D$457,B5,WBS!$E$5:$E$457,C5,WBS!$M$5:$M$457,"Must")</f>
        <v>4</v>
      </c>
      <c r="F5" s="1">
        <f>COUNTIFS(WBS!$D$5:$D$457,B5,WBS!$E$5:$E$457,C5,WBS!$M$5:$M$457,"Should")</f>
        <v>0</v>
      </c>
      <c r="G5" s="1">
        <f>COUNTIFS(WBS!$D$5:$D$457,B5,WBS!$E$5:$E$457,C5,WBS!$M$5:$M$457,"Could")</f>
        <v>0</v>
      </c>
      <c r="H5" s="1">
        <f>COUNTIFS(WBS!$D$5:$D$457,B5,WBS!$E$5:$E$457,C5,WBS!$N$5:$N$457,"Pha 1")</f>
        <v>4</v>
      </c>
      <c r="I5" s="1">
        <f>COUNTIFS(WBS!$D$5:$D$457,B5,WBS!$E$5:$E$457,C5,WBS!$N$5:$N$457,"Pha 2")</f>
        <v>0</v>
      </c>
      <c r="J5" s="1">
        <f>COUNTIFS(WBS!$D$5:$D$457,B5,WBS!$E$5:$E$457,C5,WBS!$N$5:$N$457,"Pha 3")</f>
        <v>0</v>
      </c>
      <c r="K5" s="1">
        <f>COUNTIFS(WBS!$D$5:$D$457,B5,WBS!$E$5:$E$457,C5,WBS!$O$5:$O$457,"Cần xác nhận")</f>
        <v>0</v>
      </c>
      <c r="M5" s="6">
        <f>SUMIFS(WBS!$U$5:$U$457,WBS!$D$5:$D$457,B5,WBS!$E$5:$E$457,C5)</f>
        <v>0</v>
      </c>
      <c r="N5" s="1" t="str">
        <f>IF(O5=1,"Done",IF(COUNTIFS(WBS!$D$5:$D$457,B5,WBS!$E$5:$E$457,C5,WBS!$Y$5:$Y$457,"Blocked")&gt;0,"Blocked",IF(COUNTIFS(WBS!$D$5:$D$457,B5,WBS!$E$5:$E$457,C5,WBS!$Y$5:$Y$457,"In Progress")&gt;0,"In Progress","Not Started")))</f>
        <v>Not Started</v>
      </c>
      <c r="O5" s="7">
        <f>IFERROR(AVERAGEIFS(WBS!$Z$5:$Z$457,WBS!$D$5:$D$457,B5,WBS!$E$5:$E$457,C5),0)</f>
        <v>0</v>
      </c>
      <c r="P5" s="1" t="str">
        <f t="shared" ref="P5:P36" si="0">B5&amp;"|"&amp;C5</f>
        <v>Truy cập, Tổ chức &amp; Phân quyền|Đăng nhập &amp; SSO</v>
      </c>
    </row>
    <row r="6" spans="1:16">
      <c r="A6" s="1" t="s">
        <v>1902</v>
      </c>
      <c r="B6" s="11" t="s">
        <v>20</v>
      </c>
      <c r="C6" s="11" t="s">
        <v>47</v>
      </c>
      <c r="D6" s="1">
        <f>COUNTIFS(WBS!$D$5:$D$457,B6,WBS!$E$5:$E$457,C6)</f>
        <v>8</v>
      </c>
      <c r="E6" s="1">
        <f>COUNTIFS(WBS!$D$5:$D$457,B6,WBS!$E$5:$E$457,C6,WBS!$M$5:$M$457,"Must")</f>
        <v>6</v>
      </c>
      <c r="F6" s="1">
        <f>COUNTIFS(WBS!$D$5:$D$457,B6,WBS!$E$5:$E$457,C6,WBS!$M$5:$M$457,"Should")</f>
        <v>2</v>
      </c>
      <c r="G6" s="1">
        <f>COUNTIFS(WBS!$D$5:$D$457,B6,WBS!$E$5:$E$457,C6,WBS!$M$5:$M$457,"Could")</f>
        <v>0</v>
      </c>
      <c r="H6" s="1">
        <f>COUNTIFS(WBS!$D$5:$D$457,B6,WBS!$E$5:$E$457,C6,WBS!$N$5:$N$457,"Pha 1")</f>
        <v>8</v>
      </c>
      <c r="I6" s="1">
        <f>COUNTIFS(WBS!$D$5:$D$457,B6,WBS!$E$5:$E$457,C6,WBS!$N$5:$N$457,"Pha 2")</f>
        <v>0</v>
      </c>
      <c r="J6" s="1">
        <f>COUNTIFS(WBS!$D$5:$D$457,B6,WBS!$E$5:$E$457,C6,WBS!$N$5:$N$457,"Pha 3")</f>
        <v>0</v>
      </c>
      <c r="K6" s="1">
        <f>COUNTIFS(WBS!$D$5:$D$457,B6,WBS!$E$5:$E$457,C6,WBS!$O$5:$O$457,"Cần xác nhận")</f>
        <v>0</v>
      </c>
      <c r="M6" s="6">
        <f>SUMIFS(WBS!$U$5:$U$457,WBS!$D$5:$D$457,B6,WBS!$E$5:$E$457,C6)</f>
        <v>0</v>
      </c>
      <c r="N6" s="1" t="str">
        <f>IF(O6=1,"Done",IF(COUNTIFS(WBS!$D$5:$D$457,B6,WBS!$E$5:$E$457,C6,WBS!$Y$5:$Y$457,"Blocked")&gt;0,"Blocked",IF(COUNTIFS(WBS!$D$5:$D$457,B6,WBS!$E$5:$E$457,C6,WBS!$Y$5:$Y$457,"In Progress")&gt;0,"In Progress","Not Started")))</f>
        <v>Not Started</v>
      </c>
      <c r="O6" s="7">
        <f>IFERROR(AVERAGEIFS(WBS!$Z$5:$Z$457,WBS!$D$5:$D$457,B6,WBS!$E$5:$E$457,C6),0)</f>
        <v>0</v>
      </c>
      <c r="P6" s="1" t="str">
        <f t="shared" si="0"/>
        <v>Truy cập, Tổ chức &amp; Phân quyền|Cơ cấu tổ chức</v>
      </c>
    </row>
    <row r="7" spans="1:16">
      <c r="A7" s="1" t="s">
        <v>1903</v>
      </c>
      <c r="B7" s="11" t="s">
        <v>20</v>
      </c>
      <c r="C7" s="11" t="s">
        <v>89</v>
      </c>
      <c r="D7" s="1">
        <f>COUNTIFS(WBS!$D$5:$D$457,B7,WBS!$E$5:$E$457,C7)</f>
        <v>9</v>
      </c>
      <c r="E7" s="1">
        <f>COUNTIFS(WBS!$D$5:$D$457,B7,WBS!$E$5:$E$457,C7,WBS!$M$5:$M$457,"Must")</f>
        <v>7</v>
      </c>
      <c r="F7" s="1">
        <f>COUNTIFS(WBS!$D$5:$D$457,B7,WBS!$E$5:$E$457,C7,WBS!$M$5:$M$457,"Should")</f>
        <v>2</v>
      </c>
      <c r="G7" s="1">
        <f>COUNTIFS(WBS!$D$5:$D$457,B7,WBS!$E$5:$E$457,C7,WBS!$M$5:$M$457,"Could")</f>
        <v>0</v>
      </c>
      <c r="H7" s="1">
        <f>COUNTIFS(WBS!$D$5:$D$457,B7,WBS!$E$5:$E$457,C7,WBS!$N$5:$N$457,"Pha 1")</f>
        <v>8</v>
      </c>
      <c r="I7" s="1">
        <f>COUNTIFS(WBS!$D$5:$D$457,B7,WBS!$E$5:$E$457,C7,WBS!$N$5:$N$457,"Pha 2")</f>
        <v>1</v>
      </c>
      <c r="J7" s="1">
        <f>COUNTIFS(WBS!$D$5:$D$457,B7,WBS!$E$5:$E$457,C7,WBS!$N$5:$N$457,"Pha 3")</f>
        <v>0</v>
      </c>
      <c r="K7" s="1">
        <f>COUNTIFS(WBS!$D$5:$D$457,B7,WBS!$E$5:$E$457,C7,WBS!$O$5:$O$457,"Cần xác nhận")</f>
        <v>0</v>
      </c>
      <c r="M7" s="6">
        <f>SUMIFS(WBS!$U$5:$U$457,WBS!$D$5:$D$457,B7,WBS!$E$5:$E$457,C7)</f>
        <v>0</v>
      </c>
      <c r="N7" s="1" t="str">
        <f>IF(O7=1,"Done",IF(COUNTIFS(WBS!$D$5:$D$457,B7,WBS!$E$5:$E$457,C7,WBS!$Y$5:$Y$457,"Blocked")&gt;0,"Blocked",IF(COUNTIFS(WBS!$D$5:$D$457,B7,WBS!$E$5:$E$457,C7,WBS!$Y$5:$Y$457,"In Progress")&gt;0,"In Progress","Not Started")))</f>
        <v>Not Started</v>
      </c>
      <c r="O7" s="7">
        <f>IFERROR(AVERAGEIFS(WBS!$Z$5:$Z$457,WBS!$D$5:$D$457,B7,WBS!$E$5:$E$457,C7),0)</f>
        <v>0</v>
      </c>
      <c r="P7" s="1" t="str">
        <f t="shared" si="0"/>
        <v>Truy cập, Tổ chức &amp; Phân quyền|Người dùng &amp; định danh</v>
      </c>
    </row>
    <row r="8" spans="1:16">
      <c r="A8" s="1" t="s">
        <v>1904</v>
      </c>
      <c r="B8" s="11" t="s">
        <v>20</v>
      </c>
      <c r="C8" s="11" t="s">
        <v>127</v>
      </c>
      <c r="D8" s="1">
        <f>COUNTIFS(WBS!$D$5:$D$457,B8,WBS!$E$5:$E$457,C8)</f>
        <v>9</v>
      </c>
      <c r="E8" s="1">
        <f>COUNTIFS(WBS!$D$5:$D$457,B8,WBS!$E$5:$E$457,C8,WBS!$M$5:$M$457,"Must")</f>
        <v>7</v>
      </c>
      <c r="F8" s="1">
        <f>COUNTIFS(WBS!$D$5:$D$457,B8,WBS!$E$5:$E$457,C8,WBS!$M$5:$M$457,"Should")</f>
        <v>2</v>
      </c>
      <c r="G8" s="1">
        <f>COUNTIFS(WBS!$D$5:$D$457,B8,WBS!$E$5:$E$457,C8,WBS!$M$5:$M$457,"Could")</f>
        <v>0</v>
      </c>
      <c r="H8" s="1">
        <f>COUNTIFS(WBS!$D$5:$D$457,B8,WBS!$E$5:$E$457,C8,WBS!$N$5:$N$457,"Pha 1")</f>
        <v>8</v>
      </c>
      <c r="I8" s="1">
        <f>COUNTIFS(WBS!$D$5:$D$457,B8,WBS!$E$5:$E$457,C8,WBS!$N$5:$N$457,"Pha 2")</f>
        <v>1</v>
      </c>
      <c r="J8" s="1">
        <f>COUNTIFS(WBS!$D$5:$D$457,B8,WBS!$E$5:$E$457,C8,WBS!$N$5:$N$457,"Pha 3")</f>
        <v>0</v>
      </c>
      <c r="K8" s="1">
        <f>COUNTIFS(WBS!$D$5:$D$457,B8,WBS!$E$5:$E$457,C8,WBS!$O$5:$O$457,"Cần xác nhận")</f>
        <v>0</v>
      </c>
      <c r="M8" s="6">
        <f>SUMIFS(WBS!$U$5:$U$457,WBS!$D$5:$D$457,B8,WBS!$E$5:$E$457,C8)</f>
        <v>0</v>
      </c>
      <c r="N8" s="1" t="str">
        <f>IF(O8=1,"Done",IF(COUNTIFS(WBS!$D$5:$D$457,B8,WBS!$E$5:$E$457,C8,WBS!$Y$5:$Y$457,"Blocked")&gt;0,"Blocked",IF(COUNTIFS(WBS!$D$5:$D$457,B8,WBS!$E$5:$E$457,C8,WBS!$Y$5:$Y$457,"In Progress")&gt;0,"In Progress","Not Started")))</f>
        <v>Not Started</v>
      </c>
      <c r="O8" s="7">
        <f>IFERROR(AVERAGEIFS(WBS!$Z$5:$Z$457,WBS!$D$5:$D$457,B8,WBS!$E$5:$E$457,C8),0)</f>
        <v>0</v>
      </c>
      <c r="P8" s="1" t="str">
        <f t="shared" si="0"/>
        <v>Truy cập, Tổ chức &amp; Phân quyền|Vai trò &amp; phân quyền</v>
      </c>
    </row>
    <row r="9" spans="1:16">
      <c r="A9" s="1" t="s">
        <v>1905</v>
      </c>
      <c r="B9" s="11" t="s">
        <v>161</v>
      </c>
      <c r="C9" s="11" t="s">
        <v>162</v>
      </c>
      <c r="D9" s="1">
        <f>COUNTIFS(WBS!$D$5:$D$457,B9,WBS!$E$5:$E$457,C9)</f>
        <v>15</v>
      </c>
      <c r="E9" s="1">
        <f>COUNTIFS(WBS!$D$5:$D$457,B9,WBS!$E$5:$E$457,C9,WBS!$M$5:$M$457,"Must")</f>
        <v>12</v>
      </c>
      <c r="F9" s="1">
        <f>COUNTIFS(WBS!$D$5:$D$457,B9,WBS!$E$5:$E$457,C9,WBS!$M$5:$M$457,"Should")</f>
        <v>3</v>
      </c>
      <c r="G9" s="1">
        <f>COUNTIFS(WBS!$D$5:$D$457,B9,WBS!$E$5:$E$457,C9,WBS!$M$5:$M$457,"Could")</f>
        <v>0</v>
      </c>
      <c r="H9" s="1">
        <f>COUNTIFS(WBS!$D$5:$D$457,B9,WBS!$E$5:$E$457,C9,WBS!$N$5:$N$457,"Pha 1")</f>
        <v>14</v>
      </c>
      <c r="I9" s="1">
        <f>COUNTIFS(WBS!$D$5:$D$457,B9,WBS!$E$5:$E$457,C9,WBS!$N$5:$N$457,"Pha 2")</f>
        <v>1</v>
      </c>
      <c r="J9" s="1">
        <f>COUNTIFS(WBS!$D$5:$D$457,B9,WBS!$E$5:$E$457,C9,WBS!$N$5:$N$457,"Pha 3")</f>
        <v>0</v>
      </c>
      <c r="K9" s="1">
        <f>COUNTIFS(WBS!$D$5:$D$457,B9,WBS!$E$5:$E$457,C9,WBS!$O$5:$O$457,"Cần xác nhận")</f>
        <v>1</v>
      </c>
      <c r="M9" s="6">
        <f>SUMIFS(WBS!$U$5:$U$457,WBS!$D$5:$D$457,B9,WBS!$E$5:$E$457,C9)</f>
        <v>0</v>
      </c>
      <c r="N9" s="1" t="str">
        <f>IF(O9=1,"Done",IF(COUNTIFS(WBS!$D$5:$D$457,B9,WBS!$E$5:$E$457,C9,WBS!$Y$5:$Y$457,"Blocked")&gt;0,"Blocked",IF(COUNTIFS(WBS!$D$5:$D$457,B9,WBS!$E$5:$E$457,C9,WBS!$Y$5:$Y$457,"In Progress")&gt;0,"In Progress","Not Started")))</f>
        <v>Not Started</v>
      </c>
      <c r="O9" s="7">
        <f>IFERROR(AVERAGEIFS(WBS!$Z$5:$Z$457,WBS!$D$5:$D$457,B9,WBS!$E$5:$E$457,C9),0)</f>
        <v>0</v>
      </c>
      <c r="P9" s="1" t="str">
        <f t="shared" si="0"/>
        <v>Quản lý Nhiệm vụ KHCN|Hồ sơ nhiệm vụ</v>
      </c>
    </row>
    <row r="10" spans="1:16">
      <c r="A10" s="1" t="s">
        <v>1906</v>
      </c>
      <c r="B10" s="11" t="s">
        <v>234</v>
      </c>
      <c r="C10" s="11" t="s">
        <v>235</v>
      </c>
      <c r="D10" s="1">
        <f>COUNTIFS(WBS!$D$5:$D$457,B10,WBS!$E$5:$E$457,C10)</f>
        <v>10</v>
      </c>
      <c r="E10" s="1">
        <f>COUNTIFS(WBS!$D$5:$D$457,B10,WBS!$E$5:$E$457,C10,WBS!$M$5:$M$457,"Must")</f>
        <v>9</v>
      </c>
      <c r="F10" s="1">
        <f>COUNTIFS(WBS!$D$5:$D$457,B10,WBS!$E$5:$E$457,C10,WBS!$M$5:$M$457,"Should")</f>
        <v>1</v>
      </c>
      <c r="G10" s="1">
        <f>COUNTIFS(WBS!$D$5:$D$457,B10,WBS!$E$5:$E$457,C10,WBS!$M$5:$M$457,"Could")</f>
        <v>0</v>
      </c>
      <c r="H10" s="1">
        <f>COUNTIFS(WBS!$D$5:$D$457,B10,WBS!$E$5:$E$457,C10,WBS!$N$5:$N$457,"Pha 1")</f>
        <v>10</v>
      </c>
      <c r="I10" s="1">
        <f>COUNTIFS(WBS!$D$5:$D$457,B10,WBS!$E$5:$E$457,C10,WBS!$N$5:$N$457,"Pha 2")</f>
        <v>0</v>
      </c>
      <c r="J10" s="1">
        <f>COUNTIFS(WBS!$D$5:$D$457,B10,WBS!$E$5:$E$457,C10,WBS!$N$5:$N$457,"Pha 3")</f>
        <v>0</v>
      </c>
      <c r="K10" s="1">
        <f>COUNTIFS(WBS!$D$5:$D$457,B10,WBS!$E$5:$E$457,C10,WBS!$O$5:$O$457,"Cần xác nhận")</f>
        <v>1</v>
      </c>
      <c r="M10" s="6">
        <f>SUMIFS(WBS!$U$5:$U$457,WBS!$D$5:$D$457,B10,WBS!$E$5:$E$457,C10)</f>
        <v>0</v>
      </c>
      <c r="N10" s="1" t="str">
        <f>IF(O10=1,"Done",IF(COUNTIFS(WBS!$D$5:$D$457,B10,WBS!$E$5:$E$457,C10,WBS!$Y$5:$Y$457,"Blocked")&gt;0,"Blocked",IF(COUNTIFS(WBS!$D$5:$D$457,B10,WBS!$E$5:$E$457,C10,WBS!$Y$5:$Y$457,"In Progress")&gt;0,"In Progress","Not Started")))</f>
        <v>Not Started</v>
      </c>
      <c r="O10" s="7">
        <f>IFERROR(AVERAGEIFS(WBS!$Z$5:$Z$457,WBS!$D$5:$D$457,B10,WBS!$E$5:$E$457,C10),0)</f>
        <v>0</v>
      </c>
      <c r="P10" s="1" t="str">
        <f t="shared" si="0"/>
        <v>Chủ trương &amp; Xét duyệt|Xét duyệt chủ trương</v>
      </c>
    </row>
    <row r="11" spans="1:16">
      <c r="A11" s="1" t="s">
        <v>1907</v>
      </c>
      <c r="B11" s="11" t="s">
        <v>234</v>
      </c>
      <c r="C11" s="11" t="s">
        <v>280</v>
      </c>
      <c r="D11" s="1">
        <f>COUNTIFS(WBS!$D$5:$D$457,B11,WBS!$E$5:$E$457,C11)</f>
        <v>11</v>
      </c>
      <c r="E11" s="1">
        <f>COUNTIFS(WBS!$D$5:$D$457,B11,WBS!$E$5:$E$457,C11,WBS!$M$5:$M$457,"Must")</f>
        <v>10</v>
      </c>
      <c r="F11" s="1">
        <f>COUNTIFS(WBS!$D$5:$D$457,B11,WBS!$E$5:$E$457,C11,WBS!$M$5:$M$457,"Should")</f>
        <v>1</v>
      </c>
      <c r="G11" s="1">
        <f>COUNTIFS(WBS!$D$5:$D$457,B11,WBS!$E$5:$E$457,C11,WBS!$M$5:$M$457,"Could")</f>
        <v>0</v>
      </c>
      <c r="H11" s="1">
        <f>COUNTIFS(WBS!$D$5:$D$457,B11,WBS!$E$5:$E$457,C11,WBS!$N$5:$N$457,"Pha 1")</f>
        <v>11</v>
      </c>
      <c r="I11" s="1">
        <f>COUNTIFS(WBS!$D$5:$D$457,B11,WBS!$E$5:$E$457,C11,WBS!$N$5:$N$457,"Pha 2")</f>
        <v>0</v>
      </c>
      <c r="J11" s="1">
        <f>COUNTIFS(WBS!$D$5:$D$457,B11,WBS!$E$5:$E$457,C11,WBS!$N$5:$N$457,"Pha 3")</f>
        <v>0</v>
      </c>
      <c r="K11" s="1">
        <f>COUNTIFS(WBS!$D$5:$D$457,B11,WBS!$E$5:$E$457,C11,WBS!$O$5:$O$457,"Cần xác nhận")</f>
        <v>1</v>
      </c>
      <c r="M11" s="6">
        <f>SUMIFS(WBS!$U$5:$U$457,WBS!$D$5:$D$457,B11,WBS!$E$5:$E$457,C11)</f>
        <v>0</v>
      </c>
      <c r="N11" s="1" t="str">
        <f>IF(O11=1,"Done",IF(COUNTIFS(WBS!$D$5:$D$457,B11,WBS!$E$5:$E$457,C11,WBS!$Y$5:$Y$457,"Blocked")&gt;0,"Blocked",IF(COUNTIFS(WBS!$D$5:$D$457,B11,WBS!$E$5:$E$457,C11,WBS!$Y$5:$Y$457,"In Progress")&gt;0,"In Progress","Not Started")))</f>
        <v>Not Started</v>
      </c>
      <c r="O11" s="7">
        <f>IFERROR(AVERAGEIFS(WBS!$Z$5:$Z$457,WBS!$D$5:$D$457,B11,WBS!$E$5:$E$457,C11),0)</f>
        <v>0</v>
      </c>
      <c r="P11" s="1" t="str">
        <f t="shared" si="0"/>
        <v>Chủ trương &amp; Xét duyệt|Xét duyệt nhiệm vụ</v>
      </c>
    </row>
    <row r="12" spans="1:16">
      <c r="A12" s="1" t="s">
        <v>1908</v>
      </c>
      <c r="B12" s="11" t="s">
        <v>324</v>
      </c>
      <c r="C12" s="11" t="s">
        <v>325</v>
      </c>
      <c r="D12" s="1">
        <f>COUNTIFS(WBS!$D$5:$D$457,B12,WBS!$E$5:$E$457,C12)</f>
        <v>3</v>
      </c>
      <c r="E12" s="1">
        <f>COUNTIFS(WBS!$D$5:$D$457,B12,WBS!$E$5:$E$457,C12,WBS!$M$5:$M$457,"Must")</f>
        <v>3</v>
      </c>
      <c r="F12" s="1">
        <f>COUNTIFS(WBS!$D$5:$D$457,B12,WBS!$E$5:$E$457,C12,WBS!$M$5:$M$457,"Should")</f>
        <v>0</v>
      </c>
      <c r="G12" s="1">
        <f>COUNTIFS(WBS!$D$5:$D$457,B12,WBS!$E$5:$E$457,C12,WBS!$M$5:$M$457,"Could")</f>
        <v>0</v>
      </c>
      <c r="H12" s="1">
        <f>COUNTIFS(WBS!$D$5:$D$457,B12,WBS!$E$5:$E$457,C12,WBS!$N$5:$N$457,"Pha 1")</f>
        <v>3</v>
      </c>
      <c r="I12" s="1">
        <f>COUNTIFS(WBS!$D$5:$D$457,B12,WBS!$E$5:$E$457,C12,WBS!$N$5:$N$457,"Pha 2")</f>
        <v>0</v>
      </c>
      <c r="J12" s="1">
        <f>COUNTIFS(WBS!$D$5:$D$457,B12,WBS!$E$5:$E$457,C12,WBS!$N$5:$N$457,"Pha 3")</f>
        <v>0</v>
      </c>
      <c r="K12" s="1">
        <f>COUNTIFS(WBS!$D$5:$D$457,B12,WBS!$E$5:$E$457,C12,WBS!$O$5:$O$457,"Cần xác nhận")</f>
        <v>0</v>
      </c>
      <c r="M12" s="6">
        <f>SUMIFS(WBS!$U$5:$U$457,WBS!$D$5:$D$457,B12,WBS!$E$5:$E$457,C12)</f>
        <v>0</v>
      </c>
      <c r="N12" s="1" t="str">
        <f>IF(O12=1,"Done",IF(COUNTIFS(WBS!$D$5:$D$457,B12,WBS!$E$5:$E$457,C12,WBS!$Y$5:$Y$457,"Blocked")&gt;0,"Blocked",IF(COUNTIFS(WBS!$D$5:$D$457,B12,WBS!$E$5:$E$457,C12,WBS!$Y$5:$Y$457,"In Progress")&gt;0,"In Progress","Not Started")))</f>
        <v>Not Started</v>
      </c>
      <c r="O12" s="7">
        <f>IFERROR(AVERAGEIFS(WBS!$Z$5:$Z$457,WBS!$D$5:$D$457,B12,WBS!$E$5:$E$457,C12),0)</f>
        <v>0</v>
      </c>
      <c r="P12" s="1" t="str">
        <f t="shared" si="0"/>
        <v>Không gian làm việc &amp; Task|Việc của tôi</v>
      </c>
    </row>
    <row r="13" spans="1:16">
      <c r="A13" s="1" t="s">
        <v>1909</v>
      </c>
      <c r="B13" s="11" t="s">
        <v>324</v>
      </c>
      <c r="C13" s="11" t="s">
        <v>340</v>
      </c>
      <c r="D13" s="1">
        <f>COUNTIFS(WBS!$D$5:$D$457,B13,WBS!$E$5:$E$457,C13)</f>
        <v>11</v>
      </c>
      <c r="E13" s="1">
        <f>COUNTIFS(WBS!$D$5:$D$457,B13,WBS!$E$5:$E$457,C13,WBS!$M$5:$M$457,"Must")</f>
        <v>11</v>
      </c>
      <c r="F13" s="1">
        <f>COUNTIFS(WBS!$D$5:$D$457,B13,WBS!$E$5:$E$457,C13,WBS!$M$5:$M$457,"Should")</f>
        <v>0</v>
      </c>
      <c r="G13" s="1">
        <f>COUNTIFS(WBS!$D$5:$D$457,B13,WBS!$E$5:$E$457,C13,WBS!$M$5:$M$457,"Could")</f>
        <v>0</v>
      </c>
      <c r="H13" s="1">
        <f>COUNTIFS(WBS!$D$5:$D$457,B13,WBS!$E$5:$E$457,C13,WBS!$N$5:$N$457,"Pha 1")</f>
        <v>11</v>
      </c>
      <c r="I13" s="1">
        <f>COUNTIFS(WBS!$D$5:$D$457,B13,WBS!$E$5:$E$457,C13,WBS!$N$5:$N$457,"Pha 2")</f>
        <v>0</v>
      </c>
      <c r="J13" s="1">
        <f>COUNTIFS(WBS!$D$5:$D$457,B13,WBS!$E$5:$E$457,C13,WBS!$N$5:$N$457,"Pha 3")</f>
        <v>0</v>
      </c>
      <c r="K13" s="1">
        <f>COUNTIFS(WBS!$D$5:$D$457,B13,WBS!$E$5:$E$457,C13,WBS!$O$5:$O$457,"Cần xác nhận")</f>
        <v>0</v>
      </c>
      <c r="M13" s="6">
        <f>SUMIFS(WBS!$U$5:$U$457,WBS!$D$5:$D$457,B13,WBS!$E$5:$E$457,C13)</f>
        <v>0</v>
      </c>
      <c r="N13" s="1" t="str">
        <f>IF(O13=1,"Done",IF(COUNTIFS(WBS!$D$5:$D$457,B13,WBS!$E$5:$E$457,C13,WBS!$Y$5:$Y$457,"Blocked")&gt;0,"Blocked",IF(COUNTIFS(WBS!$D$5:$D$457,B13,WBS!$E$5:$E$457,C13,WBS!$Y$5:$Y$457,"In Progress")&gt;0,"In Progress","Not Started")))</f>
        <v>Not Started</v>
      </c>
      <c r="O13" s="7">
        <f>IFERROR(AVERAGEIFS(WBS!$Z$5:$Z$457,WBS!$D$5:$D$457,B13,WBS!$E$5:$E$457,C13),0)</f>
        <v>0</v>
      </c>
      <c r="P13" s="1" t="str">
        <f t="shared" si="0"/>
        <v>Không gian làm việc &amp; Task|Xử lý task</v>
      </c>
    </row>
    <row r="14" spans="1:16">
      <c r="A14" s="1" t="s">
        <v>1910</v>
      </c>
      <c r="B14" s="11" t="s">
        <v>324</v>
      </c>
      <c r="C14" s="11" t="s">
        <v>378</v>
      </c>
      <c r="D14" s="1">
        <f>COUNTIFS(WBS!$D$5:$D$457,B14,WBS!$E$5:$E$457,C14)</f>
        <v>6</v>
      </c>
      <c r="E14" s="1">
        <f>COUNTIFS(WBS!$D$5:$D$457,B14,WBS!$E$5:$E$457,C14,WBS!$M$5:$M$457,"Must")</f>
        <v>6</v>
      </c>
      <c r="F14" s="1">
        <f>COUNTIFS(WBS!$D$5:$D$457,B14,WBS!$E$5:$E$457,C14,WBS!$M$5:$M$457,"Should")</f>
        <v>0</v>
      </c>
      <c r="G14" s="1">
        <f>COUNTIFS(WBS!$D$5:$D$457,B14,WBS!$E$5:$E$457,C14,WBS!$M$5:$M$457,"Could")</f>
        <v>0</v>
      </c>
      <c r="H14" s="1">
        <f>COUNTIFS(WBS!$D$5:$D$457,B14,WBS!$E$5:$E$457,C14,WBS!$N$5:$N$457,"Pha 1")</f>
        <v>6</v>
      </c>
      <c r="I14" s="1">
        <f>COUNTIFS(WBS!$D$5:$D$457,B14,WBS!$E$5:$E$457,C14,WBS!$N$5:$N$457,"Pha 2")</f>
        <v>0</v>
      </c>
      <c r="J14" s="1">
        <f>COUNTIFS(WBS!$D$5:$D$457,B14,WBS!$E$5:$E$457,C14,WBS!$N$5:$N$457,"Pha 3")</f>
        <v>0</v>
      </c>
      <c r="K14" s="1">
        <f>COUNTIFS(WBS!$D$5:$D$457,B14,WBS!$E$5:$E$457,C14,WBS!$O$5:$O$457,"Cần xác nhận")</f>
        <v>0</v>
      </c>
      <c r="M14" s="6">
        <f>SUMIFS(WBS!$U$5:$U$457,WBS!$D$5:$D$457,B14,WBS!$E$5:$E$457,C14)</f>
        <v>0</v>
      </c>
      <c r="N14" s="1" t="str">
        <f>IF(O14=1,"Done",IF(COUNTIFS(WBS!$D$5:$D$457,B14,WBS!$E$5:$E$457,C14,WBS!$Y$5:$Y$457,"Blocked")&gt;0,"Blocked",IF(COUNTIFS(WBS!$D$5:$D$457,B14,WBS!$E$5:$E$457,C14,WBS!$Y$5:$Y$457,"In Progress")&gt;0,"In Progress","Not Started")))</f>
        <v>Not Started</v>
      </c>
      <c r="O14" s="7">
        <f>IFERROR(AVERAGEIFS(WBS!$Z$5:$Z$457,WBS!$D$5:$D$457,B14,WBS!$E$5:$E$457,C14),0)</f>
        <v>0</v>
      </c>
      <c r="P14" s="1" t="str">
        <f t="shared" si="0"/>
        <v>Không gian làm việc &amp; Task|Nhập liệu thay cấp Tập đoàn</v>
      </c>
    </row>
    <row r="15" spans="1:16">
      <c r="A15" s="1" t="s">
        <v>1911</v>
      </c>
      <c r="B15" s="11" t="s">
        <v>324</v>
      </c>
      <c r="C15" s="11" t="s">
        <v>401</v>
      </c>
      <c r="D15" s="1">
        <f>COUNTIFS(WBS!$D$5:$D$457,B15,WBS!$E$5:$E$457,C15)</f>
        <v>8</v>
      </c>
      <c r="E15" s="1">
        <f>COUNTIFS(WBS!$D$5:$D$457,B15,WBS!$E$5:$E$457,C15,WBS!$M$5:$M$457,"Must")</f>
        <v>0</v>
      </c>
      <c r="F15" s="1">
        <f>COUNTIFS(WBS!$D$5:$D$457,B15,WBS!$E$5:$E$457,C15,WBS!$M$5:$M$457,"Should")</f>
        <v>0</v>
      </c>
      <c r="G15" s="1">
        <f>COUNTIFS(WBS!$D$5:$D$457,B15,WBS!$E$5:$E$457,C15,WBS!$M$5:$M$457,"Could")</f>
        <v>8</v>
      </c>
      <c r="H15" s="1">
        <f>COUNTIFS(WBS!$D$5:$D$457,B15,WBS!$E$5:$E$457,C15,WBS!$N$5:$N$457,"Pha 1")</f>
        <v>0</v>
      </c>
      <c r="I15" s="1">
        <f>COUNTIFS(WBS!$D$5:$D$457,B15,WBS!$E$5:$E$457,C15,WBS!$N$5:$N$457,"Pha 2")</f>
        <v>0</v>
      </c>
      <c r="J15" s="1">
        <f>COUNTIFS(WBS!$D$5:$D$457,B15,WBS!$E$5:$E$457,C15,WBS!$N$5:$N$457,"Pha 3")</f>
        <v>8</v>
      </c>
      <c r="K15" s="1">
        <f>COUNTIFS(WBS!$D$5:$D$457,B15,WBS!$E$5:$E$457,C15,WBS!$O$5:$O$457,"Cần xác nhận")</f>
        <v>8</v>
      </c>
      <c r="M15" s="6">
        <f>SUMIFS(WBS!$U$5:$U$457,WBS!$D$5:$D$457,B15,WBS!$E$5:$E$457,C15)</f>
        <v>0</v>
      </c>
      <c r="N15" s="1" t="str">
        <f>IF(O15=1,"Done",IF(COUNTIFS(WBS!$D$5:$D$457,B15,WBS!$E$5:$E$457,C15,WBS!$Y$5:$Y$457,"Blocked")&gt;0,"Blocked",IF(COUNTIFS(WBS!$D$5:$D$457,B15,WBS!$E$5:$E$457,C15,WBS!$Y$5:$Y$457,"In Progress")&gt;0,"In Progress","Not Started")))</f>
        <v>Not Started</v>
      </c>
      <c r="O15" s="7">
        <f>IFERROR(AVERAGEIFS(WBS!$Z$5:$Z$457,WBS!$D$5:$D$457,B15,WBS!$E$5:$E$457,C15),0)</f>
        <v>0</v>
      </c>
      <c r="P15" s="1" t="str">
        <f t="shared" si="0"/>
        <v>Không gian làm việc &amp; Task|Xử lý ngoại lệ có kiểm soát</v>
      </c>
    </row>
    <row r="16" spans="1:16">
      <c r="A16" s="1" t="s">
        <v>1912</v>
      </c>
      <c r="B16" s="11" t="s">
        <v>432</v>
      </c>
      <c r="C16" s="11" t="s">
        <v>433</v>
      </c>
      <c r="D16" s="1">
        <f>COUNTIFS(WBS!$D$5:$D$457,B16,WBS!$E$5:$E$457,C16)</f>
        <v>4</v>
      </c>
      <c r="E16" s="1">
        <f>COUNTIFS(WBS!$D$5:$D$457,B16,WBS!$E$5:$E$457,C16,WBS!$M$5:$M$457,"Must")</f>
        <v>3</v>
      </c>
      <c r="F16" s="1">
        <f>COUNTIFS(WBS!$D$5:$D$457,B16,WBS!$E$5:$E$457,C16,WBS!$M$5:$M$457,"Should")</f>
        <v>1</v>
      </c>
      <c r="G16" s="1">
        <f>COUNTIFS(WBS!$D$5:$D$457,B16,WBS!$E$5:$E$457,C16,WBS!$M$5:$M$457,"Could")</f>
        <v>0</v>
      </c>
      <c r="H16" s="1">
        <f>COUNTIFS(WBS!$D$5:$D$457,B16,WBS!$E$5:$E$457,C16,WBS!$N$5:$N$457,"Pha 1")</f>
        <v>3</v>
      </c>
      <c r="I16" s="1">
        <f>COUNTIFS(WBS!$D$5:$D$457,B16,WBS!$E$5:$E$457,C16,WBS!$N$5:$N$457,"Pha 2")</f>
        <v>1</v>
      </c>
      <c r="J16" s="1">
        <f>COUNTIFS(WBS!$D$5:$D$457,B16,WBS!$E$5:$E$457,C16,WBS!$N$5:$N$457,"Pha 3")</f>
        <v>0</v>
      </c>
      <c r="K16" s="1">
        <f>COUNTIFS(WBS!$D$5:$D$457,B16,WBS!$E$5:$E$457,C16,WBS!$O$5:$O$457,"Cần xác nhận")</f>
        <v>0</v>
      </c>
      <c r="M16" s="6">
        <f>SUMIFS(WBS!$U$5:$U$457,WBS!$D$5:$D$457,B16,WBS!$E$5:$E$457,C16)</f>
        <v>0</v>
      </c>
      <c r="N16" s="1" t="str">
        <f>IF(O16=1,"Done",IF(COUNTIFS(WBS!$D$5:$D$457,B16,WBS!$E$5:$E$457,C16,WBS!$Y$5:$Y$457,"Blocked")&gt;0,"Blocked",IF(COUNTIFS(WBS!$D$5:$D$457,B16,WBS!$E$5:$E$457,C16,WBS!$Y$5:$Y$457,"In Progress")&gt;0,"In Progress","Not Started")))</f>
        <v>Not Started</v>
      </c>
      <c r="O16" s="7">
        <f>IFERROR(AVERAGEIFS(WBS!$Z$5:$Z$457,WBS!$D$5:$D$457,B16,WBS!$E$5:$E$457,C16),0)</f>
        <v>0</v>
      </c>
      <c r="P16" s="1" t="str">
        <f t="shared" si="0"/>
        <v>Hồ sơ, Tài liệu &amp; Biểu mẫu|Quản trị hồ sơ</v>
      </c>
    </row>
    <row r="17" spans="1:16">
      <c r="A17" s="1" t="s">
        <v>1913</v>
      </c>
      <c r="B17" s="11" t="s">
        <v>432</v>
      </c>
      <c r="C17" s="11" t="s">
        <v>450</v>
      </c>
      <c r="D17" s="1">
        <f>COUNTIFS(WBS!$D$5:$D$457,B17,WBS!$E$5:$E$457,C17)</f>
        <v>13</v>
      </c>
      <c r="E17" s="1">
        <f>COUNTIFS(WBS!$D$5:$D$457,B17,WBS!$E$5:$E$457,C17,WBS!$M$5:$M$457,"Must")</f>
        <v>11</v>
      </c>
      <c r="F17" s="1">
        <f>COUNTIFS(WBS!$D$5:$D$457,B17,WBS!$E$5:$E$457,C17,WBS!$M$5:$M$457,"Should")</f>
        <v>2</v>
      </c>
      <c r="G17" s="1">
        <f>COUNTIFS(WBS!$D$5:$D$457,B17,WBS!$E$5:$E$457,C17,WBS!$M$5:$M$457,"Could")</f>
        <v>0</v>
      </c>
      <c r="H17" s="1">
        <f>COUNTIFS(WBS!$D$5:$D$457,B17,WBS!$E$5:$E$457,C17,WBS!$N$5:$N$457,"Pha 1")</f>
        <v>13</v>
      </c>
      <c r="I17" s="1">
        <f>COUNTIFS(WBS!$D$5:$D$457,B17,WBS!$E$5:$E$457,C17,WBS!$N$5:$N$457,"Pha 2")</f>
        <v>0</v>
      </c>
      <c r="J17" s="1">
        <f>COUNTIFS(WBS!$D$5:$D$457,B17,WBS!$E$5:$E$457,C17,WBS!$N$5:$N$457,"Pha 3")</f>
        <v>0</v>
      </c>
      <c r="K17" s="1">
        <f>COUNTIFS(WBS!$D$5:$D$457,B17,WBS!$E$5:$E$457,C17,WBS!$O$5:$O$457,"Cần xác nhận")</f>
        <v>0</v>
      </c>
      <c r="M17" s="6">
        <f>SUMIFS(WBS!$U$5:$U$457,WBS!$D$5:$D$457,B17,WBS!$E$5:$E$457,C17)</f>
        <v>0</v>
      </c>
      <c r="N17" s="1" t="str">
        <f>IF(O17=1,"Done",IF(COUNTIFS(WBS!$D$5:$D$457,B17,WBS!$E$5:$E$457,C17,WBS!$Y$5:$Y$457,"Blocked")&gt;0,"Blocked",IF(COUNTIFS(WBS!$D$5:$D$457,B17,WBS!$E$5:$E$457,C17,WBS!$Y$5:$Y$457,"In Progress")&gt;0,"In Progress","Not Started")))</f>
        <v>Not Started</v>
      </c>
      <c r="O17" s="7">
        <f>IFERROR(AVERAGEIFS(WBS!$Z$5:$Z$457,WBS!$D$5:$D$457,B17,WBS!$E$5:$E$457,C17),0)</f>
        <v>0</v>
      </c>
      <c r="P17" s="1" t="str">
        <f t="shared" si="0"/>
        <v>Hồ sơ, Tài liệu &amp; Biểu mẫu|Biểu mẫu động</v>
      </c>
    </row>
    <row r="18" spans="1:16">
      <c r="A18" s="1" t="s">
        <v>1914</v>
      </c>
      <c r="B18" s="11" t="s">
        <v>432</v>
      </c>
      <c r="C18" s="11" t="s">
        <v>496</v>
      </c>
      <c r="D18" s="1">
        <f>COUNTIFS(WBS!$D$5:$D$457,B18,WBS!$E$5:$E$457,C18)</f>
        <v>9</v>
      </c>
      <c r="E18" s="1">
        <f>COUNTIFS(WBS!$D$5:$D$457,B18,WBS!$E$5:$E$457,C18,WBS!$M$5:$M$457,"Must")</f>
        <v>1</v>
      </c>
      <c r="F18" s="1">
        <f>COUNTIFS(WBS!$D$5:$D$457,B18,WBS!$E$5:$E$457,C18,WBS!$M$5:$M$457,"Should")</f>
        <v>8</v>
      </c>
      <c r="G18" s="1">
        <f>COUNTIFS(WBS!$D$5:$D$457,B18,WBS!$E$5:$E$457,C18,WBS!$M$5:$M$457,"Could")</f>
        <v>0</v>
      </c>
      <c r="H18" s="1">
        <f>COUNTIFS(WBS!$D$5:$D$457,B18,WBS!$E$5:$E$457,C18,WBS!$N$5:$N$457,"Pha 1")</f>
        <v>0</v>
      </c>
      <c r="I18" s="1">
        <f>COUNTIFS(WBS!$D$5:$D$457,B18,WBS!$E$5:$E$457,C18,WBS!$N$5:$N$457,"Pha 2")</f>
        <v>9</v>
      </c>
      <c r="J18" s="1">
        <f>COUNTIFS(WBS!$D$5:$D$457,B18,WBS!$E$5:$E$457,C18,WBS!$N$5:$N$457,"Pha 3")</f>
        <v>0</v>
      </c>
      <c r="K18" s="1">
        <f>COUNTIFS(WBS!$D$5:$D$457,B18,WBS!$E$5:$E$457,C18,WBS!$O$5:$O$457,"Cần xác nhận")</f>
        <v>0</v>
      </c>
      <c r="M18" s="6">
        <f>SUMIFS(WBS!$U$5:$U$457,WBS!$D$5:$D$457,B18,WBS!$E$5:$E$457,C18)</f>
        <v>0</v>
      </c>
      <c r="N18" s="1" t="str">
        <f>IF(O18=1,"Done",IF(COUNTIFS(WBS!$D$5:$D$457,B18,WBS!$E$5:$E$457,C18,WBS!$Y$5:$Y$457,"Blocked")&gt;0,"Blocked",IF(COUNTIFS(WBS!$D$5:$D$457,B18,WBS!$E$5:$E$457,C18,WBS!$Y$5:$Y$457,"In Progress")&gt;0,"In Progress","Not Started")))</f>
        <v>Not Started</v>
      </c>
      <c r="O18" s="7">
        <f>IFERROR(AVERAGEIFS(WBS!$Z$5:$Z$457,WBS!$D$5:$D$457,B18,WBS!$E$5:$E$457,C18),0)</f>
        <v>0</v>
      </c>
      <c r="P18" s="1" t="str">
        <f t="shared" si="0"/>
        <v>Hồ sơ, Tài liệu &amp; Biểu mẫu|Mẫu văn bản</v>
      </c>
    </row>
    <row r="19" spans="1:16">
      <c r="A19" s="1" t="s">
        <v>1915</v>
      </c>
      <c r="B19" s="11" t="s">
        <v>432</v>
      </c>
      <c r="C19" s="11" t="s">
        <v>529</v>
      </c>
      <c r="D19" s="1">
        <f>COUNTIFS(WBS!$D$5:$D$457,B19,WBS!$E$5:$E$457,C19)</f>
        <v>4</v>
      </c>
      <c r="E19" s="1">
        <f>COUNTIFS(WBS!$D$5:$D$457,B19,WBS!$E$5:$E$457,C19,WBS!$M$5:$M$457,"Must")</f>
        <v>3</v>
      </c>
      <c r="F19" s="1">
        <f>COUNTIFS(WBS!$D$5:$D$457,B19,WBS!$E$5:$E$457,C19,WBS!$M$5:$M$457,"Should")</f>
        <v>1</v>
      </c>
      <c r="G19" s="1">
        <f>COUNTIFS(WBS!$D$5:$D$457,B19,WBS!$E$5:$E$457,C19,WBS!$M$5:$M$457,"Could")</f>
        <v>0</v>
      </c>
      <c r="H19" s="1">
        <f>COUNTIFS(WBS!$D$5:$D$457,B19,WBS!$E$5:$E$457,C19,WBS!$N$5:$N$457,"Pha 1")</f>
        <v>3</v>
      </c>
      <c r="I19" s="1">
        <f>COUNTIFS(WBS!$D$5:$D$457,B19,WBS!$E$5:$E$457,C19,WBS!$N$5:$N$457,"Pha 2")</f>
        <v>1</v>
      </c>
      <c r="J19" s="1">
        <f>COUNTIFS(WBS!$D$5:$D$457,B19,WBS!$E$5:$E$457,C19,WBS!$N$5:$N$457,"Pha 3")</f>
        <v>0</v>
      </c>
      <c r="K19" s="1">
        <f>COUNTIFS(WBS!$D$5:$D$457,B19,WBS!$E$5:$E$457,C19,WBS!$O$5:$O$457,"Cần xác nhận")</f>
        <v>1</v>
      </c>
      <c r="M19" s="6">
        <f>SUMIFS(WBS!$U$5:$U$457,WBS!$D$5:$D$457,B19,WBS!$E$5:$E$457,C19)</f>
        <v>0</v>
      </c>
      <c r="N19" s="1" t="str">
        <f>IF(O19=1,"Done",IF(COUNTIFS(WBS!$D$5:$D$457,B19,WBS!$E$5:$E$457,C19,WBS!$Y$5:$Y$457,"Blocked")&gt;0,"Blocked",IF(COUNTIFS(WBS!$D$5:$D$457,B19,WBS!$E$5:$E$457,C19,WBS!$Y$5:$Y$457,"In Progress")&gt;0,"In Progress","Not Started")))</f>
        <v>Not Started</v>
      </c>
      <c r="O19" s="7">
        <f>IFERROR(AVERAGEIFS(WBS!$Z$5:$Z$457,WBS!$D$5:$D$457,B19,WBS!$E$5:$E$457,C19),0)</f>
        <v>0</v>
      </c>
      <c r="P19" s="1" t="str">
        <f t="shared" si="0"/>
        <v>Hồ sơ, Tài liệu &amp; Biểu mẫu|Quản lý tệp</v>
      </c>
    </row>
    <row r="20" spans="1:16">
      <c r="A20" s="1" t="s">
        <v>1916</v>
      </c>
      <c r="B20" s="11" t="s">
        <v>548</v>
      </c>
      <c r="C20" s="11" t="s">
        <v>549</v>
      </c>
      <c r="D20" s="1">
        <f>COUNTIFS(WBS!$D$5:$D$457,B20,WBS!$E$5:$E$457,C20)</f>
        <v>13</v>
      </c>
      <c r="E20" s="1">
        <f>COUNTIFS(WBS!$D$5:$D$457,B20,WBS!$E$5:$E$457,C20,WBS!$M$5:$M$457,"Must")</f>
        <v>12</v>
      </c>
      <c r="F20" s="1">
        <f>COUNTIFS(WBS!$D$5:$D$457,B20,WBS!$E$5:$E$457,C20,WBS!$M$5:$M$457,"Should")</f>
        <v>1</v>
      </c>
      <c r="G20" s="1">
        <f>COUNTIFS(WBS!$D$5:$D$457,B20,WBS!$E$5:$E$457,C20,WBS!$M$5:$M$457,"Could")</f>
        <v>0</v>
      </c>
      <c r="H20" s="1">
        <f>COUNTIFS(WBS!$D$5:$D$457,B20,WBS!$E$5:$E$457,C20,WBS!$N$5:$N$457,"Pha 1")</f>
        <v>13</v>
      </c>
      <c r="I20" s="1">
        <f>COUNTIFS(WBS!$D$5:$D$457,B20,WBS!$E$5:$E$457,C20,WBS!$N$5:$N$457,"Pha 2")</f>
        <v>0</v>
      </c>
      <c r="J20" s="1">
        <f>COUNTIFS(WBS!$D$5:$D$457,B20,WBS!$E$5:$E$457,C20,WBS!$N$5:$N$457,"Pha 3")</f>
        <v>0</v>
      </c>
      <c r="K20" s="1">
        <f>COUNTIFS(WBS!$D$5:$D$457,B20,WBS!$E$5:$E$457,C20,WBS!$O$5:$O$457,"Cần xác nhận")</f>
        <v>0</v>
      </c>
      <c r="M20" s="6">
        <f>SUMIFS(WBS!$U$5:$U$457,WBS!$D$5:$D$457,B20,WBS!$E$5:$E$457,C20)</f>
        <v>0</v>
      </c>
      <c r="N20" s="1" t="str">
        <f>IF(O20=1,"Done",IF(COUNTIFS(WBS!$D$5:$D$457,B20,WBS!$E$5:$E$457,C20,WBS!$Y$5:$Y$457,"Blocked")&gt;0,"Blocked",IF(COUNTIFS(WBS!$D$5:$D$457,B20,WBS!$E$5:$E$457,C20,WBS!$Y$5:$Y$457,"In Progress")&gt;0,"In Progress","Not Started")))</f>
        <v>Not Started</v>
      </c>
      <c r="O20" s="7">
        <f>IFERROR(AVERAGEIFS(WBS!$Z$5:$Z$457,WBS!$D$5:$D$457,B20,WBS!$E$5:$E$457,C20),0)</f>
        <v>0</v>
      </c>
      <c r="P20" s="1" t="str">
        <f t="shared" si="0"/>
        <v>Hội đồng &amp; Thẩm định|Quản lý hội đồng</v>
      </c>
    </row>
    <row r="21" spans="1:16">
      <c r="A21" s="1" t="s">
        <v>1917</v>
      </c>
      <c r="B21" s="11" t="s">
        <v>548</v>
      </c>
      <c r="C21" s="11" t="s">
        <v>595</v>
      </c>
      <c r="D21" s="1">
        <f>COUNTIFS(WBS!$D$5:$D$457,B21,WBS!$E$5:$E$457,C21)</f>
        <v>8</v>
      </c>
      <c r="E21" s="1">
        <f>COUNTIFS(WBS!$D$5:$D$457,B21,WBS!$E$5:$E$457,C21,WBS!$M$5:$M$457,"Must")</f>
        <v>7</v>
      </c>
      <c r="F21" s="1">
        <f>COUNTIFS(WBS!$D$5:$D$457,B21,WBS!$E$5:$E$457,C21,WBS!$M$5:$M$457,"Should")</f>
        <v>1</v>
      </c>
      <c r="G21" s="1">
        <f>COUNTIFS(WBS!$D$5:$D$457,B21,WBS!$E$5:$E$457,C21,WBS!$M$5:$M$457,"Could")</f>
        <v>0</v>
      </c>
      <c r="H21" s="1">
        <f>COUNTIFS(WBS!$D$5:$D$457,B21,WBS!$E$5:$E$457,C21,WBS!$N$5:$N$457,"Pha 1")</f>
        <v>7</v>
      </c>
      <c r="I21" s="1">
        <f>COUNTIFS(WBS!$D$5:$D$457,B21,WBS!$E$5:$E$457,C21,WBS!$N$5:$N$457,"Pha 2")</f>
        <v>1</v>
      </c>
      <c r="J21" s="1">
        <f>COUNTIFS(WBS!$D$5:$D$457,B21,WBS!$E$5:$E$457,C21,WBS!$N$5:$N$457,"Pha 3")</f>
        <v>0</v>
      </c>
      <c r="K21" s="1">
        <f>COUNTIFS(WBS!$D$5:$D$457,B21,WBS!$E$5:$E$457,C21,WBS!$O$5:$O$457,"Cần xác nhận")</f>
        <v>2</v>
      </c>
      <c r="M21" s="6">
        <f>SUMIFS(WBS!$U$5:$U$457,WBS!$D$5:$D$457,B21,WBS!$E$5:$E$457,C21)</f>
        <v>0</v>
      </c>
      <c r="N21" s="1" t="str">
        <f>IF(O21=1,"Done",IF(COUNTIFS(WBS!$D$5:$D$457,B21,WBS!$E$5:$E$457,C21,WBS!$Y$5:$Y$457,"Blocked")&gt;0,"Blocked",IF(COUNTIFS(WBS!$D$5:$D$457,B21,WBS!$E$5:$E$457,C21,WBS!$Y$5:$Y$457,"In Progress")&gt;0,"In Progress","Not Started")))</f>
        <v>Not Started</v>
      </c>
      <c r="O21" s="7">
        <f>IFERROR(AVERAGEIFS(WBS!$Z$5:$Z$457,WBS!$D$5:$D$457,B21,WBS!$E$5:$E$457,C21),0)</f>
        <v>0</v>
      </c>
      <c r="P21" s="1" t="str">
        <f t="shared" si="0"/>
        <v>Hội đồng &amp; Thẩm định|Đánh giá &amp; thẩm định</v>
      </c>
    </row>
    <row r="22" spans="1:16">
      <c r="A22" s="1" t="s">
        <v>1918</v>
      </c>
      <c r="B22" s="11" t="s">
        <v>639</v>
      </c>
      <c r="C22" s="11" t="s">
        <v>640</v>
      </c>
      <c r="D22" s="1">
        <f>COUNTIFS(WBS!$D$5:$D$457,B22,WBS!$E$5:$E$457,C22)</f>
        <v>3</v>
      </c>
      <c r="E22" s="1">
        <f>COUNTIFS(WBS!$D$5:$D$457,B22,WBS!$E$5:$E$457,C22,WBS!$M$5:$M$457,"Must")</f>
        <v>2</v>
      </c>
      <c r="F22" s="1">
        <f>COUNTIFS(WBS!$D$5:$D$457,B22,WBS!$E$5:$E$457,C22,WBS!$M$5:$M$457,"Should")</f>
        <v>1</v>
      </c>
      <c r="G22" s="1">
        <f>COUNTIFS(WBS!$D$5:$D$457,B22,WBS!$E$5:$E$457,C22,WBS!$M$5:$M$457,"Could")</f>
        <v>0</v>
      </c>
      <c r="H22" s="1">
        <f>COUNTIFS(WBS!$D$5:$D$457,B22,WBS!$E$5:$E$457,C22,WBS!$N$5:$N$457,"Pha 1")</f>
        <v>0</v>
      </c>
      <c r="I22" s="1">
        <f>COUNTIFS(WBS!$D$5:$D$457,B22,WBS!$E$5:$E$457,C22,WBS!$N$5:$N$457,"Pha 2")</f>
        <v>3</v>
      </c>
      <c r="J22" s="1">
        <f>COUNTIFS(WBS!$D$5:$D$457,B22,WBS!$E$5:$E$457,C22,WBS!$N$5:$N$457,"Pha 3")</f>
        <v>0</v>
      </c>
      <c r="K22" s="1">
        <f>COUNTIFS(WBS!$D$5:$D$457,B22,WBS!$E$5:$E$457,C22,WBS!$O$5:$O$457,"Cần xác nhận")</f>
        <v>0</v>
      </c>
      <c r="M22" s="6">
        <f>SUMIFS(WBS!$U$5:$U$457,WBS!$D$5:$D$457,B22,WBS!$E$5:$E$457,C22)</f>
        <v>0</v>
      </c>
      <c r="N22" s="1" t="str">
        <f>IF(O22=1,"Done",IF(COUNTIFS(WBS!$D$5:$D$457,B22,WBS!$E$5:$E$457,C22,WBS!$Y$5:$Y$457,"Blocked")&gt;0,"Blocked",IF(COUNTIFS(WBS!$D$5:$D$457,B22,WBS!$E$5:$E$457,C22,WBS!$Y$5:$Y$457,"In Progress")&gt;0,"In Progress","Not Started")))</f>
        <v>Not Started</v>
      </c>
      <c r="O22" s="7">
        <f>IFERROR(AVERAGEIFS(WBS!$Z$5:$Z$457,WBS!$D$5:$D$457,B22,WBS!$E$5:$E$457,C22),0)</f>
        <v>0</v>
      </c>
      <c r="P22" s="1" t="str">
        <f t="shared" si="0"/>
        <v>Thực hiện Nhiệm vụ|Kế hoạch &amp; tiến độ</v>
      </c>
    </row>
    <row r="23" spans="1:16">
      <c r="A23" s="1" t="s">
        <v>1919</v>
      </c>
      <c r="B23" s="11" t="s">
        <v>639</v>
      </c>
      <c r="C23" s="11" t="s">
        <v>660</v>
      </c>
      <c r="D23" s="1">
        <f>COUNTIFS(WBS!$D$5:$D$457,B23,WBS!$E$5:$E$457,C23)</f>
        <v>2</v>
      </c>
      <c r="E23" s="1">
        <f>COUNTIFS(WBS!$D$5:$D$457,B23,WBS!$E$5:$E$457,C23,WBS!$M$5:$M$457,"Must")</f>
        <v>1</v>
      </c>
      <c r="F23" s="1">
        <f>COUNTIFS(WBS!$D$5:$D$457,B23,WBS!$E$5:$E$457,C23,WBS!$M$5:$M$457,"Should")</f>
        <v>0</v>
      </c>
      <c r="G23" s="1">
        <f>COUNTIFS(WBS!$D$5:$D$457,B23,WBS!$E$5:$E$457,C23,WBS!$M$5:$M$457,"Could")</f>
        <v>1</v>
      </c>
      <c r="H23" s="1">
        <f>COUNTIFS(WBS!$D$5:$D$457,B23,WBS!$E$5:$E$457,C23,WBS!$N$5:$N$457,"Pha 1")</f>
        <v>0</v>
      </c>
      <c r="I23" s="1">
        <f>COUNTIFS(WBS!$D$5:$D$457,B23,WBS!$E$5:$E$457,C23,WBS!$N$5:$N$457,"Pha 2")</f>
        <v>1</v>
      </c>
      <c r="J23" s="1">
        <f>COUNTIFS(WBS!$D$5:$D$457,B23,WBS!$E$5:$E$457,C23,WBS!$N$5:$N$457,"Pha 3")</f>
        <v>1</v>
      </c>
      <c r="K23" s="1">
        <f>COUNTIFS(WBS!$D$5:$D$457,B23,WBS!$E$5:$E$457,C23,WBS!$O$5:$O$457,"Cần xác nhận")</f>
        <v>1</v>
      </c>
      <c r="M23" s="6">
        <f>SUMIFS(WBS!$U$5:$U$457,WBS!$D$5:$D$457,B23,WBS!$E$5:$E$457,C23)</f>
        <v>0</v>
      </c>
      <c r="N23" s="1" t="str">
        <f>IF(O23=1,"Done",IF(COUNTIFS(WBS!$D$5:$D$457,B23,WBS!$E$5:$E$457,C23,WBS!$Y$5:$Y$457,"Blocked")&gt;0,"Blocked",IF(COUNTIFS(WBS!$D$5:$D$457,B23,WBS!$E$5:$E$457,C23,WBS!$Y$5:$Y$457,"In Progress")&gt;0,"In Progress","Not Started")))</f>
        <v>Not Started</v>
      </c>
      <c r="O23" s="7">
        <f>IFERROR(AVERAGEIFS(WBS!$Z$5:$Z$457,WBS!$D$5:$D$457,B23,WBS!$E$5:$E$457,C23),0)</f>
        <v>0</v>
      </c>
      <c r="P23" s="1" t="str">
        <f t="shared" si="0"/>
        <v>Thực hiện Nhiệm vụ|Nhân sự đề tài</v>
      </c>
    </row>
    <row r="24" spans="1:16">
      <c r="A24" s="1" t="s">
        <v>1920</v>
      </c>
      <c r="B24" s="11" t="s">
        <v>639</v>
      </c>
      <c r="C24" s="11" t="s">
        <v>670</v>
      </c>
      <c r="D24" s="1">
        <f>COUNTIFS(WBS!$D$5:$D$457,B24,WBS!$E$5:$E$457,C24)</f>
        <v>2</v>
      </c>
      <c r="E24" s="1">
        <f>COUNTIFS(WBS!$D$5:$D$457,B24,WBS!$E$5:$E$457,C24,WBS!$M$5:$M$457,"Must")</f>
        <v>2</v>
      </c>
      <c r="F24" s="1">
        <f>COUNTIFS(WBS!$D$5:$D$457,B24,WBS!$E$5:$E$457,C24,WBS!$M$5:$M$457,"Should")</f>
        <v>0</v>
      </c>
      <c r="G24" s="1">
        <f>COUNTIFS(WBS!$D$5:$D$457,B24,WBS!$E$5:$E$457,C24,WBS!$M$5:$M$457,"Could")</f>
        <v>0</v>
      </c>
      <c r="H24" s="1">
        <f>COUNTIFS(WBS!$D$5:$D$457,B24,WBS!$E$5:$E$457,C24,WBS!$N$5:$N$457,"Pha 1")</f>
        <v>0</v>
      </c>
      <c r="I24" s="1">
        <f>COUNTIFS(WBS!$D$5:$D$457,B24,WBS!$E$5:$E$457,C24,WBS!$N$5:$N$457,"Pha 2")</f>
        <v>2</v>
      </c>
      <c r="J24" s="1">
        <f>COUNTIFS(WBS!$D$5:$D$457,B24,WBS!$E$5:$E$457,C24,WBS!$N$5:$N$457,"Pha 3")</f>
        <v>0</v>
      </c>
      <c r="K24" s="1">
        <f>COUNTIFS(WBS!$D$5:$D$457,B24,WBS!$E$5:$E$457,C24,WBS!$O$5:$O$457,"Cần xác nhận")</f>
        <v>0</v>
      </c>
      <c r="M24" s="6">
        <f>SUMIFS(WBS!$U$5:$U$457,WBS!$D$5:$D$457,B24,WBS!$E$5:$E$457,C24)</f>
        <v>0</v>
      </c>
      <c r="N24" s="1" t="str">
        <f>IF(O24=1,"Done",IF(COUNTIFS(WBS!$D$5:$D$457,B24,WBS!$E$5:$E$457,C24,WBS!$Y$5:$Y$457,"Blocked")&gt;0,"Blocked",IF(COUNTIFS(WBS!$D$5:$D$457,B24,WBS!$E$5:$E$457,C24,WBS!$Y$5:$Y$457,"In Progress")&gt;0,"In Progress","Not Started")))</f>
        <v>Not Started</v>
      </c>
      <c r="O24" s="7">
        <f>IFERROR(AVERAGEIFS(WBS!$Z$5:$Z$457,WBS!$D$5:$D$457,B24,WBS!$E$5:$E$457,C24),0)</f>
        <v>0</v>
      </c>
      <c r="P24" s="1" t="str">
        <f t="shared" si="0"/>
        <v>Thực hiện Nhiệm vụ|Kinh phí thực hiện</v>
      </c>
    </row>
    <row r="25" spans="1:16">
      <c r="A25" s="1" t="s">
        <v>1921</v>
      </c>
      <c r="B25" s="11" t="s">
        <v>639</v>
      </c>
      <c r="C25" s="11" t="s">
        <v>681</v>
      </c>
      <c r="D25" s="1">
        <f>COUNTIFS(WBS!$D$5:$D$457,B25,WBS!$E$5:$E$457,C25)</f>
        <v>1</v>
      </c>
      <c r="E25" s="1">
        <f>COUNTIFS(WBS!$D$5:$D$457,B25,WBS!$E$5:$E$457,C25,WBS!$M$5:$M$457,"Must")</f>
        <v>1</v>
      </c>
      <c r="F25" s="1">
        <f>COUNTIFS(WBS!$D$5:$D$457,B25,WBS!$E$5:$E$457,C25,WBS!$M$5:$M$457,"Should")</f>
        <v>0</v>
      </c>
      <c r="G25" s="1">
        <f>COUNTIFS(WBS!$D$5:$D$457,B25,WBS!$E$5:$E$457,C25,WBS!$M$5:$M$457,"Could")</f>
        <v>0</v>
      </c>
      <c r="H25" s="1">
        <f>COUNTIFS(WBS!$D$5:$D$457,B25,WBS!$E$5:$E$457,C25,WBS!$N$5:$N$457,"Pha 1")</f>
        <v>0</v>
      </c>
      <c r="I25" s="1">
        <f>COUNTIFS(WBS!$D$5:$D$457,B25,WBS!$E$5:$E$457,C25,WBS!$N$5:$N$457,"Pha 2")</f>
        <v>1</v>
      </c>
      <c r="J25" s="1">
        <f>COUNTIFS(WBS!$D$5:$D$457,B25,WBS!$E$5:$E$457,C25,WBS!$N$5:$N$457,"Pha 3")</f>
        <v>0</v>
      </c>
      <c r="K25" s="1">
        <f>COUNTIFS(WBS!$D$5:$D$457,B25,WBS!$E$5:$E$457,C25,WBS!$O$5:$O$457,"Cần xác nhận")</f>
        <v>0</v>
      </c>
      <c r="M25" s="6">
        <f>SUMIFS(WBS!$U$5:$U$457,WBS!$D$5:$D$457,B25,WBS!$E$5:$E$457,C25)</f>
        <v>0</v>
      </c>
      <c r="N25" s="1" t="str">
        <f>IF(O25=1,"Done",IF(COUNTIFS(WBS!$D$5:$D$457,B25,WBS!$E$5:$E$457,C25,WBS!$Y$5:$Y$457,"Blocked")&gt;0,"Blocked",IF(COUNTIFS(WBS!$D$5:$D$457,B25,WBS!$E$5:$E$457,C25,WBS!$Y$5:$Y$457,"In Progress")&gt;0,"In Progress","Not Started")))</f>
        <v>Not Started</v>
      </c>
      <c r="O25" s="7">
        <f>IFERROR(AVERAGEIFS(WBS!$Z$5:$Z$457,WBS!$D$5:$D$457,B25,WBS!$E$5:$E$457,C25),0)</f>
        <v>0</v>
      </c>
      <c r="P25" s="1" t="str">
        <f t="shared" si="0"/>
        <v>Thực hiện Nhiệm vụ|Mua sắm</v>
      </c>
    </row>
    <row r="26" spans="1:16">
      <c r="A26" s="1" t="s">
        <v>1922</v>
      </c>
      <c r="B26" s="11" t="s">
        <v>639</v>
      </c>
      <c r="C26" s="11" t="s">
        <v>688</v>
      </c>
      <c r="D26" s="1">
        <f>COUNTIFS(WBS!$D$5:$D$457,B26,WBS!$E$5:$E$457,C26)</f>
        <v>1</v>
      </c>
      <c r="E26" s="1">
        <f>COUNTIFS(WBS!$D$5:$D$457,B26,WBS!$E$5:$E$457,C26,WBS!$M$5:$M$457,"Must")</f>
        <v>1</v>
      </c>
      <c r="F26" s="1">
        <f>COUNTIFS(WBS!$D$5:$D$457,B26,WBS!$E$5:$E$457,C26,WBS!$M$5:$M$457,"Should")</f>
        <v>0</v>
      </c>
      <c r="G26" s="1">
        <f>COUNTIFS(WBS!$D$5:$D$457,B26,WBS!$E$5:$E$457,C26,WBS!$M$5:$M$457,"Could")</f>
        <v>0</v>
      </c>
      <c r="H26" s="1">
        <f>COUNTIFS(WBS!$D$5:$D$457,B26,WBS!$E$5:$E$457,C26,WBS!$N$5:$N$457,"Pha 1")</f>
        <v>0</v>
      </c>
      <c r="I26" s="1">
        <f>COUNTIFS(WBS!$D$5:$D$457,B26,WBS!$E$5:$E$457,C26,WBS!$N$5:$N$457,"Pha 2")</f>
        <v>1</v>
      </c>
      <c r="J26" s="1">
        <f>COUNTIFS(WBS!$D$5:$D$457,B26,WBS!$E$5:$E$457,C26,WBS!$N$5:$N$457,"Pha 3")</f>
        <v>0</v>
      </c>
      <c r="K26" s="1">
        <f>COUNTIFS(WBS!$D$5:$D$457,B26,WBS!$E$5:$E$457,C26,WBS!$O$5:$O$457,"Cần xác nhận")</f>
        <v>0</v>
      </c>
      <c r="M26" s="6">
        <f>SUMIFS(WBS!$U$5:$U$457,WBS!$D$5:$D$457,B26,WBS!$E$5:$E$457,C26)</f>
        <v>0</v>
      </c>
      <c r="N26" s="1" t="str">
        <f>IF(O26=1,"Done",IF(COUNTIFS(WBS!$D$5:$D$457,B26,WBS!$E$5:$E$457,C26,WBS!$Y$5:$Y$457,"Blocked")&gt;0,"Blocked",IF(COUNTIFS(WBS!$D$5:$D$457,B26,WBS!$E$5:$E$457,C26,WBS!$Y$5:$Y$457,"In Progress")&gt;0,"In Progress","Not Started")))</f>
        <v>Not Started</v>
      </c>
      <c r="O26" s="7">
        <f>IFERROR(AVERAGEIFS(WBS!$Z$5:$Z$457,WBS!$D$5:$D$457,B26,WBS!$E$5:$E$457,C26),0)</f>
        <v>0</v>
      </c>
      <c r="P26" s="1" t="str">
        <f t="shared" si="0"/>
        <v>Thực hiện Nhiệm vụ|Tài sản/Vật tư</v>
      </c>
    </row>
    <row r="27" spans="1:16">
      <c r="A27" s="1" t="s">
        <v>1923</v>
      </c>
      <c r="B27" s="11" t="s">
        <v>639</v>
      </c>
      <c r="C27" s="11" t="s">
        <v>695</v>
      </c>
      <c r="D27" s="1">
        <f>COUNTIFS(WBS!$D$5:$D$457,B27,WBS!$E$5:$E$457,C27)</f>
        <v>8</v>
      </c>
      <c r="E27" s="1">
        <f>COUNTIFS(WBS!$D$5:$D$457,B27,WBS!$E$5:$E$457,C27,WBS!$M$5:$M$457,"Must")</f>
        <v>7</v>
      </c>
      <c r="F27" s="1">
        <f>COUNTIFS(WBS!$D$5:$D$457,B27,WBS!$E$5:$E$457,C27,WBS!$M$5:$M$457,"Should")</f>
        <v>1</v>
      </c>
      <c r="G27" s="1">
        <f>COUNTIFS(WBS!$D$5:$D$457,B27,WBS!$E$5:$E$457,C27,WBS!$M$5:$M$457,"Could")</f>
        <v>0</v>
      </c>
      <c r="H27" s="1">
        <f>COUNTIFS(WBS!$D$5:$D$457,B27,WBS!$E$5:$E$457,C27,WBS!$N$5:$N$457,"Pha 1")</f>
        <v>8</v>
      </c>
      <c r="I27" s="1">
        <f>COUNTIFS(WBS!$D$5:$D$457,B27,WBS!$E$5:$E$457,C27,WBS!$N$5:$N$457,"Pha 2")</f>
        <v>0</v>
      </c>
      <c r="J27" s="1">
        <f>COUNTIFS(WBS!$D$5:$D$457,B27,WBS!$E$5:$E$457,C27,WBS!$N$5:$N$457,"Pha 3")</f>
        <v>0</v>
      </c>
      <c r="K27" s="1">
        <f>COUNTIFS(WBS!$D$5:$D$457,B27,WBS!$E$5:$E$457,C27,WBS!$O$5:$O$457,"Cần xác nhận")</f>
        <v>1</v>
      </c>
      <c r="M27" s="6">
        <f>SUMIFS(WBS!$U$5:$U$457,WBS!$D$5:$D$457,B27,WBS!$E$5:$E$457,C27)</f>
        <v>0</v>
      </c>
      <c r="N27" s="1" t="str">
        <f>IF(O27=1,"Done",IF(COUNTIFS(WBS!$D$5:$D$457,B27,WBS!$E$5:$E$457,C27,WBS!$Y$5:$Y$457,"Blocked")&gt;0,"Blocked",IF(COUNTIFS(WBS!$D$5:$D$457,B27,WBS!$E$5:$E$457,C27,WBS!$Y$5:$Y$457,"In Progress")&gt;0,"In Progress","Not Started")))</f>
        <v>Not Started</v>
      </c>
      <c r="O27" s="7">
        <f>IFERROR(AVERAGEIFS(WBS!$Z$5:$Z$457,WBS!$D$5:$D$457,B27,WBS!$E$5:$E$457,C27),0)</f>
        <v>0</v>
      </c>
      <c r="P27" s="1" t="str">
        <f t="shared" si="0"/>
        <v>Thực hiện Nhiệm vụ|Báo cáo thực hiện</v>
      </c>
    </row>
    <row r="28" spans="1:16">
      <c r="A28" s="1" t="s">
        <v>1924</v>
      </c>
      <c r="B28" s="11" t="s">
        <v>723</v>
      </c>
      <c r="C28" s="11" t="s">
        <v>724</v>
      </c>
      <c r="D28" s="1">
        <f>COUNTIFS(WBS!$D$5:$D$457,B28,WBS!$E$5:$E$457,C28)</f>
        <v>72</v>
      </c>
      <c r="E28" s="1">
        <f>COUNTIFS(WBS!$D$5:$D$457,B28,WBS!$E$5:$E$457,C28,WBS!$M$5:$M$457,"Must")</f>
        <v>62</v>
      </c>
      <c r="F28" s="1">
        <f>COUNTIFS(WBS!$D$5:$D$457,B28,WBS!$E$5:$E$457,C28,WBS!$M$5:$M$457,"Should")</f>
        <v>10</v>
      </c>
      <c r="G28" s="1">
        <f>COUNTIFS(WBS!$D$5:$D$457,B28,WBS!$E$5:$E$457,C28,WBS!$M$5:$M$457,"Could")</f>
        <v>0</v>
      </c>
      <c r="H28" s="1">
        <f>COUNTIFS(WBS!$D$5:$D$457,B28,WBS!$E$5:$E$457,C28,WBS!$N$5:$N$457,"Pha 1")</f>
        <v>0</v>
      </c>
      <c r="I28" s="1">
        <f>COUNTIFS(WBS!$D$5:$D$457,B28,WBS!$E$5:$E$457,C28,WBS!$N$5:$N$457,"Pha 2")</f>
        <v>72</v>
      </c>
      <c r="J28" s="1">
        <f>COUNTIFS(WBS!$D$5:$D$457,B28,WBS!$E$5:$E$457,C28,WBS!$N$5:$N$457,"Pha 3")</f>
        <v>0</v>
      </c>
      <c r="K28" s="1">
        <f>COUNTIFS(WBS!$D$5:$D$457,B28,WBS!$E$5:$E$457,C28,WBS!$O$5:$O$457,"Cần xác nhận")</f>
        <v>0</v>
      </c>
      <c r="M28" s="6">
        <f>SUMIFS(WBS!$U$5:$U$457,WBS!$D$5:$D$457,B28,WBS!$E$5:$E$457,C28)</f>
        <v>0</v>
      </c>
      <c r="N28" s="1" t="str">
        <f>IF(O28=1,"Done",IF(COUNTIFS(WBS!$D$5:$D$457,B28,WBS!$E$5:$E$457,C28,WBS!$Y$5:$Y$457,"Blocked")&gt;0,"Blocked",IF(COUNTIFS(WBS!$D$5:$D$457,B28,WBS!$E$5:$E$457,C28,WBS!$Y$5:$Y$457,"In Progress")&gt;0,"In Progress","Not Started")))</f>
        <v>Not Started</v>
      </c>
      <c r="O28" s="7">
        <f>IFERROR(AVERAGEIFS(WBS!$Z$5:$Z$457,WBS!$D$5:$D$457,B28,WBS!$E$5:$E$457,C28),0)</f>
        <v>0</v>
      </c>
      <c r="P28" s="1" t="str">
        <f t="shared" si="0"/>
        <v>Điều chỉnh, Tạm dừng &amp; Dừng|Điều chỉnh nhiệm vụ</v>
      </c>
    </row>
    <row r="29" spans="1:16">
      <c r="A29" s="1" t="s">
        <v>1925</v>
      </c>
      <c r="B29" s="11" t="s">
        <v>965</v>
      </c>
      <c r="C29" s="11" t="s">
        <v>966</v>
      </c>
      <c r="D29" s="1">
        <f>COUNTIFS(WBS!$D$5:$D$457,B29,WBS!$E$5:$E$457,C29)</f>
        <v>11</v>
      </c>
      <c r="E29" s="1">
        <f>COUNTIFS(WBS!$D$5:$D$457,B29,WBS!$E$5:$E$457,C29,WBS!$M$5:$M$457,"Must")</f>
        <v>9</v>
      </c>
      <c r="F29" s="1">
        <f>COUNTIFS(WBS!$D$5:$D$457,B29,WBS!$E$5:$E$457,C29,WBS!$M$5:$M$457,"Should")</f>
        <v>2</v>
      </c>
      <c r="G29" s="1">
        <f>COUNTIFS(WBS!$D$5:$D$457,B29,WBS!$E$5:$E$457,C29,WBS!$M$5:$M$457,"Could")</f>
        <v>0</v>
      </c>
      <c r="H29" s="1">
        <f>COUNTIFS(WBS!$D$5:$D$457,B29,WBS!$E$5:$E$457,C29,WBS!$N$5:$N$457,"Pha 1")</f>
        <v>11</v>
      </c>
      <c r="I29" s="1">
        <f>COUNTIFS(WBS!$D$5:$D$457,B29,WBS!$E$5:$E$457,C29,WBS!$N$5:$N$457,"Pha 2")</f>
        <v>0</v>
      </c>
      <c r="J29" s="1">
        <f>COUNTIFS(WBS!$D$5:$D$457,B29,WBS!$E$5:$E$457,C29,WBS!$N$5:$N$457,"Pha 3")</f>
        <v>0</v>
      </c>
      <c r="K29" s="1">
        <f>COUNTIFS(WBS!$D$5:$D$457,B29,WBS!$E$5:$E$457,C29,WBS!$O$5:$O$457,"Cần xác nhận")</f>
        <v>0</v>
      </c>
      <c r="M29" s="6">
        <f>SUMIFS(WBS!$U$5:$U$457,WBS!$D$5:$D$457,B29,WBS!$E$5:$E$457,C29)</f>
        <v>0</v>
      </c>
      <c r="N29" s="1" t="str">
        <f>IF(O29=1,"Done",IF(COUNTIFS(WBS!$D$5:$D$457,B29,WBS!$E$5:$E$457,C29,WBS!$Y$5:$Y$457,"Blocked")&gt;0,"Blocked",IF(COUNTIFS(WBS!$D$5:$D$457,B29,WBS!$E$5:$E$457,C29,WBS!$Y$5:$Y$457,"In Progress")&gt;0,"In Progress","Not Started")))</f>
        <v>Not Started</v>
      </c>
      <c r="O29" s="7">
        <f>IFERROR(AVERAGEIFS(WBS!$Z$5:$Z$457,WBS!$D$5:$D$457,B29,WBS!$E$5:$E$457,C29),0)</f>
        <v>0</v>
      </c>
      <c r="P29" s="1" t="str">
        <f t="shared" si="0"/>
        <v>Nghiệm thu|Nghiệm thu nhiệm vụ</v>
      </c>
    </row>
    <row r="30" spans="1:16">
      <c r="A30" s="1" t="s">
        <v>1926</v>
      </c>
      <c r="B30" s="11" t="s">
        <v>1008</v>
      </c>
      <c r="C30" s="11" t="s">
        <v>1009</v>
      </c>
      <c r="D30" s="1">
        <f>COUNTIFS(WBS!$D$5:$D$457,B30,WBS!$E$5:$E$457,C30)</f>
        <v>11</v>
      </c>
      <c r="E30" s="1">
        <f>COUNTIFS(WBS!$D$5:$D$457,B30,WBS!$E$5:$E$457,C30,WBS!$M$5:$M$457,"Must")</f>
        <v>10</v>
      </c>
      <c r="F30" s="1">
        <f>COUNTIFS(WBS!$D$5:$D$457,B30,WBS!$E$5:$E$457,C30,WBS!$M$5:$M$457,"Should")</f>
        <v>1</v>
      </c>
      <c r="G30" s="1">
        <f>COUNTIFS(WBS!$D$5:$D$457,B30,WBS!$E$5:$E$457,C30,WBS!$M$5:$M$457,"Could")</f>
        <v>0</v>
      </c>
      <c r="H30" s="1">
        <f>COUNTIFS(WBS!$D$5:$D$457,B30,WBS!$E$5:$E$457,C30,WBS!$N$5:$N$457,"Pha 1")</f>
        <v>11</v>
      </c>
      <c r="I30" s="1">
        <f>COUNTIFS(WBS!$D$5:$D$457,B30,WBS!$E$5:$E$457,C30,WBS!$N$5:$N$457,"Pha 2")</f>
        <v>0</v>
      </c>
      <c r="J30" s="1">
        <f>COUNTIFS(WBS!$D$5:$D$457,B30,WBS!$E$5:$E$457,C30,WBS!$N$5:$N$457,"Pha 3")</f>
        <v>0</v>
      </c>
      <c r="K30" s="1">
        <f>COUNTIFS(WBS!$D$5:$D$457,B30,WBS!$E$5:$E$457,C30,WBS!$O$5:$O$457,"Cần xác nhận")</f>
        <v>0</v>
      </c>
      <c r="M30" s="6">
        <f>SUMIFS(WBS!$U$5:$U$457,WBS!$D$5:$D$457,B30,WBS!$E$5:$E$457,C30)</f>
        <v>0</v>
      </c>
      <c r="N30" s="1" t="str">
        <f>IF(O30=1,"Done",IF(COUNTIFS(WBS!$D$5:$D$457,B30,WBS!$E$5:$E$457,C30,WBS!$Y$5:$Y$457,"Blocked")&gt;0,"Blocked",IF(COUNTIFS(WBS!$D$5:$D$457,B30,WBS!$E$5:$E$457,C30,WBS!$Y$5:$Y$457,"In Progress")&gt;0,"In Progress","Not Started")))</f>
        <v>Not Started</v>
      </c>
      <c r="O30" s="7">
        <f>IFERROR(AVERAGEIFS(WBS!$Z$5:$Z$457,WBS!$D$5:$D$457,B30,WBS!$E$5:$E$457,C30),0)</f>
        <v>0</v>
      </c>
      <c r="P30" s="1" t="str">
        <f t="shared" si="0"/>
        <v>Quyết toán|Quyết toán nhiệm vụ</v>
      </c>
    </row>
    <row r="31" spans="1:16">
      <c r="A31" s="1" t="s">
        <v>1927</v>
      </c>
      <c r="B31" s="11" t="s">
        <v>1050</v>
      </c>
      <c r="C31" s="11" t="s">
        <v>1051</v>
      </c>
      <c r="D31" s="1">
        <f>COUNTIFS(WBS!$D$5:$D$457,B31,WBS!$E$5:$E$457,C31)</f>
        <v>7</v>
      </c>
      <c r="E31" s="1">
        <f>COUNTIFS(WBS!$D$5:$D$457,B31,WBS!$E$5:$E$457,C31,WBS!$M$5:$M$457,"Must")</f>
        <v>6</v>
      </c>
      <c r="F31" s="1">
        <f>COUNTIFS(WBS!$D$5:$D$457,B31,WBS!$E$5:$E$457,C31,WBS!$M$5:$M$457,"Should")</f>
        <v>1</v>
      </c>
      <c r="G31" s="1">
        <f>COUNTIFS(WBS!$D$5:$D$457,B31,WBS!$E$5:$E$457,C31,WBS!$M$5:$M$457,"Could")</f>
        <v>0</v>
      </c>
      <c r="H31" s="1">
        <f>COUNTIFS(WBS!$D$5:$D$457,B31,WBS!$E$5:$E$457,C31,WBS!$N$5:$N$457,"Pha 1")</f>
        <v>0</v>
      </c>
      <c r="I31" s="1">
        <f>COUNTIFS(WBS!$D$5:$D$457,B31,WBS!$E$5:$E$457,C31,WBS!$N$5:$N$457,"Pha 2")</f>
        <v>7</v>
      </c>
      <c r="J31" s="1">
        <f>COUNTIFS(WBS!$D$5:$D$457,B31,WBS!$E$5:$E$457,C31,WBS!$N$5:$N$457,"Pha 3")</f>
        <v>0</v>
      </c>
      <c r="K31" s="1">
        <f>COUNTIFS(WBS!$D$5:$D$457,B31,WBS!$E$5:$E$457,C31,WBS!$O$5:$O$457,"Cần xác nhận")</f>
        <v>0</v>
      </c>
      <c r="M31" s="6">
        <f>SUMIFS(WBS!$U$5:$U$457,WBS!$D$5:$D$457,B31,WBS!$E$5:$E$457,C31)</f>
        <v>0</v>
      </c>
      <c r="N31" s="1" t="str">
        <f>IF(O31=1,"Done",IF(COUNTIFS(WBS!$D$5:$D$457,B31,WBS!$E$5:$E$457,C31,WBS!$Y$5:$Y$457,"Blocked")&gt;0,"Blocked",IF(COUNTIFS(WBS!$D$5:$D$457,B31,WBS!$E$5:$E$457,C31,WBS!$Y$5:$Y$457,"In Progress")&gt;0,"In Progress","Not Started")))</f>
        <v>Not Started</v>
      </c>
      <c r="O31" s="7">
        <f>IFERROR(AVERAGEIFS(WBS!$Z$5:$Z$457,WBS!$D$5:$D$457,B31,WBS!$E$5:$E$457,C31),0)</f>
        <v>0</v>
      </c>
      <c r="P31" s="1" t="str">
        <f t="shared" si="0"/>
        <v>Sản phẩm Nghiên cứu &amp; SHTT|Sản phẩm nghiên cứu</v>
      </c>
    </row>
    <row r="32" spans="1:16">
      <c r="A32" s="1" t="s">
        <v>1928</v>
      </c>
      <c r="B32" s="11" t="s">
        <v>1050</v>
      </c>
      <c r="C32" s="11" t="s">
        <v>1076</v>
      </c>
      <c r="D32" s="1">
        <f>COUNTIFS(WBS!$D$5:$D$457,B32,WBS!$E$5:$E$457,C32)</f>
        <v>9</v>
      </c>
      <c r="E32" s="1">
        <f>COUNTIFS(WBS!$D$5:$D$457,B32,WBS!$E$5:$E$457,C32,WBS!$M$5:$M$457,"Must")</f>
        <v>8</v>
      </c>
      <c r="F32" s="1">
        <f>COUNTIFS(WBS!$D$5:$D$457,B32,WBS!$E$5:$E$457,C32,WBS!$M$5:$M$457,"Should")</f>
        <v>1</v>
      </c>
      <c r="G32" s="1">
        <f>COUNTIFS(WBS!$D$5:$D$457,B32,WBS!$E$5:$E$457,C32,WBS!$M$5:$M$457,"Could")</f>
        <v>0</v>
      </c>
      <c r="H32" s="1">
        <f>COUNTIFS(WBS!$D$5:$D$457,B32,WBS!$E$5:$E$457,C32,WBS!$N$5:$N$457,"Pha 1")</f>
        <v>9</v>
      </c>
      <c r="I32" s="1">
        <f>COUNTIFS(WBS!$D$5:$D$457,B32,WBS!$E$5:$E$457,C32,WBS!$N$5:$N$457,"Pha 2")</f>
        <v>0</v>
      </c>
      <c r="J32" s="1">
        <f>COUNTIFS(WBS!$D$5:$D$457,B32,WBS!$E$5:$E$457,C32,WBS!$N$5:$N$457,"Pha 3")</f>
        <v>0</v>
      </c>
      <c r="K32" s="1">
        <f>COUNTIFS(WBS!$D$5:$D$457,B32,WBS!$E$5:$E$457,C32,WBS!$O$5:$O$457,"Cần xác nhận")</f>
        <v>2</v>
      </c>
      <c r="M32" s="6">
        <f>SUMIFS(WBS!$U$5:$U$457,WBS!$D$5:$D$457,B32,WBS!$E$5:$E$457,C32)</f>
        <v>0</v>
      </c>
      <c r="N32" s="1" t="str">
        <f>IF(O32=1,"Done",IF(COUNTIFS(WBS!$D$5:$D$457,B32,WBS!$E$5:$E$457,C32,WBS!$Y$5:$Y$457,"Blocked")&gt;0,"Blocked",IF(COUNTIFS(WBS!$D$5:$D$457,B32,WBS!$E$5:$E$457,C32,WBS!$Y$5:$Y$457,"In Progress")&gt;0,"In Progress","Not Started")))</f>
        <v>Not Started</v>
      </c>
      <c r="O32" s="7">
        <f>IFERROR(AVERAGEIFS(WBS!$Z$5:$Z$457,WBS!$D$5:$D$457,B32,WBS!$E$5:$E$457,C32),0)</f>
        <v>0</v>
      </c>
      <c r="P32" s="1" t="str">
        <f t="shared" si="0"/>
        <v>Sản phẩm Nghiên cứu &amp; SHTT|Sở hữu trí tuệ</v>
      </c>
    </row>
    <row r="33" spans="1:16">
      <c r="A33" s="1" t="s">
        <v>1929</v>
      </c>
      <c r="B33" s="11" t="s">
        <v>1050</v>
      </c>
      <c r="C33" s="11" t="s">
        <v>1111</v>
      </c>
      <c r="D33" s="1">
        <f>COUNTIFS(WBS!$D$5:$D$457,B33,WBS!$E$5:$E$457,C33)</f>
        <v>6</v>
      </c>
      <c r="E33" s="1">
        <f>COUNTIFS(WBS!$D$5:$D$457,B33,WBS!$E$5:$E$457,C33,WBS!$M$5:$M$457,"Must")</f>
        <v>1</v>
      </c>
      <c r="F33" s="1">
        <f>COUNTIFS(WBS!$D$5:$D$457,B33,WBS!$E$5:$E$457,C33,WBS!$M$5:$M$457,"Should")</f>
        <v>5</v>
      </c>
      <c r="G33" s="1">
        <f>COUNTIFS(WBS!$D$5:$D$457,B33,WBS!$E$5:$E$457,C33,WBS!$M$5:$M$457,"Could")</f>
        <v>0</v>
      </c>
      <c r="H33" s="1">
        <f>COUNTIFS(WBS!$D$5:$D$457,B33,WBS!$E$5:$E$457,C33,WBS!$N$5:$N$457,"Pha 1")</f>
        <v>0</v>
      </c>
      <c r="I33" s="1">
        <f>COUNTIFS(WBS!$D$5:$D$457,B33,WBS!$E$5:$E$457,C33,WBS!$N$5:$N$457,"Pha 2")</f>
        <v>0</v>
      </c>
      <c r="J33" s="1">
        <f>COUNTIFS(WBS!$D$5:$D$457,B33,WBS!$E$5:$E$457,C33,WBS!$N$5:$N$457,"Pha 3")</f>
        <v>6</v>
      </c>
      <c r="K33" s="1">
        <f>COUNTIFS(WBS!$D$5:$D$457,B33,WBS!$E$5:$E$457,C33,WBS!$O$5:$O$457,"Cần xác nhận")</f>
        <v>0</v>
      </c>
      <c r="M33" s="6">
        <f>SUMIFS(WBS!$U$5:$U$457,WBS!$D$5:$D$457,B33,WBS!$E$5:$E$457,C33)</f>
        <v>0</v>
      </c>
      <c r="N33" s="1" t="str">
        <f>IF(O33=1,"Done",IF(COUNTIFS(WBS!$D$5:$D$457,B33,WBS!$E$5:$E$457,C33,WBS!$Y$5:$Y$457,"Blocked")&gt;0,"Blocked",IF(COUNTIFS(WBS!$D$5:$D$457,B33,WBS!$E$5:$E$457,C33,WBS!$Y$5:$Y$457,"In Progress")&gt;0,"In Progress","Not Started")))</f>
        <v>Not Started</v>
      </c>
      <c r="O33" s="7">
        <f>IFERROR(AVERAGEIFS(WBS!$Z$5:$Z$457,WBS!$D$5:$D$457,B33,WBS!$E$5:$E$457,C33),0)</f>
        <v>0</v>
      </c>
      <c r="P33" s="1" t="str">
        <f t="shared" si="0"/>
        <v>Sản phẩm Nghiên cứu &amp; SHTT|Công bố khoa học</v>
      </c>
    </row>
    <row r="34" spans="1:16">
      <c r="A34" s="1" t="s">
        <v>1930</v>
      </c>
      <c r="B34" s="11" t="s">
        <v>1050</v>
      </c>
      <c r="C34" s="11" t="s">
        <v>1132</v>
      </c>
      <c r="D34" s="1">
        <f>COUNTIFS(WBS!$D$5:$D$457,B34,WBS!$E$5:$E$457,C34)</f>
        <v>1</v>
      </c>
      <c r="E34" s="1">
        <f>COUNTIFS(WBS!$D$5:$D$457,B34,WBS!$E$5:$E$457,C34,WBS!$M$5:$M$457,"Must")</f>
        <v>0</v>
      </c>
      <c r="F34" s="1">
        <f>COUNTIFS(WBS!$D$5:$D$457,B34,WBS!$E$5:$E$457,C34,WBS!$M$5:$M$457,"Should")</f>
        <v>0</v>
      </c>
      <c r="G34" s="1">
        <f>COUNTIFS(WBS!$D$5:$D$457,B34,WBS!$E$5:$E$457,C34,WBS!$M$5:$M$457,"Could")</f>
        <v>1</v>
      </c>
      <c r="H34" s="1">
        <f>COUNTIFS(WBS!$D$5:$D$457,B34,WBS!$E$5:$E$457,C34,WBS!$N$5:$N$457,"Pha 1")</f>
        <v>0</v>
      </c>
      <c r="I34" s="1">
        <f>COUNTIFS(WBS!$D$5:$D$457,B34,WBS!$E$5:$E$457,C34,WBS!$N$5:$N$457,"Pha 2")</f>
        <v>0</v>
      </c>
      <c r="J34" s="1">
        <f>COUNTIFS(WBS!$D$5:$D$457,B34,WBS!$E$5:$E$457,C34,WBS!$N$5:$N$457,"Pha 3")</f>
        <v>1</v>
      </c>
      <c r="K34" s="1">
        <f>COUNTIFS(WBS!$D$5:$D$457,B34,WBS!$E$5:$E$457,C34,WBS!$O$5:$O$457,"Cần xác nhận")</f>
        <v>0</v>
      </c>
      <c r="M34" s="6">
        <f>SUMIFS(WBS!$U$5:$U$457,WBS!$D$5:$D$457,B34,WBS!$E$5:$E$457,C34)</f>
        <v>0</v>
      </c>
      <c r="N34" s="1" t="str">
        <f>IF(O34=1,"Done",IF(COUNTIFS(WBS!$D$5:$D$457,B34,WBS!$E$5:$E$457,C34,WBS!$Y$5:$Y$457,"Blocked")&gt;0,"Blocked",IF(COUNTIFS(WBS!$D$5:$D$457,B34,WBS!$E$5:$E$457,C34,WBS!$Y$5:$Y$457,"In Progress")&gt;0,"In Progress","Not Started")))</f>
        <v>Not Started</v>
      </c>
      <c r="O34" s="7">
        <f>IFERROR(AVERAGEIFS(WBS!$Z$5:$Z$457,WBS!$D$5:$D$457,B34,WBS!$E$5:$E$457,C34),0)</f>
        <v>0</v>
      </c>
      <c r="P34" s="1" t="str">
        <f t="shared" si="0"/>
        <v>Sản phẩm Nghiên cứu &amp; SHTT|Công nghệ &amp; chuyển giao</v>
      </c>
    </row>
    <row r="35" spans="1:16">
      <c r="A35" s="1" t="s">
        <v>1931</v>
      </c>
      <c r="B35" s="11" t="s">
        <v>1137</v>
      </c>
      <c r="C35" s="11" t="s">
        <v>1138</v>
      </c>
      <c r="D35" s="1">
        <f>COUNTIFS(WBS!$D$5:$D$457,B35,WBS!$E$5:$E$457,C35)</f>
        <v>7</v>
      </c>
      <c r="E35" s="1">
        <f>COUNTIFS(WBS!$D$5:$D$457,B35,WBS!$E$5:$E$457,C35,WBS!$M$5:$M$457,"Must")</f>
        <v>1</v>
      </c>
      <c r="F35" s="1">
        <f>COUNTIFS(WBS!$D$5:$D$457,B35,WBS!$E$5:$E$457,C35,WBS!$M$5:$M$457,"Should")</f>
        <v>6</v>
      </c>
      <c r="G35" s="1">
        <f>COUNTIFS(WBS!$D$5:$D$457,B35,WBS!$E$5:$E$457,C35,WBS!$M$5:$M$457,"Could")</f>
        <v>0</v>
      </c>
      <c r="H35" s="1">
        <f>COUNTIFS(WBS!$D$5:$D$457,B35,WBS!$E$5:$E$457,C35,WBS!$N$5:$N$457,"Pha 1")</f>
        <v>0</v>
      </c>
      <c r="I35" s="1">
        <f>COUNTIFS(WBS!$D$5:$D$457,B35,WBS!$E$5:$E$457,C35,WBS!$N$5:$N$457,"Pha 2")</f>
        <v>7</v>
      </c>
      <c r="J35" s="1">
        <f>COUNTIFS(WBS!$D$5:$D$457,B35,WBS!$E$5:$E$457,C35,WBS!$N$5:$N$457,"Pha 3")</f>
        <v>0</v>
      </c>
      <c r="K35" s="1">
        <f>COUNTIFS(WBS!$D$5:$D$457,B35,WBS!$E$5:$E$457,C35,WBS!$O$5:$O$457,"Cần xác nhận")</f>
        <v>0</v>
      </c>
      <c r="M35" s="6">
        <f>SUMIFS(WBS!$U$5:$U$457,WBS!$D$5:$D$457,B35,WBS!$E$5:$E$457,C35)</f>
        <v>0</v>
      </c>
      <c r="N35" s="1" t="str">
        <f>IF(O35=1,"Done",IF(COUNTIFS(WBS!$D$5:$D$457,B35,WBS!$E$5:$E$457,C35,WBS!$Y$5:$Y$457,"Blocked")&gt;0,"Blocked",IF(COUNTIFS(WBS!$D$5:$D$457,B35,WBS!$E$5:$E$457,C35,WBS!$Y$5:$Y$457,"In Progress")&gt;0,"In Progress","Not Started")))</f>
        <v>Not Started</v>
      </c>
      <c r="O35" s="7">
        <f>IFERROR(AVERAGEIFS(WBS!$Z$5:$Z$457,WBS!$D$5:$D$457,B35,WBS!$E$5:$E$457,C35),0)</f>
        <v>0</v>
      </c>
      <c r="P35" s="1" t="str">
        <f t="shared" si="0"/>
        <v>Báo cáo &amp; Điều hành|Dashboard lãnh đạo</v>
      </c>
    </row>
    <row r="36" spans="1:16">
      <c r="A36" s="1" t="s">
        <v>1932</v>
      </c>
      <c r="B36" s="11" t="s">
        <v>1137</v>
      </c>
      <c r="C36" s="11" t="s">
        <v>1165</v>
      </c>
      <c r="D36" s="1">
        <f>COUNTIFS(WBS!$D$5:$D$457,B36,WBS!$E$5:$E$457,C36)</f>
        <v>3</v>
      </c>
      <c r="E36" s="1">
        <f>COUNTIFS(WBS!$D$5:$D$457,B36,WBS!$E$5:$E$457,C36,WBS!$M$5:$M$457,"Must")</f>
        <v>2</v>
      </c>
      <c r="F36" s="1">
        <f>COUNTIFS(WBS!$D$5:$D$457,B36,WBS!$E$5:$E$457,C36,WBS!$M$5:$M$457,"Should")</f>
        <v>1</v>
      </c>
      <c r="G36" s="1">
        <f>COUNTIFS(WBS!$D$5:$D$457,B36,WBS!$E$5:$E$457,C36,WBS!$M$5:$M$457,"Could")</f>
        <v>0</v>
      </c>
      <c r="H36" s="1">
        <f>COUNTIFS(WBS!$D$5:$D$457,B36,WBS!$E$5:$E$457,C36,WBS!$N$5:$N$457,"Pha 1")</f>
        <v>0</v>
      </c>
      <c r="I36" s="1">
        <f>COUNTIFS(WBS!$D$5:$D$457,B36,WBS!$E$5:$E$457,C36,WBS!$N$5:$N$457,"Pha 2")</f>
        <v>3</v>
      </c>
      <c r="J36" s="1">
        <f>COUNTIFS(WBS!$D$5:$D$457,B36,WBS!$E$5:$E$457,C36,WBS!$N$5:$N$457,"Pha 3")</f>
        <v>0</v>
      </c>
      <c r="K36" s="1">
        <f>COUNTIFS(WBS!$D$5:$D$457,B36,WBS!$E$5:$E$457,C36,WBS!$O$5:$O$457,"Cần xác nhận")</f>
        <v>0</v>
      </c>
      <c r="M36" s="6">
        <f>SUMIFS(WBS!$U$5:$U$457,WBS!$D$5:$D$457,B36,WBS!$E$5:$E$457,C36)</f>
        <v>0</v>
      </c>
      <c r="N36" s="1" t="str">
        <f>IF(O36=1,"Done",IF(COUNTIFS(WBS!$D$5:$D$457,B36,WBS!$E$5:$E$457,C36,WBS!$Y$5:$Y$457,"Blocked")&gt;0,"Blocked",IF(COUNTIFS(WBS!$D$5:$D$457,B36,WBS!$E$5:$E$457,C36,WBS!$Y$5:$Y$457,"In Progress")&gt;0,"In Progress","Not Started")))</f>
        <v>Not Started</v>
      </c>
      <c r="O36" s="7">
        <f>IFERROR(AVERAGEIFS(WBS!$Z$5:$Z$457,WBS!$D$5:$D$457,B36,WBS!$E$5:$E$457,C36),0)</f>
        <v>0</v>
      </c>
      <c r="P36" s="1" t="str">
        <f t="shared" si="0"/>
        <v>Báo cáo &amp; Điều hành|Báo cáo nghiệp vụ</v>
      </c>
    </row>
    <row r="37" spans="1:16">
      <c r="A37" s="1" t="s">
        <v>1933</v>
      </c>
      <c r="B37" s="11" t="s">
        <v>1179</v>
      </c>
      <c r="C37" s="11" t="s">
        <v>1180</v>
      </c>
      <c r="D37" s="1">
        <f>COUNTIFS(WBS!$D$5:$D$457,B37,WBS!$E$5:$E$457,C37)</f>
        <v>8</v>
      </c>
      <c r="E37" s="1">
        <f>COUNTIFS(WBS!$D$5:$D$457,B37,WBS!$E$5:$E$457,C37,WBS!$M$5:$M$457,"Must")</f>
        <v>7</v>
      </c>
      <c r="F37" s="1">
        <f>COUNTIFS(WBS!$D$5:$D$457,B37,WBS!$E$5:$E$457,C37,WBS!$M$5:$M$457,"Should")</f>
        <v>1</v>
      </c>
      <c r="G37" s="1">
        <f>COUNTIFS(WBS!$D$5:$D$457,B37,WBS!$E$5:$E$457,C37,WBS!$M$5:$M$457,"Could")</f>
        <v>0</v>
      </c>
      <c r="H37" s="1">
        <f>COUNTIFS(WBS!$D$5:$D$457,B37,WBS!$E$5:$E$457,C37,WBS!$N$5:$N$457,"Pha 1")</f>
        <v>8</v>
      </c>
      <c r="I37" s="1">
        <f>COUNTIFS(WBS!$D$5:$D$457,B37,WBS!$E$5:$E$457,C37,WBS!$N$5:$N$457,"Pha 2")</f>
        <v>0</v>
      </c>
      <c r="J37" s="1">
        <f>COUNTIFS(WBS!$D$5:$D$457,B37,WBS!$E$5:$E$457,C37,WBS!$N$5:$N$457,"Pha 3")</f>
        <v>0</v>
      </c>
      <c r="K37" s="1">
        <f>COUNTIFS(WBS!$D$5:$D$457,B37,WBS!$E$5:$E$457,C37,WBS!$O$5:$O$457,"Cần xác nhận")</f>
        <v>1</v>
      </c>
      <c r="M37" s="6">
        <f>SUMIFS(WBS!$U$5:$U$457,WBS!$D$5:$D$457,B37,WBS!$E$5:$E$457,C37)</f>
        <v>0</v>
      </c>
      <c r="N37" s="1" t="str">
        <f>IF(O37=1,"Done",IF(COUNTIFS(WBS!$D$5:$D$457,B37,WBS!$E$5:$E$457,C37,WBS!$Y$5:$Y$457,"Blocked")&gt;0,"Blocked",IF(COUNTIFS(WBS!$D$5:$D$457,B37,WBS!$E$5:$E$457,C37,WBS!$Y$5:$Y$457,"In Progress")&gt;0,"In Progress","Not Started")))</f>
        <v>Not Started</v>
      </c>
      <c r="O37" s="7">
        <f>IFERROR(AVERAGEIFS(WBS!$Z$5:$Z$457,WBS!$D$5:$D$457,B37,WBS!$E$5:$E$457,C37),0)</f>
        <v>0</v>
      </c>
      <c r="P37" s="1" t="str">
        <f t="shared" ref="P37:P66" si="1">B37&amp;"|"&amp;C37</f>
        <v>Lưu trữ, Pháp lý &amp; Tra cứu|Hồ sơ pháp lý</v>
      </c>
    </row>
    <row r="38" spans="1:16">
      <c r="A38" s="1" t="s">
        <v>1934</v>
      </c>
      <c r="B38" s="11" t="s">
        <v>1179</v>
      </c>
      <c r="C38" s="11" t="s">
        <v>1208</v>
      </c>
      <c r="D38" s="1">
        <f>COUNTIFS(WBS!$D$5:$D$457,B38,WBS!$E$5:$E$457,C38)</f>
        <v>2</v>
      </c>
      <c r="E38" s="1">
        <f>COUNTIFS(WBS!$D$5:$D$457,B38,WBS!$E$5:$E$457,C38,WBS!$M$5:$M$457,"Must")</f>
        <v>1</v>
      </c>
      <c r="F38" s="1">
        <f>COUNTIFS(WBS!$D$5:$D$457,B38,WBS!$E$5:$E$457,C38,WBS!$M$5:$M$457,"Should")</f>
        <v>0</v>
      </c>
      <c r="G38" s="1">
        <f>COUNTIFS(WBS!$D$5:$D$457,B38,WBS!$E$5:$E$457,C38,WBS!$M$5:$M$457,"Could")</f>
        <v>1</v>
      </c>
      <c r="H38" s="1">
        <f>COUNTIFS(WBS!$D$5:$D$457,B38,WBS!$E$5:$E$457,C38,WBS!$N$5:$N$457,"Pha 1")</f>
        <v>1</v>
      </c>
      <c r="I38" s="1">
        <f>COUNTIFS(WBS!$D$5:$D$457,B38,WBS!$E$5:$E$457,C38,WBS!$N$5:$N$457,"Pha 2")</f>
        <v>0</v>
      </c>
      <c r="J38" s="1">
        <f>COUNTIFS(WBS!$D$5:$D$457,B38,WBS!$E$5:$E$457,C38,WBS!$N$5:$N$457,"Pha 3")</f>
        <v>1</v>
      </c>
      <c r="K38" s="1">
        <f>COUNTIFS(WBS!$D$5:$D$457,B38,WBS!$E$5:$E$457,C38,WBS!$O$5:$O$457,"Cần xác nhận")</f>
        <v>1</v>
      </c>
      <c r="M38" s="6">
        <f>SUMIFS(WBS!$U$5:$U$457,WBS!$D$5:$D$457,B38,WBS!$E$5:$E$457,C38)</f>
        <v>0</v>
      </c>
      <c r="N38" s="1" t="str">
        <f>IF(O38=1,"Done",IF(COUNTIFS(WBS!$D$5:$D$457,B38,WBS!$E$5:$E$457,C38,WBS!$Y$5:$Y$457,"Blocked")&gt;0,"Blocked",IF(COUNTIFS(WBS!$D$5:$D$457,B38,WBS!$E$5:$E$457,C38,WBS!$Y$5:$Y$457,"In Progress")&gt;0,"In Progress","Not Started")))</f>
        <v>Not Started</v>
      </c>
      <c r="O38" s="7">
        <f>IFERROR(AVERAGEIFS(WBS!$Z$5:$Z$457,WBS!$D$5:$D$457,B38,WBS!$E$5:$E$457,C38),0)</f>
        <v>0</v>
      </c>
      <c r="P38" s="1" t="str">
        <f t="shared" si="1"/>
        <v>Lưu trữ, Pháp lý &amp; Tra cứu|Lưu trữ điện tử</v>
      </c>
    </row>
    <row r="39" spans="1:16">
      <c r="A39" s="1" t="s">
        <v>1935</v>
      </c>
      <c r="B39" s="11" t="s">
        <v>1179</v>
      </c>
      <c r="C39" s="11" t="s">
        <v>1220</v>
      </c>
      <c r="D39" s="1">
        <f>COUNTIFS(WBS!$D$5:$D$457,B39,WBS!$E$5:$E$457,C39)</f>
        <v>2</v>
      </c>
      <c r="E39" s="1">
        <f>COUNTIFS(WBS!$D$5:$D$457,B39,WBS!$E$5:$E$457,C39,WBS!$M$5:$M$457,"Must")</f>
        <v>0</v>
      </c>
      <c r="F39" s="1">
        <f>COUNTIFS(WBS!$D$5:$D$457,B39,WBS!$E$5:$E$457,C39,WBS!$M$5:$M$457,"Should")</f>
        <v>1</v>
      </c>
      <c r="G39" s="1">
        <f>COUNTIFS(WBS!$D$5:$D$457,B39,WBS!$E$5:$E$457,C39,WBS!$M$5:$M$457,"Could")</f>
        <v>1</v>
      </c>
      <c r="H39" s="1">
        <f>COUNTIFS(WBS!$D$5:$D$457,B39,WBS!$E$5:$E$457,C39,WBS!$N$5:$N$457,"Pha 1")</f>
        <v>0</v>
      </c>
      <c r="I39" s="1">
        <f>COUNTIFS(WBS!$D$5:$D$457,B39,WBS!$E$5:$E$457,C39,WBS!$N$5:$N$457,"Pha 2")</f>
        <v>1</v>
      </c>
      <c r="J39" s="1">
        <f>COUNTIFS(WBS!$D$5:$D$457,B39,WBS!$E$5:$E$457,C39,WBS!$N$5:$N$457,"Pha 3")</f>
        <v>1</v>
      </c>
      <c r="K39" s="1">
        <f>COUNTIFS(WBS!$D$5:$D$457,B39,WBS!$E$5:$E$457,C39,WBS!$O$5:$O$457,"Cần xác nhận")</f>
        <v>0</v>
      </c>
      <c r="M39" s="6">
        <f>SUMIFS(WBS!$U$5:$U$457,WBS!$D$5:$D$457,B39,WBS!$E$5:$E$457,C39)</f>
        <v>0</v>
      </c>
      <c r="N39" s="1" t="str">
        <f>IF(O39=1,"Done",IF(COUNTIFS(WBS!$D$5:$D$457,B39,WBS!$E$5:$E$457,C39,WBS!$Y$5:$Y$457,"Blocked")&gt;0,"Blocked",IF(COUNTIFS(WBS!$D$5:$D$457,B39,WBS!$E$5:$E$457,C39,WBS!$Y$5:$Y$457,"In Progress")&gt;0,"In Progress","Not Started")))</f>
        <v>Not Started</v>
      </c>
      <c r="O39" s="7">
        <f>IFERROR(AVERAGEIFS(WBS!$Z$5:$Z$457,WBS!$D$5:$D$457,B39,WBS!$E$5:$E$457,C39),0)</f>
        <v>0</v>
      </c>
      <c r="P39" s="1" t="str">
        <f t="shared" si="1"/>
        <v>Lưu trữ, Pháp lý &amp; Tra cứu|Tra cứu toàn văn</v>
      </c>
    </row>
    <row r="40" spans="1:16">
      <c r="A40" s="1" t="s">
        <v>1936</v>
      </c>
      <c r="B40" s="11" t="s">
        <v>1228</v>
      </c>
      <c r="C40" s="11" t="s">
        <v>1229</v>
      </c>
      <c r="D40" s="1">
        <f>COUNTIFS(WBS!$D$5:$D$457,B40,WBS!$E$5:$E$457,C40)</f>
        <v>13</v>
      </c>
      <c r="E40" s="1">
        <f>COUNTIFS(WBS!$D$5:$D$457,B40,WBS!$E$5:$E$457,C40,WBS!$M$5:$M$457,"Must")</f>
        <v>11</v>
      </c>
      <c r="F40" s="1">
        <f>COUNTIFS(WBS!$D$5:$D$457,B40,WBS!$E$5:$E$457,C40,WBS!$M$5:$M$457,"Should")</f>
        <v>2</v>
      </c>
      <c r="G40" s="1">
        <f>COUNTIFS(WBS!$D$5:$D$457,B40,WBS!$E$5:$E$457,C40,WBS!$M$5:$M$457,"Could")</f>
        <v>0</v>
      </c>
      <c r="H40" s="1">
        <f>COUNTIFS(WBS!$D$5:$D$457,B40,WBS!$E$5:$E$457,C40,WBS!$N$5:$N$457,"Pha 1")</f>
        <v>13</v>
      </c>
      <c r="I40" s="1">
        <f>COUNTIFS(WBS!$D$5:$D$457,B40,WBS!$E$5:$E$457,C40,WBS!$N$5:$N$457,"Pha 2")</f>
        <v>0</v>
      </c>
      <c r="J40" s="1">
        <f>COUNTIFS(WBS!$D$5:$D$457,B40,WBS!$E$5:$E$457,C40,WBS!$N$5:$N$457,"Pha 3")</f>
        <v>0</v>
      </c>
      <c r="K40" s="1">
        <f>COUNTIFS(WBS!$D$5:$D$457,B40,WBS!$E$5:$E$457,C40,WBS!$O$5:$O$457,"Cần xác nhận")</f>
        <v>2</v>
      </c>
      <c r="M40" s="6">
        <f>SUMIFS(WBS!$U$5:$U$457,WBS!$D$5:$D$457,B40,WBS!$E$5:$E$457,C40)</f>
        <v>0</v>
      </c>
      <c r="N40" s="1" t="str">
        <f>IF(O40=1,"Done",IF(COUNTIFS(WBS!$D$5:$D$457,B40,WBS!$E$5:$E$457,C40,WBS!$Y$5:$Y$457,"Blocked")&gt;0,"Blocked",IF(COUNTIFS(WBS!$D$5:$D$457,B40,WBS!$E$5:$E$457,C40,WBS!$Y$5:$Y$457,"In Progress")&gt;0,"In Progress","Not Started")))</f>
        <v>Not Started</v>
      </c>
      <c r="O40" s="7">
        <f>IFERROR(AVERAGEIFS(WBS!$Z$5:$Z$457,WBS!$D$5:$D$457,B40,WBS!$E$5:$E$457,C40),0)</f>
        <v>0</v>
      </c>
      <c r="P40" s="1" t="str">
        <f t="shared" si="1"/>
        <v>Quy trình &amp; Cấu hình Nghiệp vụ|Định nghĩa quy trình</v>
      </c>
    </row>
    <row r="41" spans="1:16">
      <c r="A41" s="1" t="s">
        <v>1937</v>
      </c>
      <c r="B41" s="11" t="s">
        <v>1228</v>
      </c>
      <c r="C41" s="11" t="s">
        <v>1283</v>
      </c>
      <c r="D41" s="1">
        <f>COUNTIFS(WBS!$D$5:$D$457,B41,WBS!$E$5:$E$457,C41)</f>
        <v>5</v>
      </c>
      <c r="E41" s="1">
        <f>COUNTIFS(WBS!$D$5:$D$457,B41,WBS!$E$5:$E$457,C41,WBS!$M$5:$M$457,"Must")</f>
        <v>3</v>
      </c>
      <c r="F41" s="1">
        <f>COUNTIFS(WBS!$D$5:$D$457,B41,WBS!$E$5:$E$457,C41,WBS!$M$5:$M$457,"Should")</f>
        <v>2</v>
      </c>
      <c r="G41" s="1">
        <f>COUNTIFS(WBS!$D$5:$D$457,B41,WBS!$E$5:$E$457,C41,WBS!$M$5:$M$457,"Could")</f>
        <v>0</v>
      </c>
      <c r="H41" s="1">
        <f>COUNTIFS(WBS!$D$5:$D$457,B41,WBS!$E$5:$E$457,C41,WBS!$N$5:$N$457,"Pha 1")</f>
        <v>4</v>
      </c>
      <c r="I41" s="1">
        <f>COUNTIFS(WBS!$D$5:$D$457,B41,WBS!$E$5:$E$457,C41,WBS!$N$5:$N$457,"Pha 2")</f>
        <v>1</v>
      </c>
      <c r="J41" s="1">
        <f>COUNTIFS(WBS!$D$5:$D$457,B41,WBS!$E$5:$E$457,C41,WBS!$N$5:$N$457,"Pha 3")</f>
        <v>0</v>
      </c>
      <c r="K41" s="1">
        <f>COUNTIFS(WBS!$D$5:$D$457,B41,WBS!$E$5:$E$457,C41,WBS!$O$5:$O$457,"Cần xác nhận")</f>
        <v>0</v>
      </c>
      <c r="M41" s="6">
        <f>SUMIFS(WBS!$U$5:$U$457,WBS!$D$5:$D$457,B41,WBS!$E$5:$E$457,C41)</f>
        <v>0</v>
      </c>
      <c r="N41" s="1" t="str">
        <f>IF(O41=1,"Done",IF(COUNTIFS(WBS!$D$5:$D$457,B41,WBS!$E$5:$E$457,C41,WBS!$Y$5:$Y$457,"Blocked")&gt;0,"Blocked",IF(COUNTIFS(WBS!$D$5:$D$457,B41,WBS!$E$5:$E$457,C41,WBS!$Y$5:$Y$457,"In Progress")&gt;0,"In Progress","Not Started")))</f>
        <v>Not Started</v>
      </c>
      <c r="O41" s="7">
        <f>IFERROR(AVERAGEIFS(WBS!$Z$5:$Z$457,WBS!$D$5:$D$457,B41,WBS!$E$5:$E$457,C41),0)</f>
        <v>0</v>
      </c>
      <c r="P41" s="1" t="str">
        <f t="shared" si="1"/>
        <v>Quy trình &amp; Cấu hình Nghiệp vụ|BPMN Designer</v>
      </c>
    </row>
    <row r="42" spans="1:16">
      <c r="A42" s="1" t="s">
        <v>1938</v>
      </c>
      <c r="B42" s="11" t="s">
        <v>1228</v>
      </c>
      <c r="C42" s="11" t="s">
        <v>1305</v>
      </c>
      <c r="D42" s="1">
        <f>COUNTIFS(WBS!$D$5:$D$457,B42,WBS!$E$5:$E$457,C42)</f>
        <v>10</v>
      </c>
      <c r="E42" s="1">
        <f>COUNTIFS(WBS!$D$5:$D$457,B42,WBS!$E$5:$E$457,C42,WBS!$M$5:$M$457,"Must")</f>
        <v>7</v>
      </c>
      <c r="F42" s="1">
        <f>COUNTIFS(WBS!$D$5:$D$457,B42,WBS!$E$5:$E$457,C42,WBS!$M$5:$M$457,"Should")</f>
        <v>3</v>
      </c>
      <c r="G42" s="1">
        <f>COUNTIFS(WBS!$D$5:$D$457,B42,WBS!$E$5:$E$457,C42,WBS!$M$5:$M$457,"Could")</f>
        <v>0</v>
      </c>
      <c r="H42" s="1">
        <f>COUNTIFS(WBS!$D$5:$D$457,B42,WBS!$E$5:$E$457,C42,WBS!$N$5:$N$457,"Pha 1")</f>
        <v>9</v>
      </c>
      <c r="I42" s="1">
        <f>COUNTIFS(WBS!$D$5:$D$457,B42,WBS!$E$5:$E$457,C42,WBS!$N$5:$N$457,"Pha 2")</f>
        <v>1</v>
      </c>
      <c r="J42" s="1">
        <f>COUNTIFS(WBS!$D$5:$D$457,B42,WBS!$E$5:$E$457,C42,WBS!$N$5:$N$457,"Pha 3")</f>
        <v>0</v>
      </c>
      <c r="K42" s="1">
        <f>COUNTIFS(WBS!$D$5:$D$457,B42,WBS!$E$5:$E$457,C42,WBS!$O$5:$O$457,"Cần xác nhận")</f>
        <v>0</v>
      </c>
      <c r="M42" s="6">
        <f>SUMIFS(WBS!$U$5:$U$457,WBS!$D$5:$D$457,B42,WBS!$E$5:$E$457,C42)</f>
        <v>0</v>
      </c>
      <c r="N42" s="1" t="str">
        <f>IF(O42=1,"Done",IF(COUNTIFS(WBS!$D$5:$D$457,B42,WBS!$E$5:$E$457,C42,WBS!$Y$5:$Y$457,"Blocked")&gt;0,"Blocked",IF(COUNTIFS(WBS!$D$5:$D$457,B42,WBS!$E$5:$E$457,C42,WBS!$Y$5:$Y$457,"In Progress")&gt;0,"In Progress","Not Started")))</f>
        <v>Not Started</v>
      </c>
      <c r="O42" s="7">
        <f>IFERROR(AVERAGEIFS(WBS!$Z$5:$Z$457,WBS!$D$5:$D$457,B42,WBS!$E$5:$E$457,C42),0)</f>
        <v>0</v>
      </c>
      <c r="P42" s="1" t="str">
        <f t="shared" si="1"/>
        <v>Quy trình &amp; Cấu hình Nghiệp vụ|Luật nghiệp vụ &amp; DMN</v>
      </c>
    </row>
    <row r="43" spans="1:16">
      <c r="A43" s="1" t="s">
        <v>1939</v>
      </c>
      <c r="B43" s="11" t="s">
        <v>1228</v>
      </c>
      <c r="C43" s="11" t="s">
        <v>1341</v>
      </c>
      <c r="D43" s="1">
        <f>COUNTIFS(WBS!$D$5:$D$457,B43,WBS!$E$5:$E$457,C43)</f>
        <v>11</v>
      </c>
      <c r="E43" s="1">
        <f>COUNTIFS(WBS!$D$5:$D$457,B43,WBS!$E$5:$E$457,C43,WBS!$M$5:$M$457,"Must")</f>
        <v>8</v>
      </c>
      <c r="F43" s="1">
        <f>COUNTIFS(WBS!$D$5:$D$457,B43,WBS!$E$5:$E$457,C43,WBS!$M$5:$M$457,"Should")</f>
        <v>3</v>
      </c>
      <c r="G43" s="1">
        <f>COUNTIFS(WBS!$D$5:$D$457,B43,WBS!$E$5:$E$457,C43,WBS!$M$5:$M$457,"Could")</f>
        <v>0</v>
      </c>
      <c r="H43" s="1">
        <f>COUNTIFS(WBS!$D$5:$D$457,B43,WBS!$E$5:$E$457,C43,WBS!$N$5:$N$457,"Pha 1")</f>
        <v>11</v>
      </c>
      <c r="I43" s="1">
        <f>COUNTIFS(WBS!$D$5:$D$457,B43,WBS!$E$5:$E$457,C43,WBS!$N$5:$N$457,"Pha 2")</f>
        <v>0</v>
      </c>
      <c r="J43" s="1">
        <f>COUNTIFS(WBS!$D$5:$D$457,B43,WBS!$E$5:$E$457,C43,WBS!$N$5:$N$457,"Pha 3")</f>
        <v>0</v>
      </c>
      <c r="K43" s="1">
        <f>COUNTIFS(WBS!$D$5:$D$457,B43,WBS!$E$5:$E$457,C43,WBS!$O$5:$O$457,"Cần xác nhận")</f>
        <v>0</v>
      </c>
      <c r="M43" s="6">
        <f>SUMIFS(WBS!$U$5:$U$457,WBS!$D$5:$D$457,B43,WBS!$E$5:$E$457,C43)</f>
        <v>0</v>
      </c>
      <c r="N43" s="1" t="str">
        <f>IF(O43=1,"Done",IF(COUNTIFS(WBS!$D$5:$D$457,B43,WBS!$E$5:$E$457,C43,WBS!$Y$5:$Y$457,"Blocked")&gt;0,"Blocked",IF(COUNTIFS(WBS!$D$5:$D$457,B43,WBS!$E$5:$E$457,C43,WBS!$Y$5:$Y$457,"In Progress")&gt;0,"In Progress","Not Started")))</f>
        <v>Not Started</v>
      </c>
      <c r="O43" s="7">
        <f>IFERROR(AVERAGEIFS(WBS!$Z$5:$Z$457,WBS!$D$5:$D$457,B43,WBS!$E$5:$E$457,C43),0)</f>
        <v>0</v>
      </c>
      <c r="P43" s="1" t="str">
        <f t="shared" si="1"/>
        <v>Quy trình &amp; Cấu hình Nghiệp vụ|Ma trận phê duyệt</v>
      </c>
    </row>
    <row r="44" spans="1:16">
      <c r="A44" s="1" t="s">
        <v>1940</v>
      </c>
      <c r="B44" s="11" t="s">
        <v>1228</v>
      </c>
      <c r="C44" s="11" t="s">
        <v>1379</v>
      </c>
      <c r="D44" s="1">
        <f>COUNTIFS(WBS!$D$5:$D$457,B44,WBS!$E$5:$E$457,C44)</f>
        <v>10</v>
      </c>
      <c r="E44" s="1">
        <f>COUNTIFS(WBS!$D$5:$D$457,B44,WBS!$E$5:$E$457,C44,WBS!$M$5:$M$457,"Must")</f>
        <v>8</v>
      </c>
      <c r="F44" s="1">
        <f>COUNTIFS(WBS!$D$5:$D$457,B44,WBS!$E$5:$E$457,C44,WBS!$M$5:$M$457,"Should")</f>
        <v>2</v>
      </c>
      <c r="G44" s="1">
        <f>COUNTIFS(WBS!$D$5:$D$457,B44,WBS!$E$5:$E$457,C44,WBS!$M$5:$M$457,"Could")</f>
        <v>0</v>
      </c>
      <c r="H44" s="1">
        <f>COUNTIFS(WBS!$D$5:$D$457,B44,WBS!$E$5:$E$457,C44,WBS!$N$5:$N$457,"Pha 1")</f>
        <v>9</v>
      </c>
      <c r="I44" s="1">
        <f>COUNTIFS(WBS!$D$5:$D$457,B44,WBS!$E$5:$E$457,C44,WBS!$N$5:$N$457,"Pha 2")</f>
        <v>1</v>
      </c>
      <c r="J44" s="1">
        <f>COUNTIFS(WBS!$D$5:$D$457,B44,WBS!$E$5:$E$457,C44,WBS!$N$5:$N$457,"Pha 3")</f>
        <v>0</v>
      </c>
      <c r="K44" s="1">
        <f>COUNTIFS(WBS!$D$5:$D$457,B44,WBS!$E$5:$E$457,C44,WBS!$O$5:$O$457,"Cần xác nhận")</f>
        <v>0</v>
      </c>
      <c r="M44" s="6">
        <f>SUMIFS(WBS!$U$5:$U$457,WBS!$D$5:$D$457,B44,WBS!$E$5:$E$457,C44)</f>
        <v>0</v>
      </c>
      <c r="N44" s="1" t="str">
        <f>IF(O44=1,"Done",IF(COUNTIFS(WBS!$D$5:$D$457,B44,WBS!$E$5:$E$457,C44,WBS!$Y$5:$Y$457,"Blocked")&gt;0,"Blocked",IF(COUNTIFS(WBS!$D$5:$D$457,B44,WBS!$E$5:$E$457,C44,WBS!$Y$5:$Y$457,"In Progress")&gt;0,"In Progress","Not Started")))</f>
        <v>Not Started</v>
      </c>
      <c r="O44" s="7">
        <f>IFERROR(AVERAGEIFS(WBS!$Z$5:$Z$457,WBS!$D$5:$D$457,B44,WBS!$E$5:$E$457,C44),0)</f>
        <v>0</v>
      </c>
      <c r="P44" s="1" t="str">
        <f t="shared" si="1"/>
        <v>Quy trình &amp; Cấu hình Nghiệp vụ|Cấu hình hành động</v>
      </c>
    </row>
    <row r="45" spans="1:16">
      <c r="A45" s="1" t="s">
        <v>1941</v>
      </c>
      <c r="B45" s="11" t="s">
        <v>1228</v>
      </c>
      <c r="C45" s="11" t="s">
        <v>1414</v>
      </c>
      <c r="D45" s="1">
        <f>COUNTIFS(WBS!$D$5:$D$457,B45,WBS!$E$5:$E$457,C45)</f>
        <v>10</v>
      </c>
      <c r="E45" s="1">
        <f>COUNTIFS(WBS!$D$5:$D$457,B45,WBS!$E$5:$E$457,C45,WBS!$M$5:$M$457,"Must")</f>
        <v>1</v>
      </c>
      <c r="F45" s="1">
        <f>COUNTIFS(WBS!$D$5:$D$457,B45,WBS!$E$5:$E$457,C45,WBS!$M$5:$M$457,"Should")</f>
        <v>9</v>
      </c>
      <c r="G45" s="1">
        <f>COUNTIFS(WBS!$D$5:$D$457,B45,WBS!$E$5:$E$457,C45,WBS!$M$5:$M$457,"Could")</f>
        <v>0</v>
      </c>
      <c r="H45" s="1">
        <f>COUNTIFS(WBS!$D$5:$D$457,B45,WBS!$E$5:$E$457,C45,WBS!$N$5:$N$457,"Pha 1")</f>
        <v>0</v>
      </c>
      <c r="I45" s="1">
        <f>COUNTIFS(WBS!$D$5:$D$457,B45,WBS!$E$5:$E$457,C45,WBS!$N$5:$N$457,"Pha 2")</f>
        <v>10</v>
      </c>
      <c r="J45" s="1">
        <f>COUNTIFS(WBS!$D$5:$D$457,B45,WBS!$E$5:$E$457,C45,WBS!$N$5:$N$457,"Pha 3")</f>
        <v>0</v>
      </c>
      <c r="K45" s="1">
        <f>COUNTIFS(WBS!$D$5:$D$457,B45,WBS!$E$5:$E$457,C45,WBS!$O$5:$O$457,"Cần xác nhận")</f>
        <v>0</v>
      </c>
      <c r="M45" s="6">
        <f>SUMIFS(WBS!$U$5:$U$457,WBS!$D$5:$D$457,B45,WBS!$E$5:$E$457,C45)</f>
        <v>0</v>
      </c>
      <c r="N45" s="1" t="str">
        <f>IF(O45=1,"Done",IF(COUNTIFS(WBS!$D$5:$D$457,B45,WBS!$E$5:$E$457,C45,WBS!$Y$5:$Y$457,"Blocked")&gt;0,"Blocked",IF(COUNTIFS(WBS!$D$5:$D$457,B45,WBS!$E$5:$E$457,C45,WBS!$Y$5:$Y$457,"In Progress")&gt;0,"In Progress","Not Started")))</f>
        <v>Not Started</v>
      </c>
      <c r="O45" s="7">
        <f>IFERROR(AVERAGEIFS(WBS!$Z$5:$Z$457,WBS!$D$5:$D$457,B45,WBS!$E$5:$E$457,C45),0)</f>
        <v>0</v>
      </c>
      <c r="P45" s="1" t="str">
        <f t="shared" si="1"/>
        <v>Quy trình &amp; Cấu hình Nghiệp vụ|Thông báo</v>
      </c>
    </row>
    <row r="46" spans="1:16">
      <c r="A46" s="1" t="s">
        <v>1942</v>
      </c>
      <c r="B46" s="11" t="s">
        <v>1228</v>
      </c>
      <c r="C46" s="11" t="s">
        <v>1452</v>
      </c>
      <c r="D46" s="1">
        <f>COUNTIFS(WBS!$D$5:$D$457,B46,WBS!$E$5:$E$457,C46)</f>
        <v>9</v>
      </c>
      <c r="E46" s="1">
        <f>COUNTIFS(WBS!$D$5:$D$457,B46,WBS!$E$5:$E$457,C46,WBS!$M$5:$M$457,"Must")</f>
        <v>1</v>
      </c>
      <c r="F46" s="1">
        <f>COUNTIFS(WBS!$D$5:$D$457,B46,WBS!$E$5:$E$457,C46,WBS!$M$5:$M$457,"Should")</f>
        <v>8</v>
      </c>
      <c r="G46" s="1">
        <f>COUNTIFS(WBS!$D$5:$D$457,B46,WBS!$E$5:$E$457,C46,WBS!$M$5:$M$457,"Could")</f>
        <v>0</v>
      </c>
      <c r="H46" s="1">
        <f>COUNTIFS(WBS!$D$5:$D$457,B46,WBS!$E$5:$E$457,C46,WBS!$N$5:$N$457,"Pha 1")</f>
        <v>0</v>
      </c>
      <c r="I46" s="1">
        <f>COUNTIFS(WBS!$D$5:$D$457,B46,WBS!$E$5:$E$457,C46,WBS!$N$5:$N$457,"Pha 2")</f>
        <v>9</v>
      </c>
      <c r="J46" s="1">
        <f>COUNTIFS(WBS!$D$5:$D$457,B46,WBS!$E$5:$E$457,C46,WBS!$N$5:$N$457,"Pha 3")</f>
        <v>0</v>
      </c>
      <c r="K46" s="1">
        <f>COUNTIFS(WBS!$D$5:$D$457,B46,WBS!$E$5:$E$457,C46,WBS!$O$5:$O$457,"Cần xác nhận")</f>
        <v>0</v>
      </c>
      <c r="M46" s="6">
        <f>SUMIFS(WBS!$U$5:$U$457,WBS!$D$5:$D$457,B46,WBS!$E$5:$E$457,C46)</f>
        <v>0</v>
      </c>
      <c r="N46" s="1" t="str">
        <f>IF(O46=1,"Done",IF(COUNTIFS(WBS!$D$5:$D$457,B46,WBS!$E$5:$E$457,C46,WBS!$Y$5:$Y$457,"Blocked")&gt;0,"Blocked",IF(COUNTIFS(WBS!$D$5:$D$457,B46,WBS!$E$5:$E$457,C46,WBS!$Y$5:$Y$457,"In Progress")&gt;0,"In Progress","Not Started")))</f>
        <v>Not Started</v>
      </c>
      <c r="O46" s="7">
        <f>IFERROR(AVERAGEIFS(WBS!$Z$5:$Z$457,WBS!$D$5:$D$457,B46,WBS!$E$5:$E$457,C46),0)</f>
        <v>0</v>
      </c>
      <c r="P46" s="1" t="str">
        <f t="shared" si="1"/>
        <v>Quy trình &amp; Cấu hình Nghiệp vụ|SLA &amp; Escalation</v>
      </c>
    </row>
    <row r="47" spans="1:16">
      <c r="A47" s="1" t="s">
        <v>1943</v>
      </c>
      <c r="B47" s="11" t="s">
        <v>1228</v>
      </c>
      <c r="C47" s="11" t="s">
        <v>1484</v>
      </c>
      <c r="D47" s="1">
        <f>COUNTIFS(WBS!$D$5:$D$457,B47,WBS!$E$5:$E$457,C47)</f>
        <v>7</v>
      </c>
      <c r="E47" s="1">
        <f>COUNTIFS(WBS!$D$5:$D$457,B47,WBS!$E$5:$E$457,C47,WBS!$M$5:$M$457,"Must")</f>
        <v>5</v>
      </c>
      <c r="F47" s="1">
        <f>COUNTIFS(WBS!$D$5:$D$457,B47,WBS!$E$5:$E$457,C47,WBS!$M$5:$M$457,"Should")</f>
        <v>2</v>
      </c>
      <c r="G47" s="1">
        <f>COUNTIFS(WBS!$D$5:$D$457,B47,WBS!$E$5:$E$457,C47,WBS!$M$5:$M$457,"Could")</f>
        <v>0</v>
      </c>
      <c r="H47" s="1">
        <f>COUNTIFS(WBS!$D$5:$D$457,B47,WBS!$E$5:$E$457,C47,WBS!$N$5:$N$457,"Pha 1")</f>
        <v>7</v>
      </c>
      <c r="I47" s="1">
        <f>COUNTIFS(WBS!$D$5:$D$457,B47,WBS!$E$5:$E$457,C47,WBS!$N$5:$N$457,"Pha 2")</f>
        <v>0</v>
      </c>
      <c r="J47" s="1">
        <f>COUNTIFS(WBS!$D$5:$D$457,B47,WBS!$E$5:$E$457,C47,WBS!$N$5:$N$457,"Pha 3")</f>
        <v>0</v>
      </c>
      <c r="K47" s="1">
        <f>COUNTIFS(WBS!$D$5:$D$457,B47,WBS!$E$5:$E$457,C47,WBS!$O$5:$O$457,"Cần xác nhận")</f>
        <v>0</v>
      </c>
      <c r="M47" s="6">
        <f>SUMIFS(WBS!$U$5:$U$457,WBS!$D$5:$D$457,B47,WBS!$E$5:$E$457,C47)</f>
        <v>0</v>
      </c>
      <c r="N47" s="1" t="str">
        <f>IF(O47=1,"Done",IF(COUNTIFS(WBS!$D$5:$D$457,B47,WBS!$E$5:$E$457,C47,WBS!$Y$5:$Y$457,"Blocked")&gt;0,"Blocked",IF(COUNTIFS(WBS!$D$5:$D$457,B47,WBS!$E$5:$E$457,C47,WBS!$Y$5:$Y$457,"In Progress")&gt;0,"In Progress","Not Started")))</f>
        <v>Not Started</v>
      </c>
      <c r="O47" s="7">
        <f>IFERROR(AVERAGEIFS(WBS!$Z$5:$Z$457,WBS!$D$5:$D$457,B47,WBS!$E$5:$E$457,C47),0)</f>
        <v>0</v>
      </c>
      <c r="P47" s="1" t="str">
        <f t="shared" si="1"/>
        <v>Quy trình &amp; Cấu hình Nghiệp vụ|Danh mục dùng chung</v>
      </c>
    </row>
    <row r="48" spans="1:16">
      <c r="A48" s="1" t="s">
        <v>1944</v>
      </c>
      <c r="B48" s="11" t="s">
        <v>1228</v>
      </c>
      <c r="C48" s="11" t="s">
        <v>1510</v>
      </c>
      <c r="D48" s="1">
        <f>COUNTIFS(WBS!$D$5:$D$457,B48,WBS!$E$5:$E$457,C48)</f>
        <v>2</v>
      </c>
      <c r="E48" s="1">
        <f>COUNTIFS(WBS!$D$5:$D$457,B48,WBS!$E$5:$E$457,C48,WBS!$M$5:$M$457,"Must")</f>
        <v>0</v>
      </c>
      <c r="F48" s="1">
        <f>COUNTIFS(WBS!$D$5:$D$457,B48,WBS!$E$5:$E$457,C48,WBS!$M$5:$M$457,"Should")</f>
        <v>0</v>
      </c>
      <c r="G48" s="1">
        <f>COUNTIFS(WBS!$D$5:$D$457,B48,WBS!$E$5:$E$457,C48,WBS!$M$5:$M$457,"Could")</f>
        <v>2</v>
      </c>
      <c r="H48" s="1">
        <f>COUNTIFS(WBS!$D$5:$D$457,B48,WBS!$E$5:$E$457,C48,WBS!$N$5:$N$457,"Pha 1")</f>
        <v>0</v>
      </c>
      <c r="I48" s="1">
        <f>COUNTIFS(WBS!$D$5:$D$457,B48,WBS!$E$5:$E$457,C48,WBS!$N$5:$N$457,"Pha 2")</f>
        <v>0</v>
      </c>
      <c r="J48" s="1">
        <f>COUNTIFS(WBS!$D$5:$D$457,B48,WBS!$E$5:$E$457,C48,WBS!$N$5:$N$457,"Pha 3")</f>
        <v>2</v>
      </c>
      <c r="K48" s="1">
        <f>COUNTIFS(WBS!$D$5:$D$457,B48,WBS!$E$5:$E$457,C48,WBS!$O$5:$O$457,"Cần xác nhận")</f>
        <v>0</v>
      </c>
      <c r="M48" s="6">
        <f>SUMIFS(WBS!$U$5:$U$457,WBS!$D$5:$D$457,B48,WBS!$E$5:$E$457,C48)</f>
        <v>0</v>
      </c>
      <c r="N48" s="1" t="str">
        <f>IF(O48=1,"Done",IF(COUNTIFS(WBS!$D$5:$D$457,B48,WBS!$E$5:$E$457,C48,WBS!$Y$5:$Y$457,"Blocked")&gt;0,"Blocked",IF(COUNTIFS(WBS!$D$5:$D$457,B48,WBS!$E$5:$E$457,C48,WBS!$Y$5:$Y$457,"In Progress")&gt;0,"In Progress","Not Started")))</f>
        <v>Not Started</v>
      </c>
      <c r="O48" s="7">
        <f>IFERROR(AVERAGEIFS(WBS!$Z$5:$Z$457,WBS!$D$5:$D$457,B48,WBS!$E$5:$E$457,C48),0)</f>
        <v>0</v>
      </c>
      <c r="P48" s="1" t="str">
        <f t="shared" si="1"/>
        <v>Quy trình &amp; Cấu hình Nghiệp vụ|Cấu hình dashboard</v>
      </c>
    </row>
    <row r="49" spans="1:16">
      <c r="A49" s="1" t="s">
        <v>1945</v>
      </c>
      <c r="B49" s="11" t="s">
        <v>1520</v>
      </c>
      <c r="C49" s="11" t="s">
        <v>1521</v>
      </c>
      <c r="D49" s="1">
        <f>COUNTIFS(WBS!$D$5:$D$457,B49,WBS!$E$5:$E$457,C49)</f>
        <v>7</v>
      </c>
      <c r="E49" s="1">
        <f>COUNTIFS(WBS!$D$5:$D$457,B49,WBS!$E$5:$E$457,C49,WBS!$M$5:$M$457,"Must")</f>
        <v>5</v>
      </c>
      <c r="F49" s="1">
        <f>COUNTIFS(WBS!$D$5:$D$457,B49,WBS!$E$5:$E$457,C49,WBS!$M$5:$M$457,"Should")</f>
        <v>2</v>
      </c>
      <c r="G49" s="1">
        <f>COUNTIFS(WBS!$D$5:$D$457,B49,WBS!$E$5:$E$457,C49,WBS!$M$5:$M$457,"Could")</f>
        <v>0</v>
      </c>
      <c r="H49" s="1">
        <f>COUNTIFS(WBS!$D$5:$D$457,B49,WBS!$E$5:$E$457,C49,WBS!$N$5:$N$457,"Pha 1")</f>
        <v>7</v>
      </c>
      <c r="I49" s="1">
        <f>COUNTIFS(WBS!$D$5:$D$457,B49,WBS!$E$5:$E$457,C49,WBS!$N$5:$N$457,"Pha 2")</f>
        <v>0</v>
      </c>
      <c r="J49" s="1">
        <f>COUNTIFS(WBS!$D$5:$D$457,B49,WBS!$E$5:$E$457,C49,WBS!$N$5:$N$457,"Pha 3")</f>
        <v>0</v>
      </c>
      <c r="K49" s="1">
        <f>COUNTIFS(WBS!$D$5:$D$457,B49,WBS!$E$5:$E$457,C49,WBS!$O$5:$O$457,"Cần xác nhận")</f>
        <v>0</v>
      </c>
      <c r="M49" s="6">
        <f>SUMIFS(WBS!$U$5:$U$457,WBS!$D$5:$D$457,B49,WBS!$E$5:$E$457,C49)</f>
        <v>0</v>
      </c>
      <c r="N49" s="1" t="str">
        <f>IF(O49=1,"Done",IF(COUNTIFS(WBS!$D$5:$D$457,B49,WBS!$E$5:$E$457,C49,WBS!$Y$5:$Y$457,"Blocked")&gt;0,"Blocked",IF(COUNTIFS(WBS!$D$5:$D$457,B49,WBS!$E$5:$E$457,C49,WBS!$Y$5:$Y$457,"In Progress")&gt;0,"In Progress","Not Started")))</f>
        <v>Not Started</v>
      </c>
      <c r="O49" s="7">
        <f>IFERROR(AVERAGEIFS(WBS!$Z$5:$Z$457,WBS!$D$5:$D$457,B49,WBS!$E$5:$E$457,C49),0)</f>
        <v>0</v>
      </c>
      <c r="P49" s="1" t="str">
        <f t="shared" si="1"/>
        <v>Tích hợp Hệ thống|Integration Hub</v>
      </c>
    </row>
    <row r="50" spans="1:16">
      <c r="A50" s="1" t="s">
        <v>1946</v>
      </c>
      <c r="B50" s="11" t="s">
        <v>1520</v>
      </c>
      <c r="C50" s="11" t="s">
        <v>1547</v>
      </c>
      <c r="D50" s="1">
        <f>COUNTIFS(WBS!$D$5:$D$457,B50,WBS!$E$5:$E$457,C50)</f>
        <v>8</v>
      </c>
      <c r="E50" s="1">
        <f>COUNTIFS(WBS!$D$5:$D$457,B50,WBS!$E$5:$E$457,C50,WBS!$M$5:$M$457,"Must")</f>
        <v>1</v>
      </c>
      <c r="F50" s="1">
        <f>COUNTIFS(WBS!$D$5:$D$457,B50,WBS!$E$5:$E$457,C50,WBS!$M$5:$M$457,"Should")</f>
        <v>7</v>
      </c>
      <c r="G50" s="1">
        <f>COUNTIFS(WBS!$D$5:$D$457,B50,WBS!$E$5:$E$457,C50,WBS!$M$5:$M$457,"Could")</f>
        <v>0</v>
      </c>
      <c r="H50" s="1">
        <f>COUNTIFS(WBS!$D$5:$D$457,B50,WBS!$E$5:$E$457,C50,WBS!$N$5:$N$457,"Pha 1")</f>
        <v>1</v>
      </c>
      <c r="I50" s="1">
        <f>COUNTIFS(WBS!$D$5:$D$457,B50,WBS!$E$5:$E$457,C50,WBS!$N$5:$N$457,"Pha 2")</f>
        <v>7</v>
      </c>
      <c r="J50" s="1">
        <f>COUNTIFS(WBS!$D$5:$D$457,B50,WBS!$E$5:$E$457,C50,WBS!$N$5:$N$457,"Pha 3")</f>
        <v>0</v>
      </c>
      <c r="K50" s="1">
        <f>COUNTIFS(WBS!$D$5:$D$457,B50,WBS!$E$5:$E$457,C50,WBS!$O$5:$O$457,"Cần xác nhận")</f>
        <v>8</v>
      </c>
      <c r="M50" s="6">
        <f>SUMIFS(WBS!$U$5:$U$457,WBS!$D$5:$D$457,B50,WBS!$E$5:$E$457,C50)</f>
        <v>0</v>
      </c>
      <c r="N50" s="1" t="str">
        <f>IF(O50=1,"Done",IF(COUNTIFS(WBS!$D$5:$D$457,B50,WBS!$E$5:$E$457,C50,WBS!$Y$5:$Y$457,"Blocked")&gt;0,"Blocked",IF(COUNTIFS(WBS!$D$5:$D$457,B50,WBS!$E$5:$E$457,C50,WBS!$Y$5:$Y$457,"In Progress")&gt;0,"In Progress","Not Started")))</f>
        <v>Not Started</v>
      </c>
      <c r="O50" s="7">
        <f>IFERROR(AVERAGEIFS(WBS!$Z$5:$Z$457,WBS!$D$5:$D$457,B50,WBS!$E$5:$E$457,C50),0)</f>
        <v>0</v>
      </c>
      <c r="P50" s="1" t="str">
        <f t="shared" si="1"/>
        <v>Tích hợp Hệ thống|Connector hệ thống</v>
      </c>
    </row>
    <row r="51" spans="1:16">
      <c r="A51" s="1" t="s">
        <v>1947</v>
      </c>
      <c r="B51" s="11" t="s">
        <v>1520</v>
      </c>
      <c r="C51" s="11" t="s">
        <v>1575</v>
      </c>
      <c r="D51" s="1">
        <f>COUNTIFS(WBS!$D$5:$D$457,B51,WBS!$E$5:$E$457,C51)</f>
        <v>3</v>
      </c>
      <c r="E51" s="1">
        <f>COUNTIFS(WBS!$D$5:$D$457,B51,WBS!$E$5:$E$457,C51,WBS!$M$5:$M$457,"Must")</f>
        <v>2</v>
      </c>
      <c r="F51" s="1">
        <f>COUNTIFS(WBS!$D$5:$D$457,B51,WBS!$E$5:$E$457,C51,WBS!$M$5:$M$457,"Should")</f>
        <v>1</v>
      </c>
      <c r="G51" s="1">
        <f>COUNTIFS(WBS!$D$5:$D$457,B51,WBS!$E$5:$E$457,C51,WBS!$M$5:$M$457,"Could")</f>
        <v>0</v>
      </c>
      <c r="H51" s="1">
        <f>COUNTIFS(WBS!$D$5:$D$457,B51,WBS!$E$5:$E$457,C51,WBS!$N$5:$N$457,"Pha 1")</f>
        <v>2</v>
      </c>
      <c r="I51" s="1">
        <f>COUNTIFS(WBS!$D$5:$D$457,B51,WBS!$E$5:$E$457,C51,WBS!$N$5:$N$457,"Pha 2")</f>
        <v>1</v>
      </c>
      <c r="J51" s="1">
        <f>COUNTIFS(WBS!$D$5:$D$457,B51,WBS!$E$5:$E$457,C51,WBS!$N$5:$N$457,"Pha 3")</f>
        <v>0</v>
      </c>
      <c r="K51" s="1">
        <f>COUNTIFS(WBS!$D$5:$D$457,B51,WBS!$E$5:$E$457,C51,WBS!$O$5:$O$457,"Cần xác nhận")</f>
        <v>0</v>
      </c>
      <c r="M51" s="6">
        <f>SUMIFS(WBS!$U$5:$U$457,WBS!$D$5:$D$457,B51,WBS!$E$5:$E$457,C51)</f>
        <v>0</v>
      </c>
      <c r="N51" s="1" t="str">
        <f>IF(O51=1,"Done",IF(COUNTIFS(WBS!$D$5:$D$457,B51,WBS!$E$5:$E$457,C51,WBS!$Y$5:$Y$457,"Blocked")&gt;0,"Blocked",IF(COUNTIFS(WBS!$D$5:$D$457,B51,WBS!$E$5:$E$457,C51,WBS!$Y$5:$Y$457,"In Progress")&gt;0,"In Progress","Not Started")))</f>
        <v>Not Started</v>
      </c>
      <c r="O51" s="7">
        <f>IFERROR(AVERAGEIFS(WBS!$Z$5:$Z$457,WBS!$D$5:$D$457,B51,WBS!$E$5:$E$457,C51),0)</f>
        <v>0</v>
      </c>
      <c r="P51" s="1" t="str">
        <f t="shared" si="1"/>
        <v>Tích hợp Hệ thống|Vận hành tích hợp</v>
      </c>
    </row>
    <row r="52" spans="1:16" ht="25.5">
      <c r="A52" s="1" t="s">
        <v>1948</v>
      </c>
      <c r="B52" s="11" t="s">
        <v>1589</v>
      </c>
      <c r="C52" s="11" t="s">
        <v>1590</v>
      </c>
      <c r="D52" s="1">
        <f>COUNTIFS(WBS!$D$5:$D$457,B52,WBS!$E$5:$E$457,C52)</f>
        <v>10</v>
      </c>
      <c r="E52" s="1">
        <f>COUNTIFS(WBS!$D$5:$D$457,B52,WBS!$E$5:$E$457,C52,WBS!$M$5:$M$457,"Must")</f>
        <v>10</v>
      </c>
      <c r="F52" s="1">
        <f>COUNTIFS(WBS!$D$5:$D$457,B52,WBS!$E$5:$E$457,C52,WBS!$M$5:$M$457,"Should")</f>
        <v>0</v>
      </c>
      <c r="G52" s="1">
        <f>COUNTIFS(WBS!$D$5:$D$457,B52,WBS!$E$5:$E$457,C52,WBS!$M$5:$M$457,"Could")</f>
        <v>0</v>
      </c>
      <c r="H52" s="1">
        <f>COUNTIFS(WBS!$D$5:$D$457,B52,WBS!$E$5:$E$457,C52,WBS!$N$5:$N$457,"Pha 1")</f>
        <v>0</v>
      </c>
      <c r="I52" s="1">
        <f>COUNTIFS(WBS!$D$5:$D$457,B52,WBS!$E$5:$E$457,C52,WBS!$N$5:$N$457,"Pha 2")</f>
        <v>10</v>
      </c>
      <c r="J52" s="1">
        <f>COUNTIFS(WBS!$D$5:$D$457,B52,WBS!$E$5:$E$457,C52,WBS!$N$5:$N$457,"Pha 3")</f>
        <v>0</v>
      </c>
      <c r="K52" s="1">
        <f>COUNTIFS(WBS!$D$5:$D$457,B52,WBS!$E$5:$E$457,C52,WBS!$O$5:$O$457,"Cần xác nhận")</f>
        <v>0</v>
      </c>
      <c r="M52" s="6">
        <f>SUMIFS(WBS!$U$5:$U$457,WBS!$D$5:$D$457,B52,WBS!$E$5:$E$457,C52)</f>
        <v>0</v>
      </c>
      <c r="N52" s="1" t="str">
        <f>IF(O52=1,"Done",IF(COUNTIFS(WBS!$D$5:$D$457,B52,WBS!$E$5:$E$457,C52,WBS!$Y$5:$Y$457,"Blocked")&gt;0,"Blocked",IF(COUNTIFS(WBS!$D$5:$D$457,B52,WBS!$E$5:$E$457,C52,WBS!$Y$5:$Y$457,"In Progress")&gt;0,"In Progress","Not Started")))</f>
        <v>Not Started</v>
      </c>
      <c r="O52" s="7">
        <f>IFERROR(AVERAGEIFS(WBS!$Z$5:$Z$457,WBS!$D$5:$D$457,B52,WBS!$E$5:$E$457,C52),0)</f>
        <v>0</v>
      </c>
      <c r="P52" s="1" t="str">
        <f t="shared" si="1"/>
        <v>Vận hành Workflow &amp; Hệ thống|Workflow Runtime Administration</v>
      </c>
    </row>
    <row r="53" spans="1:16">
      <c r="A53" s="1" t="s">
        <v>1949</v>
      </c>
      <c r="B53" s="11" t="s">
        <v>1589</v>
      </c>
      <c r="C53" s="11" t="s">
        <v>1624</v>
      </c>
      <c r="D53" s="1">
        <f>COUNTIFS(WBS!$D$5:$D$457,B53,WBS!$E$5:$E$457,C53)</f>
        <v>2</v>
      </c>
      <c r="E53" s="1">
        <f>COUNTIFS(WBS!$D$5:$D$457,B53,WBS!$E$5:$E$457,C53,WBS!$M$5:$M$457,"Must")</f>
        <v>0</v>
      </c>
      <c r="F53" s="1">
        <f>COUNTIFS(WBS!$D$5:$D$457,B53,WBS!$E$5:$E$457,C53,WBS!$M$5:$M$457,"Should")</f>
        <v>2</v>
      </c>
      <c r="G53" s="1">
        <f>COUNTIFS(WBS!$D$5:$D$457,B53,WBS!$E$5:$E$457,C53,WBS!$M$5:$M$457,"Could")</f>
        <v>0</v>
      </c>
      <c r="H53" s="1">
        <f>COUNTIFS(WBS!$D$5:$D$457,B53,WBS!$E$5:$E$457,C53,WBS!$N$5:$N$457,"Pha 1")</f>
        <v>0</v>
      </c>
      <c r="I53" s="1">
        <f>COUNTIFS(WBS!$D$5:$D$457,B53,WBS!$E$5:$E$457,C53,WBS!$N$5:$N$457,"Pha 2")</f>
        <v>2</v>
      </c>
      <c r="J53" s="1">
        <f>COUNTIFS(WBS!$D$5:$D$457,B53,WBS!$E$5:$E$457,C53,WBS!$N$5:$N$457,"Pha 3")</f>
        <v>0</v>
      </c>
      <c r="K53" s="1">
        <f>COUNTIFS(WBS!$D$5:$D$457,B53,WBS!$E$5:$E$457,C53,WBS!$O$5:$O$457,"Cần xác nhận")</f>
        <v>0</v>
      </c>
      <c r="M53" s="6">
        <f>SUMIFS(WBS!$U$5:$U$457,WBS!$D$5:$D$457,B53,WBS!$E$5:$E$457,C53)</f>
        <v>0</v>
      </c>
      <c r="N53" s="1" t="str">
        <f>IF(O53=1,"Done",IF(COUNTIFS(WBS!$D$5:$D$457,B53,WBS!$E$5:$E$457,C53,WBS!$Y$5:$Y$457,"Blocked")&gt;0,"Blocked",IF(COUNTIFS(WBS!$D$5:$D$457,B53,WBS!$E$5:$E$457,C53,WBS!$Y$5:$Y$457,"In Progress")&gt;0,"In Progress","Not Started")))</f>
        <v>Not Started</v>
      </c>
      <c r="O53" s="7">
        <f>IFERROR(AVERAGEIFS(WBS!$Z$5:$Z$457,WBS!$D$5:$D$457,B53,WBS!$E$5:$E$457,C53),0)</f>
        <v>0</v>
      </c>
      <c r="P53" s="1" t="str">
        <f t="shared" si="1"/>
        <v>Vận hành Workflow &amp; Hệ thống|Giám sát hệ thống</v>
      </c>
    </row>
    <row r="54" spans="1:16" ht="25.5">
      <c r="A54" s="1" t="s">
        <v>1950</v>
      </c>
      <c r="B54" s="11" t="s">
        <v>1635</v>
      </c>
      <c r="C54" s="11" t="s">
        <v>1636</v>
      </c>
      <c r="D54" s="1">
        <f>COUNTIFS(WBS!$D$5:$D$457,B54,WBS!$E$5:$E$457,C54)</f>
        <v>6</v>
      </c>
      <c r="E54" s="1">
        <f>COUNTIFS(WBS!$D$5:$D$457,B54,WBS!$E$5:$E$457,C54,WBS!$M$5:$M$457,"Must")</f>
        <v>6</v>
      </c>
      <c r="F54" s="1">
        <f>COUNTIFS(WBS!$D$5:$D$457,B54,WBS!$E$5:$E$457,C54,WBS!$M$5:$M$457,"Should")</f>
        <v>0</v>
      </c>
      <c r="G54" s="1">
        <f>COUNTIFS(WBS!$D$5:$D$457,B54,WBS!$E$5:$E$457,C54,WBS!$M$5:$M$457,"Could")</f>
        <v>0</v>
      </c>
      <c r="H54" s="1">
        <f>COUNTIFS(WBS!$D$5:$D$457,B54,WBS!$E$5:$E$457,C54,WBS!$N$5:$N$457,"Pha 1")</f>
        <v>6</v>
      </c>
      <c r="I54" s="1">
        <f>COUNTIFS(WBS!$D$5:$D$457,B54,WBS!$E$5:$E$457,C54,WBS!$N$5:$N$457,"Pha 2")</f>
        <v>0</v>
      </c>
      <c r="J54" s="1">
        <f>COUNTIFS(WBS!$D$5:$D$457,B54,WBS!$E$5:$E$457,C54,WBS!$N$5:$N$457,"Pha 3")</f>
        <v>0</v>
      </c>
      <c r="K54" s="1">
        <f>COUNTIFS(WBS!$D$5:$D$457,B54,WBS!$E$5:$E$457,C54,WBS!$O$5:$O$457,"Cần xác nhận")</f>
        <v>0</v>
      </c>
      <c r="M54" s="6">
        <f>SUMIFS(WBS!$U$5:$U$457,WBS!$D$5:$D$457,B54,WBS!$E$5:$E$457,C54)</f>
        <v>0</v>
      </c>
      <c r="N54" s="1" t="str">
        <f>IF(O54=1,"Done",IF(COUNTIFS(WBS!$D$5:$D$457,B54,WBS!$E$5:$E$457,C54,WBS!$Y$5:$Y$457,"Blocked")&gt;0,"Blocked",IF(COUNTIFS(WBS!$D$5:$D$457,B54,WBS!$E$5:$E$457,C54,WBS!$Y$5:$Y$457,"In Progress")&gt;0,"In Progress","Not Started")))</f>
        <v>Not Started</v>
      </c>
      <c r="O54" s="7">
        <f>IFERROR(AVERAGEIFS(WBS!$Z$5:$Z$457,WBS!$D$5:$D$457,B54,WBS!$E$5:$E$457,C54),0)</f>
        <v>0</v>
      </c>
      <c r="P54" s="1" t="str">
        <f t="shared" si="1"/>
        <v>Audit, An toàn &amp; Cấu hình Hệ thống|Audit &amp; tuân thủ</v>
      </c>
    </row>
    <row r="55" spans="1:16" ht="25.5">
      <c r="A55" s="1" t="s">
        <v>1951</v>
      </c>
      <c r="B55" s="11" t="s">
        <v>1635</v>
      </c>
      <c r="C55" s="11" t="s">
        <v>1658</v>
      </c>
      <c r="D55" s="1">
        <f>COUNTIFS(WBS!$D$5:$D$457,B55,WBS!$E$5:$E$457,C55)</f>
        <v>3</v>
      </c>
      <c r="E55" s="1">
        <f>COUNTIFS(WBS!$D$5:$D$457,B55,WBS!$E$5:$E$457,C55,WBS!$M$5:$M$457,"Must")</f>
        <v>1</v>
      </c>
      <c r="F55" s="1">
        <f>COUNTIFS(WBS!$D$5:$D$457,B55,WBS!$E$5:$E$457,C55,WBS!$M$5:$M$457,"Should")</f>
        <v>2</v>
      </c>
      <c r="G55" s="1">
        <f>COUNTIFS(WBS!$D$5:$D$457,B55,WBS!$E$5:$E$457,C55,WBS!$M$5:$M$457,"Could")</f>
        <v>0</v>
      </c>
      <c r="H55" s="1">
        <f>COUNTIFS(WBS!$D$5:$D$457,B55,WBS!$E$5:$E$457,C55,WBS!$N$5:$N$457,"Pha 1")</f>
        <v>1</v>
      </c>
      <c r="I55" s="1">
        <f>COUNTIFS(WBS!$D$5:$D$457,B55,WBS!$E$5:$E$457,C55,WBS!$N$5:$N$457,"Pha 2")</f>
        <v>2</v>
      </c>
      <c r="J55" s="1">
        <f>COUNTIFS(WBS!$D$5:$D$457,B55,WBS!$E$5:$E$457,C55,WBS!$N$5:$N$457,"Pha 3")</f>
        <v>0</v>
      </c>
      <c r="K55" s="1">
        <f>COUNTIFS(WBS!$D$5:$D$457,B55,WBS!$E$5:$E$457,C55,WBS!$O$5:$O$457,"Cần xác nhận")</f>
        <v>0</v>
      </c>
      <c r="M55" s="6">
        <f>SUMIFS(WBS!$U$5:$U$457,WBS!$D$5:$D$457,B55,WBS!$E$5:$E$457,C55)</f>
        <v>0</v>
      </c>
      <c r="N55" s="1" t="str">
        <f>IF(O55=1,"Done",IF(COUNTIFS(WBS!$D$5:$D$457,B55,WBS!$E$5:$E$457,C55,WBS!$Y$5:$Y$457,"Blocked")&gt;0,"Blocked",IF(COUNTIFS(WBS!$D$5:$D$457,B55,WBS!$E$5:$E$457,C55,WBS!$Y$5:$Y$457,"In Progress")&gt;0,"In Progress","Not Started")))</f>
        <v>Not Started</v>
      </c>
      <c r="O55" s="7">
        <f>IFERROR(AVERAGEIFS(WBS!$Z$5:$Z$457,WBS!$D$5:$D$457,B55,WBS!$E$5:$E$457,C55),0)</f>
        <v>0</v>
      </c>
      <c r="P55" s="1" t="str">
        <f t="shared" si="1"/>
        <v>Audit, An toàn &amp; Cấu hình Hệ thống|Cấu hình hệ thống</v>
      </c>
    </row>
    <row r="56" spans="1:16" ht="25.5">
      <c r="A56" s="1" t="s">
        <v>1952</v>
      </c>
      <c r="B56" s="11" t="s">
        <v>1635</v>
      </c>
      <c r="C56" s="11" t="s">
        <v>1671</v>
      </c>
      <c r="D56" s="1">
        <f>COUNTIFS(WBS!$D$5:$D$457,B56,WBS!$E$5:$E$457,C56)</f>
        <v>2</v>
      </c>
      <c r="E56" s="1">
        <f>COUNTIFS(WBS!$D$5:$D$457,B56,WBS!$E$5:$E$457,C56,WBS!$M$5:$M$457,"Must")</f>
        <v>2</v>
      </c>
      <c r="F56" s="1">
        <f>COUNTIFS(WBS!$D$5:$D$457,B56,WBS!$E$5:$E$457,C56,WBS!$M$5:$M$457,"Should")</f>
        <v>0</v>
      </c>
      <c r="G56" s="1">
        <f>COUNTIFS(WBS!$D$5:$D$457,B56,WBS!$E$5:$E$457,C56,WBS!$M$5:$M$457,"Could")</f>
        <v>0</v>
      </c>
      <c r="H56" s="1">
        <f>COUNTIFS(WBS!$D$5:$D$457,B56,WBS!$E$5:$E$457,C56,WBS!$N$5:$N$457,"Pha 1")</f>
        <v>2</v>
      </c>
      <c r="I56" s="1">
        <f>COUNTIFS(WBS!$D$5:$D$457,B56,WBS!$E$5:$E$457,C56,WBS!$N$5:$N$457,"Pha 2")</f>
        <v>0</v>
      </c>
      <c r="J56" s="1">
        <f>COUNTIFS(WBS!$D$5:$D$457,B56,WBS!$E$5:$E$457,C56,WBS!$N$5:$N$457,"Pha 3")</f>
        <v>0</v>
      </c>
      <c r="K56" s="1">
        <f>COUNTIFS(WBS!$D$5:$D$457,B56,WBS!$E$5:$E$457,C56,WBS!$O$5:$O$457,"Cần xác nhận")</f>
        <v>0</v>
      </c>
      <c r="M56" s="6">
        <f>SUMIFS(WBS!$U$5:$U$457,WBS!$D$5:$D$457,B56,WBS!$E$5:$E$457,C56)</f>
        <v>0</v>
      </c>
      <c r="N56" s="1" t="str">
        <f>IF(O56=1,"Done",IF(COUNTIFS(WBS!$D$5:$D$457,B56,WBS!$E$5:$E$457,C56,WBS!$Y$5:$Y$457,"Blocked")&gt;0,"Blocked",IF(COUNTIFS(WBS!$D$5:$D$457,B56,WBS!$E$5:$E$457,C56,WBS!$Y$5:$Y$457,"In Progress")&gt;0,"In Progress","Not Started")))</f>
        <v>Not Started</v>
      </c>
      <c r="O56" s="7">
        <f>IFERROR(AVERAGEIFS(WBS!$Z$5:$Z$457,WBS!$D$5:$D$457,B56,WBS!$E$5:$E$457,C56),0)</f>
        <v>0</v>
      </c>
      <c r="P56" s="1" t="str">
        <f t="shared" si="1"/>
        <v>Audit, An toàn &amp; Cấu hình Hệ thống|An toàn thông tin</v>
      </c>
    </row>
    <row r="57" spans="1:16">
      <c r="A57" s="1" t="s">
        <v>1953</v>
      </c>
      <c r="B57" s="11" t="s">
        <v>1679</v>
      </c>
      <c r="C57" s="11" t="s">
        <v>1680</v>
      </c>
      <c r="D57" s="1">
        <f>COUNTIFS(WBS!$D$5:$D$457,B57,WBS!$E$5:$E$457,C57)</f>
        <v>2</v>
      </c>
      <c r="E57" s="1">
        <f>COUNTIFS(WBS!$D$5:$D$457,B57,WBS!$E$5:$E$457,C57,WBS!$M$5:$M$457,"Must")</f>
        <v>0</v>
      </c>
      <c r="F57" s="1">
        <f>COUNTIFS(WBS!$D$5:$D$457,B57,WBS!$E$5:$E$457,C57,WBS!$M$5:$M$457,"Should")</f>
        <v>1</v>
      </c>
      <c r="G57" s="1">
        <f>COUNTIFS(WBS!$D$5:$D$457,B57,WBS!$E$5:$E$457,C57,WBS!$M$5:$M$457,"Could")</f>
        <v>1</v>
      </c>
      <c r="H57" s="1">
        <f>COUNTIFS(WBS!$D$5:$D$457,B57,WBS!$E$5:$E$457,C57,WBS!$N$5:$N$457,"Pha 1")</f>
        <v>0</v>
      </c>
      <c r="I57" s="1">
        <f>COUNTIFS(WBS!$D$5:$D$457,B57,WBS!$E$5:$E$457,C57,WBS!$N$5:$N$457,"Pha 2")</f>
        <v>1</v>
      </c>
      <c r="J57" s="1">
        <f>COUNTIFS(WBS!$D$5:$D$457,B57,WBS!$E$5:$E$457,C57,WBS!$N$5:$N$457,"Pha 3")</f>
        <v>1</v>
      </c>
      <c r="K57" s="1">
        <f>COUNTIFS(WBS!$D$5:$D$457,B57,WBS!$E$5:$E$457,C57,WBS!$O$5:$O$457,"Cần xác nhận")</f>
        <v>0</v>
      </c>
      <c r="M57" s="6">
        <f>SUMIFS(WBS!$U$5:$U$457,WBS!$D$5:$D$457,B57,WBS!$E$5:$E$457,C57)</f>
        <v>0</v>
      </c>
      <c r="N57" s="1" t="str">
        <f>IF(O57=1,"Done",IF(COUNTIFS(WBS!$D$5:$D$457,B57,WBS!$E$5:$E$457,C57,WBS!$Y$5:$Y$457,"Blocked")&gt;0,"Blocked",IF(COUNTIFS(WBS!$D$5:$D$457,B57,WBS!$E$5:$E$457,C57,WBS!$Y$5:$Y$457,"In Progress")&gt;0,"In Progress","Not Started")))</f>
        <v>Not Started</v>
      </c>
      <c r="O57" s="7">
        <f>IFERROR(AVERAGEIFS(WBS!$Z$5:$Z$457,WBS!$D$5:$D$457,B57,WBS!$E$5:$E$457,C57),0)</f>
        <v>0</v>
      </c>
      <c r="P57" s="1" t="str">
        <f t="shared" si="1"/>
        <v>Trợ giúp &amp; Hỗ trợ Người dùng|Hướng dẫn sử dụng</v>
      </c>
    </row>
    <row r="58" spans="1:16">
      <c r="A58" s="1" t="s">
        <v>1954</v>
      </c>
      <c r="B58" s="11" t="s">
        <v>1679</v>
      </c>
      <c r="C58" s="11" t="s">
        <v>1684</v>
      </c>
      <c r="D58" s="1">
        <f>COUNTIFS(WBS!$D$5:$D$457,B58,WBS!$E$5:$E$457,C58)</f>
        <v>1</v>
      </c>
      <c r="E58" s="1">
        <f>COUNTIFS(WBS!$D$5:$D$457,B58,WBS!$E$5:$E$457,C58,WBS!$M$5:$M$457,"Must")</f>
        <v>0</v>
      </c>
      <c r="F58" s="1">
        <f>COUNTIFS(WBS!$D$5:$D$457,B58,WBS!$E$5:$E$457,C58,WBS!$M$5:$M$457,"Should")</f>
        <v>0</v>
      </c>
      <c r="G58" s="1">
        <f>COUNTIFS(WBS!$D$5:$D$457,B58,WBS!$E$5:$E$457,C58,WBS!$M$5:$M$457,"Could")</f>
        <v>1</v>
      </c>
      <c r="H58" s="1">
        <f>COUNTIFS(WBS!$D$5:$D$457,B58,WBS!$E$5:$E$457,C58,WBS!$N$5:$N$457,"Pha 1")</f>
        <v>0</v>
      </c>
      <c r="I58" s="1">
        <f>COUNTIFS(WBS!$D$5:$D$457,B58,WBS!$E$5:$E$457,C58,WBS!$N$5:$N$457,"Pha 2")</f>
        <v>0</v>
      </c>
      <c r="J58" s="1">
        <f>COUNTIFS(WBS!$D$5:$D$457,B58,WBS!$E$5:$E$457,C58,WBS!$N$5:$N$457,"Pha 3")</f>
        <v>1</v>
      </c>
      <c r="K58" s="1">
        <f>COUNTIFS(WBS!$D$5:$D$457,B58,WBS!$E$5:$E$457,C58,WBS!$O$5:$O$457,"Cần xác nhận")</f>
        <v>0</v>
      </c>
      <c r="M58" s="6">
        <f>SUMIFS(WBS!$U$5:$U$457,WBS!$D$5:$D$457,B58,WBS!$E$5:$E$457,C58)</f>
        <v>0</v>
      </c>
      <c r="N58" s="1" t="str">
        <f>IF(O58=1,"Done",IF(COUNTIFS(WBS!$D$5:$D$457,B58,WBS!$E$5:$E$457,C58,WBS!$Y$5:$Y$457,"Blocked")&gt;0,"Blocked",IF(COUNTIFS(WBS!$D$5:$D$457,B58,WBS!$E$5:$E$457,C58,WBS!$Y$5:$Y$457,"In Progress")&gt;0,"In Progress","Not Started")))</f>
        <v>Not Started</v>
      </c>
      <c r="O58" s="7">
        <f>IFERROR(AVERAGEIFS(WBS!$Z$5:$Z$457,WBS!$D$5:$D$457,B58,WBS!$E$5:$E$457,C58),0)</f>
        <v>0</v>
      </c>
      <c r="P58" s="1" t="str">
        <f t="shared" si="1"/>
        <v>Trợ giúp &amp; Hỗ trợ Người dùng|Hỗ trợ</v>
      </c>
    </row>
    <row r="59" spans="1:16">
      <c r="A59" s="1" t="s">
        <v>1955</v>
      </c>
      <c r="B59" s="11" t="s">
        <v>1694</v>
      </c>
      <c r="C59" s="11" t="s">
        <v>1695</v>
      </c>
      <c r="D59" s="1">
        <f>COUNTIFS(WBS!$D$5:$D$457,B59,WBS!$E$5:$E$457,C59)</f>
        <v>8</v>
      </c>
      <c r="E59" s="1">
        <f>COUNTIFS(WBS!$D$5:$D$457,B59,WBS!$E$5:$E$457,C59,WBS!$M$5:$M$457,"Must")</f>
        <v>0</v>
      </c>
      <c r="F59" s="1">
        <f>COUNTIFS(WBS!$D$5:$D$457,B59,WBS!$E$5:$E$457,C59,WBS!$M$5:$M$457,"Should")</f>
        <v>0</v>
      </c>
      <c r="G59" s="1">
        <f>COUNTIFS(WBS!$D$5:$D$457,B59,WBS!$E$5:$E$457,C59,WBS!$M$5:$M$457,"Could")</f>
        <v>8</v>
      </c>
      <c r="H59" s="1">
        <f>COUNTIFS(WBS!$D$5:$D$457,B59,WBS!$E$5:$E$457,C59,WBS!$N$5:$N$457,"Pha 1")</f>
        <v>0</v>
      </c>
      <c r="I59" s="1">
        <f>COUNTIFS(WBS!$D$5:$D$457,B59,WBS!$E$5:$E$457,C59,WBS!$N$5:$N$457,"Pha 2")</f>
        <v>0</v>
      </c>
      <c r="J59" s="1">
        <f>COUNTIFS(WBS!$D$5:$D$457,B59,WBS!$E$5:$E$457,C59,WBS!$N$5:$N$457,"Pha 3")</f>
        <v>8</v>
      </c>
      <c r="K59" s="1">
        <f>COUNTIFS(WBS!$D$5:$D$457,B59,WBS!$E$5:$E$457,C59,WBS!$O$5:$O$457,"Cần xác nhận")</f>
        <v>8</v>
      </c>
      <c r="M59" s="6">
        <f>SUMIFS(WBS!$U$5:$U$457,WBS!$D$5:$D$457,B59,WBS!$E$5:$E$457,C59)</f>
        <v>0</v>
      </c>
      <c r="N59" s="1" t="str">
        <f>IF(O59=1,"Done",IF(COUNTIFS(WBS!$D$5:$D$457,B59,WBS!$E$5:$E$457,C59,WBS!$Y$5:$Y$457,"Blocked")&gt;0,"Blocked",IF(COUNTIFS(WBS!$D$5:$D$457,B59,WBS!$E$5:$E$457,C59,WBS!$Y$5:$Y$457,"In Progress")&gt;0,"In Progress","Not Started")))</f>
        <v>Not Started</v>
      </c>
      <c r="O59" s="7">
        <f>IFERROR(AVERAGEIFS(WBS!$Z$5:$Z$457,WBS!$D$5:$D$457,B59,WBS!$E$5:$E$457,C59),0)</f>
        <v>0</v>
      </c>
      <c r="P59" s="1" t="str">
        <f t="shared" si="1"/>
        <v>Trợ lý AI hỗ trợ nghiệp vụ|Nền tảng AI</v>
      </c>
    </row>
    <row r="60" spans="1:16">
      <c r="A60" s="1" t="s">
        <v>1956</v>
      </c>
      <c r="B60" s="11" t="s">
        <v>1694</v>
      </c>
      <c r="C60" s="11" t="s">
        <v>1749</v>
      </c>
      <c r="D60" s="1">
        <f>COUNTIFS(WBS!$D$5:$D$457,B60,WBS!$E$5:$E$457,C60)</f>
        <v>4</v>
      </c>
      <c r="E60" s="1">
        <f>COUNTIFS(WBS!$D$5:$D$457,B60,WBS!$E$5:$E$457,C60,WBS!$M$5:$M$457,"Must")</f>
        <v>0</v>
      </c>
      <c r="F60" s="1">
        <f>COUNTIFS(WBS!$D$5:$D$457,B60,WBS!$E$5:$E$457,C60,WBS!$M$5:$M$457,"Should")</f>
        <v>0</v>
      </c>
      <c r="G60" s="1">
        <f>COUNTIFS(WBS!$D$5:$D$457,B60,WBS!$E$5:$E$457,C60,WBS!$M$5:$M$457,"Could")</f>
        <v>4</v>
      </c>
      <c r="H60" s="1">
        <f>COUNTIFS(WBS!$D$5:$D$457,B60,WBS!$E$5:$E$457,C60,WBS!$N$5:$N$457,"Pha 1")</f>
        <v>0</v>
      </c>
      <c r="I60" s="1">
        <f>COUNTIFS(WBS!$D$5:$D$457,B60,WBS!$E$5:$E$457,C60,WBS!$N$5:$N$457,"Pha 2")</f>
        <v>0</v>
      </c>
      <c r="J60" s="1">
        <f>COUNTIFS(WBS!$D$5:$D$457,B60,WBS!$E$5:$E$457,C60,WBS!$N$5:$N$457,"Pha 3")</f>
        <v>4</v>
      </c>
      <c r="K60" s="1">
        <f>COUNTIFS(WBS!$D$5:$D$457,B60,WBS!$E$5:$E$457,C60,WBS!$O$5:$O$457,"Cần xác nhận")</f>
        <v>4</v>
      </c>
      <c r="M60" s="6">
        <f>SUMIFS(WBS!$U$5:$U$457,WBS!$D$5:$D$457,B60,WBS!$E$5:$E$457,C60)</f>
        <v>0</v>
      </c>
      <c r="N60" s="1" t="str">
        <f>IF(O60=1,"Done",IF(COUNTIFS(WBS!$D$5:$D$457,B60,WBS!$E$5:$E$457,C60,WBS!$Y$5:$Y$457,"Blocked")&gt;0,"Blocked",IF(COUNTIFS(WBS!$D$5:$D$457,B60,WBS!$E$5:$E$457,C60,WBS!$Y$5:$Y$457,"In Progress")&gt;0,"In Progress","Not Started")))</f>
        <v>Not Started</v>
      </c>
      <c r="O60" s="7">
        <f>IFERROR(AVERAGEIFS(WBS!$Z$5:$Z$457,WBS!$D$5:$D$457,B60,WBS!$E$5:$E$457,C60),0)</f>
        <v>0</v>
      </c>
      <c r="P60" s="1" t="str">
        <f t="shared" si="1"/>
        <v>Trợ lý AI hỗ trợ nghiệp vụ|AI xét duyệt cấp cơ sở</v>
      </c>
    </row>
    <row r="61" spans="1:16">
      <c r="A61" s="1" t="s">
        <v>1957</v>
      </c>
      <c r="B61" s="11" t="s">
        <v>1694</v>
      </c>
      <c r="C61" s="11" t="s">
        <v>1776</v>
      </c>
      <c r="D61" s="1">
        <f>COUNTIFS(WBS!$D$5:$D$457,B61,WBS!$E$5:$E$457,C61)</f>
        <v>3</v>
      </c>
      <c r="E61" s="1">
        <f>COUNTIFS(WBS!$D$5:$D$457,B61,WBS!$E$5:$E$457,C61,WBS!$M$5:$M$457,"Must")</f>
        <v>0</v>
      </c>
      <c r="F61" s="1">
        <f>COUNTIFS(WBS!$D$5:$D$457,B61,WBS!$E$5:$E$457,C61,WBS!$M$5:$M$457,"Should")</f>
        <v>0</v>
      </c>
      <c r="G61" s="1">
        <f>COUNTIFS(WBS!$D$5:$D$457,B61,WBS!$E$5:$E$457,C61,WBS!$M$5:$M$457,"Could")</f>
        <v>3</v>
      </c>
      <c r="H61" s="1">
        <f>COUNTIFS(WBS!$D$5:$D$457,B61,WBS!$E$5:$E$457,C61,WBS!$N$5:$N$457,"Pha 1")</f>
        <v>0</v>
      </c>
      <c r="I61" s="1">
        <f>COUNTIFS(WBS!$D$5:$D$457,B61,WBS!$E$5:$E$457,C61,WBS!$N$5:$N$457,"Pha 2")</f>
        <v>0</v>
      </c>
      <c r="J61" s="1">
        <f>COUNTIFS(WBS!$D$5:$D$457,B61,WBS!$E$5:$E$457,C61,WBS!$N$5:$N$457,"Pha 3")</f>
        <v>3</v>
      </c>
      <c r="K61" s="1">
        <f>COUNTIFS(WBS!$D$5:$D$457,B61,WBS!$E$5:$E$457,C61,WBS!$O$5:$O$457,"Cần xác nhận")</f>
        <v>3</v>
      </c>
      <c r="M61" s="6">
        <f>SUMIFS(WBS!$U$5:$U$457,WBS!$D$5:$D$457,B61,WBS!$E$5:$E$457,C61)</f>
        <v>0</v>
      </c>
      <c r="N61" s="1" t="str">
        <f>IF(O61=1,"Done",IF(COUNTIFS(WBS!$D$5:$D$457,B61,WBS!$E$5:$E$457,C61,WBS!$Y$5:$Y$457,"Blocked")&gt;0,"Blocked",IF(COUNTIFS(WBS!$D$5:$D$457,B61,WBS!$E$5:$E$457,C61,WBS!$Y$5:$Y$457,"In Progress")&gt;0,"In Progress","Not Started")))</f>
        <v>Not Started</v>
      </c>
      <c r="O61" s="7">
        <f>IFERROR(AVERAGEIFS(WBS!$Z$5:$Z$457,WBS!$D$5:$D$457,B61,WBS!$E$5:$E$457,C61),0)</f>
        <v>0</v>
      </c>
      <c r="P61" s="1" t="str">
        <f t="shared" si="1"/>
        <v>Trợ lý AI hỗ trợ nghiệp vụ|AI xét duyệt cấp Tập đoàn</v>
      </c>
    </row>
    <row r="62" spans="1:16">
      <c r="A62" s="1" t="s">
        <v>1958</v>
      </c>
      <c r="B62" s="11" t="s">
        <v>1694</v>
      </c>
      <c r="C62" s="11" t="s">
        <v>1788</v>
      </c>
      <c r="D62" s="1">
        <f>COUNTIFS(WBS!$D$5:$D$457,B62,WBS!$E$5:$E$457,C62)</f>
        <v>3</v>
      </c>
      <c r="E62" s="1">
        <f>COUNTIFS(WBS!$D$5:$D$457,B62,WBS!$E$5:$E$457,C62,WBS!$M$5:$M$457,"Must")</f>
        <v>0</v>
      </c>
      <c r="F62" s="1">
        <f>COUNTIFS(WBS!$D$5:$D$457,B62,WBS!$E$5:$E$457,C62,WBS!$M$5:$M$457,"Should")</f>
        <v>0</v>
      </c>
      <c r="G62" s="1">
        <f>COUNTIFS(WBS!$D$5:$D$457,B62,WBS!$E$5:$E$457,C62,WBS!$M$5:$M$457,"Could")</f>
        <v>3</v>
      </c>
      <c r="H62" s="1">
        <f>COUNTIFS(WBS!$D$5:$D$457,B62,WBS!$E$5:$E$457,C62,WBS!$N$5:$N$457,"Pha 1")</f>
        <v>0</v>
      </c>
      <c r="I62" s="1">
        <f>COUNTIFS(WBS!$D$5:$D$457,B62,WBS!$E$5:$E$457,C62,WBS!$N$5:$N$457,"Pha 2")</f>
        <v>0</v>
      </c>
      <c r="J62" s="1">
        <f>COUNTIFS(WBS!$D$5:$D$457,B62,WBS!$E$5:$E$457,C62,WBS!$N$5:$N$457,"Pha 3")</f>
        <v>3</v>
      </c>
      <c r="K62" s="1">
        <f>COUNTIFS(WBS!$D$5:$D$457,B62,WBS!$E$5:$E$457,C62,WBS!$O$5:$O$457,"Cần xác nhận")</f>
        <v>3</v>
      </c>
      <c r="M62" s="6">
        <f>SUMIFS(WBS!$U$5:$U$457,WBS!$D$5:$D$457,B62,WBS!$E$5:$E$457,C62)</f>
        <v>0</v>
      </c>
      <c r="N62" s="1" t="str">
        <f>IF(O62=1,"Done",IF(COUNTIFS(WBS!$D$5:$D$457,B62,WBS!$E$5:$E$457,C62,WBS!$Y$5:$Y$457,"Blocked")&gt;0,"Blocked",IF(COUNTIFS(WBS!$D$5:$D$457,B62,WBS!$E$5:$E$457,C62,WBS!$Y$5:$Y$457,"In Progress")&gt;0,"In Progress","Not Started")))</f>
        <v>Not Started</v>
      </c>
      <c r="O62" s="7">
        <f>IFERROR(AVERAGEIFS(WBS!$Z$5:$Z$457,WBS!$D$5:$D$457,B62,WBS!$E$5:$E$457,C62),0)</f>
        <v>0</v>
      </c>
      <c r="P62" s="1" t="str">
        <f t="shared" si="1"/>
        <v>Trợ lý AI hỗ trợ nghiệp vụ|AI điều chỉnh nhiệm vụ</v>
      </c>
    </row>
    <row r="63" spans="1:16">
      <c r="A63" s="1" t="s">
        <v>1959</v>
      </c>
      <c r="B63" s="11" t="s">
        <v>1694</v>
      </c>
      <c r="C63" s="11" t="s">
        <v>1803</v>
      </c>
      <c r="D63" s="1">
        <f>COUNTIFS(WBS!$D$5:$D$457,B63,WBS!$E$5:$E$457,C63)</f>
        <v>3</v>
      </c>
      <c r="E63" s="1">
        <f>COUNTIFS(WBS!$D$5:$D$457,B63,WBS!$E$5:$E$457,C63,WBS!$M$5:$M$457,"Must")</f>
        <v>0</v>
      </c>
      <c r="F63" s="1">
        <f>COUNTIFS(WBS!$D$5:$D$457,B63,WBS!$E$5:$E$457,C63,WBS!$M$5:$M$457,"Should")</f>
        <v>0</v>
      </c>
      <c r="G63" s="1">
        <f>COUNTIFS(WBS!$D$5:$D$457,B63,WBS!$E$5:$E$457,C63,WBS!$M$5:$M$457,"Could")</f>
        <v>3</v>
      </c>
      <c r="H63" s="1">
        <f>COUNTIFS(WBS!$D$5:$D$457,B63,WBS!$E$5:$E$457,C63,WBS!$N$5:$N$457,"Pha 1")</f>
        <v>0</v>
      </c>
      <c r="I63" s="1">
        <f>COUNTIFS(WBS!$D$5:$D$457,B63,WBS!$E$5:$E$457,C63,WBS!$N$5:$N$457,"Pha 2")</f>
        <v>0</v>
      </c>
      <c r="J63" s="1">
        <f>COUNTIFS(WBS!$D$5:$D$457,B63,WBS!$E$5:$E$457,C63,WBS!$N$5:$N$457,"Pha 3")</f>
        <v>3</v>
      </c>
      <c r="K63" s="1">
        <f>COUNTIFS(WBS!$D$5:$D$457,B63,WBS!$E$5:$E$457,C63,WBS!$O$5:$O$457,"Cần xác nhận")</f>
        <v>3</v>
      </c>
      <c r="M63" s="6">
        <f>SUMIFS(WBS!$U$5:$U$457,WBS!$D$5:$D$457,B63,WBS!$E$5:$E$457,C63)</f>
        <v>0</v>
      </c>
      <c r="N63" s="1" t="str">
        <f>IF(O63=1,"Done",IF(COUNTIFS(WBS!$D$5:$D$457,B63,WBS!$E$5:$E$457,C63,WBS!$Y$5:$Y$457,"Blocked")&gt;0,"Blocked",IF(COUNTIFS(WBS!$D$5:$D$457,B63,WBS!$E$5:$E$457,C63,WBS!$Y$5:$Y$457,"In Progress")&gt;0,"In Progress","Not Started")))</f>
        <v>Not Started</v>
      </c>
      <c r="O63" s="7">
        <f>IFERROR(AVERAGEIFS(WBS!$Z$5:$Z$457,WBS!$D$5:$D$457,B63,WBS!$E$5:$E$457,C63),0)</f>
        <v>0</v>
      </c>
      <c r="P63" s="1" t="str">
        <f t="shared" si="1"/>
        <v>Trợ lý AI hỗ trợ nghiệp vụ|AI theo dõi thực hiện</v>
      </c>
    </row>
    <row r="64" spans="1:16">
      <c r="A64" s="1" t="s">
        <v>1960</v>
      </c>
      <c r="B64" s="11" t="s">
        <v>1694</v>
      </c>
      <c r="C64" s="11" t="s">
        <v>1816</v>
      </c>
      <c r="D64" s="1">
        <f>COUNTIFS(WBS!$D$5:$D$457,B64,WBS!$E$5:$E$457,C64)</f>
        <v>3</v>
      </c>
      <c r="E64" s="1">
        <f>COUNTIFS(WBS!$D$5:$D$457,B64,WBS!$E$5:$E$457,C64,WBS!$M$5:$M$457,"Must")</f>
        <v>0</v>
      </c>
      <c r="F64" s="1">
        <f>COUNTIFS(WBS!$D$5:$D$457,B64,WBS!$E$5:$E$457,C64,WBS!$M$5:$M$457,"Should")</f>
        <v>0</v>
      </c>
      <c r="G64" s="1">
        <f>COUNTIFS(WBS!$D$5:$D$457,B64,WBS!$E$5:$E$457,C64,WBS!$M$5:$M$457,"Could")</f>
        <v>3</v>
      </c>
      <c r="H64" s="1">
        <f>COUNTIFS(WBS!$D$5:$D$457,B64,WBS!$E$5:$E$457,C64,WBS!$N$5:$N$457,"Pha 1")</f>
        <v>0</v>
      </c>
      <c r="I64" s="1">
        <f>COUNTIFS(WBS!$D$5:$D$457,B64,WBS!$E$5:$E$457,C64,WBS!$N$5:$N$457,"Pha 2")</f>
        <v>0</v>
      </c>
      <c r="J64" s="1">
        <f>COUNTIFS(WBS!$D$5:$D$457,B64,WBS!$E$5:$E$457,C64,WBS!$N$5:$N$457,"Pha 3")</f>
        <v>3</v>
      </c>
      <c r="K64" s="1">
        <f>COUNTIFS(WBS!$D$5:$D$457,B64,WBS!$E$5:$E$457,C64,WBS!$O$5:$O$457,"Cần xác nhận")</f>
        <v>3</v>
      </c>
      <c r="M64" s="6">
        <f>SUMIFS(WBS!$U$5:$U$457,WBS!$D$5:$D$457,B64,WBS!$E$5:$E$457,C64)</f>
        <v>0</v>
      </c>
      <c r="N64" s="1" t="str">
        <f>IF(O64=1,"Done",IF(COUNTIFS(WBS!$D$5:$D$457,B64,WBS!$E$5:$E$457,C64,WBS!$Y$5:$Y$457,"Blocked")&gt;0,"Blocked",IF(COUNTIFS(WBS!$D$5:$D$457,B64,WBS!$E$5:$E$457,C64,WBS!$Y$5:$Y$457,"In Progress")&gt;0,"In Progress","Not Started")))</f>
        <v>Not Started</v>
      </c>
      <c r="O64" s="7">
        <f>IFERROR(AVERAGEIFS(WBS!$Z$5:$Z$457,WBS!$D$5:$D$457,B64,WBS!$E$5:$E$457,C64),0)</f>
        <v>0</v>
      </c>
      <c r="P64" s="1" t="str">
        <f t="shared" si="1"/>
        <v>Trợ lý AI hỗ trợ nghiệp vụ|AI sản phẩm nghiên cứu</v>
      </c>
    </row>
    <row r="65" spans="1:16">
      <c r="A65" s="1" t="s">
        <v>1961</v>
      </c>
      <c r="B65" s="11" t="s">
        <v>1694</v>
      </c>
      <c r="C65" s="11" t="s">
        <v>1829</v>
      </c>
      <c r="D65" s="1">
        <f>COUNTIFS(WBS!$D$5:$D$457,B65,WBS!$E$5:$E$457,C65)</f>
        <v>3</v>
      </c>
      <c r="E65" s="1">
        <f>COUNTIFS(WBS!$D$5:$D$457,B65,WBS!$E$5:$E$457,C65,WBS!$M$5:$M$457,"Must")</f>
        <v>0</v>
      </c>
      <c r="F65" s="1">
        <f>COUNTIFS(WBS!$D$5:$D$457,B65,WBS!$E$5:$E$457,C65,WBS!$M$5:$M$457,"Should")</f>
        <v>0</v>
      </c>
      <c r="G65" s="1">
        <f>COUNTIFS(WBS!$D$5:$D$457,B65,WBS!$E$5:$E$457,C65,WBS!$M$5:$M$457,"Could")</f>
        <v>3</v>
      </c>
      <c r="H65" s="1">
        <f>COUNTIFS(WBS!$D$5:$D$457,B65,WBS!$E$5:$E$457,C65,WBS!$N$5:$N$457,"Pha 1")</f>
        <v>0</v>
      </c>
      <c r="I65" s="1">
        <f>COUNTIFS(WBS!$D$5:$D$457,B65,WBS!$E$5:$E$457,C65,WBS!$N$5:$N$457,"Pha 2")</f>
        <v>0</v>
      </c>
      <c r="J65" s="1">
        <f>COUNTIFS(WBS!$D$5:$D$457,B65,WBS!$E$5:$E$457,C65,WBS!$N$5:$N$457,"Pha 3")</f>
        <v>3</v>
      </c>
      <c r="K65" s="1">
        <f>COUNTIFS(WBS!$D$5:$D$457,B65,WBS!$E$5:$E$457,C65,WBS!$O$5:$O$457,"Cần xác nhận")</f>
        <v>3</v>
      </c>
      <c r="M65" s="6">
        <f>SUMIFS(WBS!$U$5:$U$457,WBS!$D$5:$D$457,B65,WBS!$E$5:$E$457,C65)</f>
        <v>0</v>
      </c>
      <c r="N65" s="1" t="str">
        <f>IF(O65=1,"Done",IF(COUNTIFS(WBS!$D$5:$D$457,B65,WBS!$E$5:$E$457,C65,WBS!$Y$5:$Y$457,"Blocked")&gt;0,"Blocked",IF(COUNTIFS(WBS!$D$5:$D$457,B65,WBS!$E$5:$E$457,C65,WBS!$Y$5:$Y$457,"In Progress")&gt;0,"In Progress","Not Started")))</f>
        <v>Not Started</v>
      </c>
      <c r="O65" s="7">
        <f>IFERROR(AVERAGEIFS(WBS!$Z$5:$Z$457,WBS!$D$5:$D$457,B65,WBS!$E$5:$E$457,C65),0)</f>
        <v>0</v>
      </c>
      <c r="P65" s="1" t="str">
        <f t="shared" si="1"/>
        <v>Trợ lý AI hỗ trợ nghiệp vụ|AI sở hữu trí tuệ</v>
      </c>
    </row>
    <row r="66" spans="1:16">
      <c r="A66" s="1" t="s">
        <v>1962</v>
      </c>
      <c r="B66" s="11" t="s">
        <v>1694</v>
      </c>
      <c r="C66" s="11" t="s">
        <v>1840</v>
      </c>
      <c r="D66" s="1">
        <f>COUNTIFS(WBS!$D$5:$D$457,B66,WBS!$E$5:$E$457,C66)</f>
        <v>4</v>
      </c>
      <c r="E66" s="1">
        <f>COUNTIFS(WBS!$D$5:$D$457,B66,WBS!$E$5:$E$457,C66,WBS!$M$5:$M$457,"Must")</f>
        <v>0</v>
      </c>
      <c r="F66" s="1">
        <f>COUNTIFS(WBS!$D$5:$D$457,B66,WBS!$E$5:$E$457,C66,WBS!$M$5:$M$457,"Should")</f>
        <v>0</v>
      </c>
      <c r="G66" s="1">
        <f>COUNTIFS(WBS!$D$5:$D$457,B66,WBS!$E$5:$E$457,C66,WBS!$M$5:$M$457,"Could")</f>
        <v>4</v>
      </c>
      <c r="H66" s="1">
        <f>COUNTIFS(WBS!$D$5:$D$457,B66,WBS!$E$5:$E$457,C66,WBS!$N$5:$N$457,"Pha 1")</f>
        <v>0</v>
      </c>
      <c r="I66" s="1">
        <f>COUNTIFS(WBS!$D$5:$D$457,B66,WBS!$E$5:$E$457,C66,WBS!$N$5:$N$457,"Pha 2")</f>
        <v>0</v>
      </c>
      <c r="J66" s="1">
        <f>COUNTIFS(WBS!$D$5:$D$457,B66,WBS!$E$5:$E$457,C66,WBS!$N$5:$N$457,"Pha 3")</f>
        <v>4</v>
      </c>
      <c r="K66" s="1">
        <f>COUNTIFS(WBS!$D$5:$D$457,B66,WBS!$E$5:$E$457,C66,WBS!$O$5:$O$457,"Cần xác nhận")</f>
        <v>4</v>
      </c>
      <c r="M66" s="6">
        <f>SUMIFS(WBS!$U$5:$U$457,WBS!$D$5:$D$457,B66,WBS!$E$5:$E$457,C66)</f>
        <v>0</v>
      </c>
      <c r="N66" s="1" t="str">
        <f>IF(O66=1,"Done",IF(COUNTIFS(WBS!$D$5:$D$457,B66,WBS!$E$5:$E$457,C66,WBS!$Y$5:$Y$457,"Blocked")&gt;0,"Blocked",IF(COUNTIFS(WBS!$D$5:$D$457,B66,WBS!$E$5:$E$457,C66,WBS!$Y$5:$Y$457,"In Progress")&gt;0,"In Progress","Not Started")))</f>
        <v>Not Started</v>
      </c>
      <c r="O66" s="7">
        <f>IFERROR(AVERAGEIFS(WBS!$Z$5:$Z$457,WBS!$D$5:$D$457,B66,WBS!$E$5:$E$457,C66),0)</f>
        <v>0</v>
      </c>
      <c r="P66" s="1" t="str">
        <f t="shared" si="1"/>
        <v>Trợ lý AI hỗ trợ nghiệp vụ|AI hỗ trợ thẩm định</v>
      </c>
    </row>
  </sheetData>
  <mergeCells count="2">
    <mergeCell ref="A1:P1"/>
    <mergeCell ref="A2:P2"/>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14:formula1>
            <xm:f>Lists!$F$2:$F$12</xm:f>
          </x14:formula1>
          <xm:sqref>L5:L66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showGridLines="0" workbookViewId="0"/>
  </sheetViews>
  <sheetFormatPr defaultRowHeight="12.75"/>
  <cols>
    <col min="1" max="1" width="25.7109375" style="1" customWidth="1"/>
    <col min="2" max="2" width="38.7109375" style="1" customWidth="1"/>
    <col min="3" max="3" width="25.7109375" style="1" customWidth="1"/>
    <col min="4" max="4" width="20.7109375" style="1" customWidth="1"/>
    <col min="5" max="7" width="14.7109375" style="1" customWidth="1"/>
    <col min="8" max="8" width="30.7109375" style="1" customWidth="1"/>
    <col min="9" max="16384" width="9.140625" style="1"/>
  </cols>
  <sheetData>
    <row r="1" spans="1:8" ht="20.25">
      <c r="A1" s="19" t="s">
        <v>1963</v>
      </c>
      <c r="B1" s="19"/>
      <c r="C1" s="19"/>
      <c r="D1" s="19"/>
      <c r="E1" s="19"/>
      <c r="F1" s="19"/>
      <c r="G1" s="19"/>
      <c r="H1" s="19"/>
    </row>
    <row r="3" spans="1:8" ht="33.950000000000003" customHeight="1">
      <c r="A3" s="5" t="s">
        <v>1964</v>
      </c>
      <c r="B3" s="5" t="s">
        <v>274</v>
      </c>
      <c r="C3" s="5" t="s">
        <v>1965</v>
      </c>
      <c r="D3" s="5" t="s">
        <v>1889</v>
      </c>
      <c r="E3" s="5" t="s">
        <v>1966</v>
      </c>
      <c r="F3" s="5" t="s">
        <v>1855</v>
      </c>
      <c r="G3" s="5" t="s">
        <v>1967</v>
      </c>
      <c r="H3" s="5" t="s">
        <v>1968</v>
      </c>
    </row>
    <row r="4" spans="1:8" ht="25.5">
      <c r="A4" s="11" t="s">
        <v>1969</v>
      </c>
      <c r="B4" s="11" t="s">
        <v>1970</v>
      </c>
      <c r="C4" s="11" t="s">
        <v>1971</v>
      </c>
      <c r="D4" s="11"/>
      <c r="E4" s="12"/>
      <c r="F4" s="11" t="s">
        <v>1860</v>
      </c>
      <c r="G4" s="12"/>
      <c r="H4" s="11"/>
    </row>
    <row r="5" spans="1:8" ht="25.5">
      <c r="A5" s="11" t="s">
        <v>1972</v>
      </c>
      <c r="B5" s="11" t="s">
        <v>1973</v>
      </c>
      <c r="C5" s="11" t="s">
        <v>1974</v>
      </c>
      <c r="D5" s="11"/>
      <c r="E5" s="12"/>
      <c r="F5" s="11" t="s">
        <v>1860</v>
      </c>
      <c r="G5" s="12"/>
      <c r="H5" s="11"/>
    </row>
    <row r="6" spans="1:8" ht="25.5">
      <c r="A6" s="11" t="s">
        <v>1975</v>
      </c>
      <c r="B6" s="11" t="s">
        <v>1976</v>
      </c>
      <c r="C6" s="11" t="s">
        <v>1974</v>
      </c>
      <c r="D6" s="11"/>
      <c r="E6" s="12"/>
      <c r="F6" s="11" t="s">
        <v>1860</v>
      </c>
      <c r="G6" s="12"/>
      <c r="H6" s="11"/>
    </row>
    <row r="7" spans="1:8">
      <c r="A7" s="11" t="s">
        <v>1977</v>
      </c>
      <c r="B7" s="11" t="s">
        <v>1978</v>
      </c>
      <c r="C7" s="11" t="s">
        <v>1974</v>
      </c>
      <c r="D7" s="11"/>
      <c r="E7" s="12"/>
      <c r="F7" s="11" t="s">
        <v>1860</v>
      </c>
      <c r="G7" s="12"/>
      <c r="H7" s="11"/>
    </row>
    <row r="8" spans="1:8">
      <c r="A8" s="11" t="s">
        <v>1979</v>
      </c>
      <c r="B8" s="11" t="s">
        <v>1980</v>
      </c>
      <c r="C8" s="11" t="s">
        <v>1974</v>
      </c>
      <c r="D8" s="11"/>
      <c r="E8" s="12"/>
      <c r="F8" s="11" t="s">
        <v>1860</v>
      </c>
      <c r="G8" s="12"/>
      <c r="H8" s="11"/>
    </row>
    <row r="9" spans="1:8">
      <c r="A9" s="11" t="s">
        <v>1981</v>
      </c>
      <c r="B9" s="11" t="s">
        <v>1982</v>
      </c>
      <c r="C9" s="11" t="s">
        <v>1974</v>
      </c>
      <c r="D9" s="11"/>
      <c r="E9" s="12"/>
      <c r="F9" s="11" t="s">
        <v>1860</v>
      </c>
      <c r="G9" s="12"/>
      <c r="H9" s="11"/>
    </row>
    <row r="10" spans="1:8">
      <c r="A10" s="11" t="s">
        <v>1983</v>
      </c>
      <c r="B10" s="11" t="s">
        <v>1984</v>
      </c>
      <c r="C10" s="11" t="s">
        <v>1985</v>
      </c>
      <c r="D10" s="11"/>
      <c r="E10" s="12"/>
      <c r="F10" s="11" t="s">
        <v>1860</v>
      </c>
      <c r="G10" s="12"/>
      <c r="H10" s="11"/>
    </row>
    <row r="11" spans="1:8">
      <c r="A11" s="11" t="s">
        <v>1986</v>
      </c>
      <c r="B11" s="11" t="s">
        <v>1987</v>
      </c>
      <c r="C11" s="11" t="s">
        <v>1988</v>
      </c>
      <c r="D11" s="11"/>
      <c r="E11" s="12"/>
      <c r="F11" s="11" t="s">
        <v>1860</v>
      </c>
      <c r="G11" s="12"/>
      <c r="H11" s="11"/>
    </row>
  </sheetData>
  <mergeCells count="1">
    <mergeCell ref="A1:H1"/>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14:formula1>
            <xm:f>Lists!$A$2:$A$6</xm:f>
          </x14:formula1>
          <xm:sqref>F4:F11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
  <sheetViews>
    <sheetView showGridLines="0" workbookViewId="0">
      <selection sqref="A1:K1"/>
    </sheetView>
  </sheetViews>
  <sheetFormatPr defaultRowHeight="12.75"/>
  <cols>
    <col min="1" max="11" width="14.7109375" style="1" customWidth="1"/>
    <col min="12" max="16384" width="9.140625" style="1"/>
  </cols>
  <sheetData>
    <row r="1" spans="1:11" ht="20.25">
      <c r="A1" s="19" t="s">
        <v>1989</v>
      </c>
      <c r="B1" s="19"/>
      <c r="C1" s="19"/>
      <c r="D1" s="19"/>
      <c r="E1" s="19"/>
      <c r="F1" s="19"/>
      <c r="G1" s="19"/>
      <c r="H1" s="19"/>
      <c r="I1" s="19"/>
      <c r="J1" s="19"/>
      <c r="K1" s="19"/>
    </row>
    <row r="2" spans="1:11">
      <c r="A2" s="20" t="s">
        <v>1990</v>
      </c>
      <c r="B2" s="20"/>
      <c r="C2" s="20"/>
      <c r="D2" s="20"/>
      <c r="E2" s="20"/>
      <c r="F2" s="20"/>
      <c r="G2" s="20"/>
      <c r="H2" s="20"/>
      <c r="I2" s="20"/>
      <c r="J2" s="20"/>
      <c r="K2" s="20"/>
    </row>
    <row r="4" spans="1:11" ht="33.950000000000003" customHeight="1">
      <c r="A4" s="5" t="s">
        <v>1991</v>
      </c>
      <c r="B4" s="5" t="s">
        <v>1992</v>
      </c>
      <c r="C4" s="5" t="s">
        <v>1993</v>
      </c>
      <c r="D4" s="5" t="s">
        <v>28</v>
      </c>
      <c r="E4" s="5" t="s">
        <v>71</v>
      </c>
      <c r="F4" s="5" t="s">
        <v>407</v>
      </c>
      <c r="G4" s="5" t="s">
        <v>29</v>
      </c>
      <c r="H4" s="5" t="s">
        <v>125</v>
      </c>
      <c r="I4" s="5" t="s">
        <v>408</v>
      </c>
      <c r="J4" s="5" t="s">
        <v>209</v>
      </c>
      <c r="K4" s="5" t="s">
        <v>1894</v>
      </c>
    </row>
    <row r="5" spans="1:11">
      <c r="A5" s="1" t="s">
        <v>1234</v>
      </c>
      <c r="B5" s="1" t="s">
        <v>1994</v>
      </c>
      <c r="C5" s="1">
        <f>COUNTIF(WBS!$L$5:$L$457,"*"&amp;A5&amp;"*")</f>
        <v>40</v>
      </c>
      <c r="D5" s="1">
        <f>COUNTIFS(WBS!$L$5:$L$457,"*"&amp;A5&amp;"*",WBS!$M$5:$M$457,"Must")</f>
        <v>31</v>
      </c>
      <c r="E5" s="1">
        <f>COUNTIFS(WBS!$L$5:$L$457,"*"&amp;A5&amp;"*",WBS!$M$5:$M$457,"Should")</f>
        <v>9</v>
      </c>
      <c r="F5" s="1">
        <f>COUNTIFS(WBS!$L$5:$L$457,"*"&amp;A5&amp;"*",WBS!$M$5:$M$457,"Could")</f>
        <v>0</v>
      </c>
      <c r="G5" s="1">
        <f>COUNTIFS(WBS!$L$5:$L$457,"*"&amp;A5&amp;"*",WBS!$N$5:$N$457,"Pha 1")</f>
        <v>26</v>
      </c>
      <c r="H5" s="1">
        <f>COUNTIFS(WBS!$L$5:$L$457,"*"&amp;A5&amp;"*",WBS!$N$5:$N$457,"Pha 2")</f>
        <v>14</v>
      </c>
      <c r="I5" s="1">
        <f>COUNTIFS(WBS!$L$5:$L$457,"*"&amp;A5&amp;"*",WBS!$N$5:$N$457,"Pha 3")</f>
        <v>0</v>
      </c>
      <c r="J5" s="1">
        <f>COUNTIFS(WBS!$L$5:$L$457,"*"&amp;A5&amp;"*",WBS!$O$5:$O$457,"Cần xác nhận")</f>
        <v>2</v>
      </c>
      <c r="K5" s="7">
        <f>IFERROR(SUMPRODUCT((ISNUMBER(SEARCH(A5,WBS!$L$5:$L$457)))*WBS!$Z$5:$Z$457)/C5,0)</f>
        <v>0</v>
      </c>
    </row>
    <row r="6" spans="1:11">
      <c r="A6" s="1" t="s">
        <v>1995</v>
      </c>
      <c r="B6" s="1" t="s">
        <v>1996</v>
      </c>
      <c r="C6" s="1">
        <f>COUNTIF(WBS!$L$5:$L$457,"*"&amp;A6&amp;"*")</f>
        <v>15</v>
      </c>
      <c r="D6" s="1">
        <f>COUNTIFS(WBS!$L$5:$L$457,"*"&amp;A6&amp;"*",WBS!$M$5:$M$457,"Must")</f>
        <v>12</v>
      </c>
      <c r="E6" s="1">
        <f>COUNTIFS(WBS!$L$5:$L$457,"*"&amp;A6&amp;"*",WBS!$M$5:$M$457,"Should")</f>
        <v>3</v>
      </c>
      <c r="F6" s="1">
        <f>COUNTIFS(WBS!$L$5:$L$457,"*"&amp;A6&amp;"*",WBS!$M$5:$M$457,"Could")</f>
        <v>0</v>
      </c>
      <c r="G6" s="1">
        <f>COUNTIFS(WBS!$L$5:$L$457,"*"&amp;A6&amp;"*",WBS!$N$5:$N$457,"Pha 1")</f>
        <v>14</v>
      </c>
      <c r="H6" s="1">
        <f>COUNTIFS(WBS!$L$5:$L$457,"*"&amp;A6&amp;"*",WBS!$N$5:$N$457,"Pha 2")</f>
        <v>1</v>
      </c>
      <c r="I6" s="1">
        <f>COUNTIFS(WBS!$L$5:$L$457,"*"&amp;A6&amp;"*",WBS!$N$5:$N$457,"Pha 3")</f>
        <v>0</v>
      </c>
      <c r="J6" s="1">
        <f>COUNTIFS(WBS!$L$5:$L$457,"*"&amp;A6&amp;"*",WBS!$O$5:$O$457,"Cần xác nhận")</f>
        <v>1</v>
      </c>
      <c r="K6" s="7">
        <f>IFERROR(SUMPRODUCT((ISNUMBER(SEARCH(A6,WBS!$L$5:$L$457)))*WBS!$Z$5:$Z$457)/C6,0)</f>
        <v>0</v>
      </c>
    </row>
    <row r="7" spans="1:11">
      <c r="A7" s="1" t="s">
        <v>1997</v>
      </c>
      <c r="B7" s="1" t="s">
        <v>1998</v>
      </c>
      <c r="C7" s="1">
        <f>COUNTIF(WBS!$L$5:$L$457,"*"&amp;A7&amp;"*")</f>
        <v>5</v>
      </c>
      <c r="D7" s="1">
        <f>COUNTIFS(WBS!$L$5:$L$457,"*"&amp;A7&amp;"*",WBS!$M$5:$M$457,"Must")</f>
        <v>5</v>
      </c>
      <c r="E7" s="1">
        <f>COUNTIFS(WBS!$L$5:$L$457,"*"&amp;A7&amp;"*",WBS!$M$5:$M$457,"Should")</f>
        <v>0</v>
      </c>
      <c r="F7" s="1">
        <f>COUNTIFS(WBS!$L$5:$L$457,"*"&amp;A7&amp;"*",WBS!$M$5:$M$457,"Could")</f>
        <v>0</v>
      </c>
      <c r="G7" s="1">
        <f>COUNTIFS(WBS!$L$5:$L$457,"*"&amp;A7&amp;"*",WBS!$N$5:$N$457,"Pha 1")</f>
        <v>5</v>
      </c>
      <c r="H7" s="1">
        <f>COUNTIFS(WBS!$L$5:$L$457,"*"&amp;A7&amp;"*",WBS!$N$5:$N$457,"Pha 2")</f>
        <v>0</v>
      </c>
      <c r="I7" s="1">
        <f>COUNTIFS(WBS!$L$5:$L$457,"*"&amp;A7&amp;"*",WBS!$N$5:$N$457,"Pha 3")</f>
        <v>0</v>
      </c>
      <c r="J7" s="1">
        <f>COUNTIFS(WBS!$L$5:$L$457,"*"&amp;A7&amp;"*",WBS!$O$5:$O$457,"Cần xác nhận")</f>
        <v>2</v>
      </c>
      <c r="K7" s="7">
        <f>IFERROR(SUMPRODUCT((ISNUMBER(SEARCH(A7,WBS!$L$5:$L$457)))*WBS!$Z$5:$Z$457)/C7,0)</f>
        <v>0</v>
      </c>
    </row>
    <row r="8" spans="1:11">
      <c r="A8" s="1" t="s">
        <v>437</v>
      </c>
      <c r="B8" s="1" t="s">
        <v>1999</v>
      </c>
      <c r="C8" s="1">
        <f>COUNTIF(WBS!$L$5:$L$457,"*"&amp;A8&amp;"*")</f>
        <v>85</v>
      </c>
      <c r="D8" s="1">
        <f>COUNTIFS(WBS!$L$5:$L$457,"*"&amp;A8&amp;"*",WBS!$M$5:$M$457,"Must")</f>
        <v>68</v>
      </c>
      <c r="E8" s="1">
        <f>COUNTIFS(WBS!$L$5:$L$457,"*"&amp;A8&amp;"*",WBS!$M$5:$M$457,"Should")</f>
        <v>16</v>
      </c>
      <c r="F8" s="1">
        <f>COUNTIFS(WBS!$L$5:$L$457,"*"&amp;A8&amp;"*",WBS!$M$5:$M$457,"Could")</f>
        <v>1</v>
      </c>
      <c r="G8" s="1">
        <f>COUNTIFS(WBS!$L$5:$L$457,"*"&amp;A8&amp;"*",WBS!$N$5:$N$457,"Pha 1")</f>
        <v>69</v>
      </c>
      <c r="H8" s="1">
        <f>COUNTIFS(WBS!$L$5:$L$457,"*"&amp;A8&amp;"*",WBS!$N$5:$N$457,"Pha 2")</f>
        <v>9</v>
      </c>
      <c r="I8" s="1">
        <f>COUNTIFS(WBS!$L$5:$L$457,"*"&amp;A8&amp;"*",WBS!$N$5:$N$457,"Pha 3")</f>
        <v>7</v>
      </c>
      <c r="J8" s="1">
        <f>COUNTIFS(WBS!$L$5:$L$457,"*"&amp;A8&amp;"*",WBS!$O$5:$O$457,"Cần xác nhận")</f>
        <v>5</v>
      </c>
      <c r="K8" s="7">
        <f>IFERROR(SUMPRODUCT((ISNUMBER(SEARCH(A8,WBS!$L$5:$L$457)))*WBS!$Z$5:$Z$457)/C8,0)</f>
        <v>0</v>
      </c>
    </row>
    <row r="9" spans="1:11">
      <c r="A9" s="1" t="s">
        <v>455</v>
      </c>
      <c r="B9" s="1" t="s">
        <v>2000</v>
      </c>
      <c r="C9" s="1">
        <f>COUNTIF(WBS!$L$5:$L$457,"*"&amp;A9&amp;"*")</f>
        <v>13</v>
      </c>
      <c r="D9" s="1">
        <f>COUNTIFS(WBS!$L$5:$L$457,"*"&amp;A9&amp;"*",WBS!$M$5:$M$457,"Must")</f>
        <v>11</v>
      </c>
      <c r="E9" s="1">
        <f>COUNTIFS(WBS!$L$5:$L$457,"*"&amp;A9&amp;"*",WBS!$M$5:$M$457,"Should")</f>
        <v>2</v>
      </c>
      <c r="F9" s="1">
        <f>COUNTIFS(WBS!$L$5:$L$457,"*"&amp;A9&amp;"*",WBS!$M$5:$M$457,"Could")</f>
        <v>0</v>
      </c>
      <c r="G9" s="1">
        <f>COUNTIFS(WBS!$L$5:$L$457,"*"&amp;A9&amp;"*",WBS!$N$5:$N$457,"Pha 1")</f>
        <v>13</v>
      </c>
      <c r="H9" s="1">
        <f>COUNTIFS(WBS!$L$5:$L$457,"*"&amp;A9&amp;"*",WBS!$N$5:$N$457,"Pha 2")</f>
        <v>0</v>
      </c>
      <c r="I9" s="1">
        <f>COUNTIFS(WBS!$L$5:$L$457,"*"&amp;A9&amp;"*",WBS!$N$5:$N$457,"Pha 3")</f>
        <v>0</v>
      </c>
      <c r="J9" s="1">
        <f>COUNTIFS(WBS!$L$5:$L$457,"*"&amp;A9&amp;"*",WBS!$O$5:$O$457,"Cần xác nhận")</f>
        <v>0</v>
      </c>
      <c r="K9" s="7">
        <f>IFERROR(SUMPRODUCT((ISNUMBER(SEARCH(A9,WBS!$L$5:$L$457)))*WBS!$Z$5:$Z$457)/C9,0)</f>
        <v>0</v>
      </c>
    </row>
    <row r="10" spans="1:11">
      <c r="A10" s="1" t="s">
        <v>500</v>
      </c>
      <c r="B10" s="1" t="s">
        <v>2001</v>
      </c>
      <c r="C10" s="1">
        <f>COUNTIF(WBS!$L$5:$L$457,"*"&amp;A10&amp;"*")</f>
        <v>25</v>
      </c>
      <c r="D10" s="1">
        <f>COUNTIFS(WBS!$L$5:$L$457,"*"&amp;A10&amp;"*",WBS!$M$5:$M$457,"Must")</f>
        <v>12</v>
      </c>
      <c r="E10" s="1">
        <f>COUNTIFS(WBS!$L$5:$L$457,"*"&amp;A10&amp;"*",WBS!$M$5:$M$457,"Should")</f>
        <v>11</v>
      </c>
      <c r="F10" s="1">
        <f>COUNTIFS(WBS!$L$5:$L$457,"*"&amp;A10&amp;"*",WBS!$M$5:$M$457,"Could")</f>
        <v>2</v>
      </c>
      <c r="G10" s="1">
        <f>COUNTIFS(WBS!$L$5:$L$457,"*"&amp;A10&amp;"*",WBS!$N$5:$N$457,"Pha 1")</f>
        <v>12</v>
      </c>
      <c r="H10" s="1">
        <f>COUNTIFS(WBS!$L$5:$L$457,"*"&amp;A10&amp;"*",WBS!$N$5:$N$457,"Pha 2")</f>
        <v>11</v>
      </c>
      <c r="I10" s="1">
        <f>COUNTIFS(WBS!$L$5:$L$457,"*"&amp;A10&amp;"*",WBS!$N$5:$N$457,"Pha 3")</f>
        <v>2</v>
      </c>
      <c r="J10" s="1">
        <f>COUNTIFS(WBS!$L$5:$L$457,"*"&amp;A10&amp;"*",WBS!$O$5:$O$457,"Cần xác nhận")</f>
        <v>3</v>
      </c>
      <c r="K10" s="7">
        <f>IFERROR(SUMPRODUCT((ISNUMBER(SEARCH(A10,WBS!$L$5:$L$457)))*WBS!$Z$5:$Z$457)/C10,0)</f>
        <v>0</v>
      </c>
    </row>
    <row r="11" spans="1:11">
      <c r="A11" s="1" t="s">
        <v>330</v>
      </c>
      <c r="B11" s="1" t="s">
        <v>2002</v>
      </c>
      <c r="C11" s="1">
        <f>COUNTIF(WBS!$L$5:$L$457,"*"&amp;A11&amp;"*")</f>
        <v>3</v>
      </c>
      <c r="D11" s="1">
        <f>COUNTIFS(WBS!$L$5:$L$457,"*"&amp;A11&amp;"*",WBS!$M$5:$M$457,"Must")</f>
        <v>3</v>
      </c>
      <c r="E11" s="1">
        <f>COUNTIFS(WBS!$L$5:$L$457,"*"&amp;A11&amp;"*",WBS!$M$5:$M$457,"Should")</f>
        <v>0</v>
      </c>
      <c r="F11" s="1">
        <f>COUNTIFS(WBS!$L$5:$L$457,"*"&amp;A11&amp;"*",WBS!$M$5:$M$457,"Could")</f>
        <v>0</v>
      </c>
      <c r="G11" s="1">
        <f>COUNTIFS(WBS!$L$5:$L$457,"*"&amp;A11&amp;"*",WBS!$N$5:$N$457,"Pha 1")</f>
        <v>3</v>
      </c>
      <c r="H11" s="1">
        <f>COUNTIFS(WBS!$L$5:$L$457,"*"&amp;A11&amp;"*",WBS!$N$5:$N$457,"Pha 2")</f>
        <v>0</v>
      </c>
      <c r="I11" s="1">
        <f>COUNTIFS(WBS!$L$5:$L$457,"*"&amp;A11&amp;"*",WBS!$N$5:$N$457,"Pha 3")</f>
        <v>0</v>
      </c>
      <c r="J11" s="1">
        <f>COUNTIFS(WBS!$L$5:$L$457,"*"&amp;A11&amp;"*",WBS!$O$5:$O$457,"Cần xác nhận")</f>
        <v>0</v>
      </c>
      <c r="K11" s="7">
        <f>IFERROR(SUMPRODUCT((ISNUMBER(SEARCH(A11,WBS!$L$5:$L$457)))*WBS!$Z$5:$Z$457)/C11,0)</f>
        <v>0</v>
      </c>
    </row>
    <row r="12" spans="1:11">
      <c r="A12" s="1" t="s">
        <v>345</v>
      </c>
      <c r="B12" s="1" t="s">
        <v>2003</v>
      </c>
      <c r="C12" s="1">
        <f>COUNTIF(WBS!$L$5:$L$457,"*"&amp;A12&amp;"*")</f>
        <v>75</v>
      </c>
      <c r="D12" s="1">
        <f>COUNTIFS(WBS!$L$5:$L$457,"*"&amp;A12&amp;"*",WBS!$M$5:$M$457,"Must")</f>
        <v>65</v>
      </c>
      <c r="E12" s="1">
        <f>COUNTIFS(WBS!$L$5:$L$457,"*"&amp;A12&amp;"*",WBS!$M$5:$M$457,"Should")</f>
        <v>10</v>
      </c>
      <c r="F12" s="1">
        <f>COUNTIFS(WBS!$L$5:$L$457,"*"&amp;A12&amp;"*",WBS!$M$5:$M$457,"Could")</f>
        <v>0</v>
      </c>
      <c r="G12" s="1">
        <f>COUNTIFS(WBS!$L$5:$L$457,"*"&amp;A12&amp;"*",WBS!$N$5:$N$457,"Pha 1")</f>
        <v>74</v>
      </c>
      <c r="H12" s="1">
        <f>COUNTIFS(WBS!$L$5:$L$457,"*"&amp;A12&amp;"*",WBS!$N$5:$N$457,"Pha 2")</f>
        <v>1</v>
      </c>
      <c r="I12" s="1">
        <f>COUNTIFS(WBS!$L$5:$L$457,"*"&amp;A12&amp;"*",WBS!$N$5:$N$457,"Pha 3")</f>
        <v>0</v>
      </c>
      <c r="J12" s="1">
        <f>COUNTIFS(WBS!$L$5:$L$457,"*"&amp;A12&amp;"*",WBS!$O$5:$O$457,"Cần xác nhận")</f>
        <v>2</v>
      </c>
      <c r="K12" s="7">
        <f>IFERROR(SUMPRODUCT((ISNUMBER(SEARCH(A12,WBS!$L$5:$L$457)))*WBS!$Z$5:$Z$457)/C12,0)</f>
        <v>0</v>
      </c>
    </row>
    <row r="13" spans="1:11">
      <c r="A13" s="1" t="s">
        <v>601</v>
      </c>
      <c r="B13" s="1" t="s">
        <v>2004</v>
      </c>
      <c r="C13" s="1">
        <f>COUNTIF(WBS!$L$5:$L$457,"*"&amp;A13&amp;"*")</f>
        <v>5</v>
      </c>
      <c r="D13" s="1">
        <f>COUNTIFS(WBS!$L$5:$L$457,"*"&amp;A13&amp;"*",WBS!$M$5:$M$457,"Must")</f>
        <v>5</v>
      </c>
      <c r="E13" s="1">
        <f>COUNTIFS(WBS!$L$5:$L$457,"*"&amp;A13&amp;"*",WBS!$M$5:$M$457,"Should")</f>
        <v>0</v>
      </c>
      <c r="F13" s="1">
        <f>COUNTIFS(WBS!$L$5:$L$457,"*"&amp;A13&amp;"*",WBS!$M$5:$M$457,"Could")</f>
        <v>0</v>
      </c>
      <c r="G13" s="1">
        <f>COUNTIFS(WBS!$L$5:$L$457,"*"&amp;A13&amp;"*",WBS!$N$5:$N$457,"Pha 1")</f>
        <v>5</v>
      </c>
      <c r="H13" s="1">
        <f>COUNTIFS(WBS!$L$5:$L$457,"*"&amp;A13&amp;"*",WBS!$N$5:$N$457,"Pha 2")</f>
        <v>0</v>
      </c>
      <c r="I13" s="1">
        <f>COUNTIFS(WBS!$L$5:$L$457,"*"&amp;A13&amp;"*",WBS!$N$5:$N$457,"Pha 3")</f>
        <v>0</v>
      </c>
      <c r="J13" s="1">
        <f>COUNTIFS(WBS!$L$5:$L$457,"*"&amp;A13&amp;"*",WBS!$O$5:$O$457,"Cần xác nhận")</f>
        <v>0</v>
      </c>
      <c r="K13" s="7">
        <f>IFERROR(SUMPRODUCT((ISNUMBER(SEARCH(A13,WBS!$L$5:$L$457)))*WBS!$Z$5:$Z$457)/C13,0)</f>
        <v>0</v>
      </c>
    </row>
    <row r="14" spans="1:11">
      <c r="A14" s="1" t="s">
        <v>555</v>
      </c>
      <c r="B14" s="1" t="s">
        <v>2005</v>
      </c>
      <c r="C14" s="1">
        <f>COUNTIF(WBS!$L$5:$L$457,"*"&amp;A14&amp;"*")</f>
        <v>13</v>
      </c>
      <c r="D14" s="1">
        <f>COUNTIFS(WBS!$L$5:$L$457,"*"&amp;A14&amp;"*",WBS!$M$5:$M$457,"Must")</f>
        <v>12</v>
      </c>
      <c r="E14" s="1">
        <f>COUNTIFS(WBS!$L$5:$L$457,"*"&amp;A14&amp;"*",WBS!$M$5:$M$457,"Should")</f>
        <v>1</v>
      </c>
      <c r="F14" s="1">
        <f>COUNTIFS(WBS!$L$5:$L$457,"*"&amp;A14&amp;"*",WBS!$M$5:$M$457,"Could")</f>
        <v>0</v>
      </c>
      <c r="G14" s="1">
        <f>COUNTIFS(WBS!$L$5:$L$457,"*"&amp;A14&amp;"*",WBS!$N$5:$N$457,"Pha 1")</f>
        <v>13</v>
      </c>
      <c r="H14" s="1">
        <f>COUNTIFS(WBS!$L$5:$L$457,"*"&amp;A14&amp;"*",WBS!$N$5:$N$457,"Pha 2")</f>
        <v>0</v>
      </c>
      <c r="I14" s="1">
        <f>COUNTIFS(WBS!$L$5:$L$457,"*"&amp;A14&amp;"*",WBS!$N$5:$N$457,"Pha 3")</f>
        <v>0</v>
      </c>
      <c r="J14" s="1">
        <f>COUNTIFS(WBS!$L$5:$L$457,"*"&amp;A14&amp;"*",WBS!$O$5:$O$457,"Cần xác nhận")</f>
        <v>0</v>
      </c>
      <c r="K14" s="7">
        <f>IFERROR(SUMPRODUCT((ISNUMBER(SEARCH(A14,WBS!$L$5:$L$457)))*WBS!$Z$5:$Z$457)/C14,0)</f>
        <v>0</v>
      </c>
    </row>
    <row r="15" spans="1:11">
      <c r="A15" s="1" t="s">
        <v>617</v>
      </c>
      <c r="B15" s="1" t="s">
        <v>2006</v>
      </c>
      <c r="C15" s="1">
        <f>COUNTIF(WBS!$L$5:$L$457,"*"&amp;A15&amp;"*")</f>
        <v>3</v>
      </c>
      <c r="D15" s="1">
        <f>COUNTIFS(WBS!$L$5:$L$457,"*"&amp;A15&amp;"*",WBS!$M$5:$M$457,"Must")</f>
        <v>3</v>
      </c>
      <c r="E15" s="1">
        <f>COUNTIFS(WBS!$L$5:$L$457,"*"&amp;A15&amp;"*",WBS!$M$5:$M$457,"Should")</f>
        <v>0</v>
      </c>
      <c r="F15" s="1">
        <f>COUNTIFS(WBS!$L$5:$L$457,"*"&amp;A15&amp;"*",WBS!$M$5:$M$457,"Could")</f>
        <v>0</v>
      </c>
      <c r="G15" s="1">
        <f>COUNTIFS(WBS!$L$5:$L$457,"*"&amp;A15&amp;"*",WBS!$N$5:$N$457,"Pha 1")</f>
        <v>3</v>
      </c>
      <c r="H15" s="1">
        <f>COUNTIFS(WBS!$L$5:$L$457,"*"&amp;A15&amp;"*",WBS!$N$5:$N$457,"Pha 2")</f>
        <v>0</v>
      </c>
      <c r="I15" s="1">
        <f>COUNTIFS(WBS!$L$5:$L$457,"*"&amp;A15&amp;"*",WBS!$N$5:$N$457,"Pha 3")</f>
        <v>0</v>
      </c>
      <c r="J15" s="1">
        <f>COUNTIFS(WBS!$L$5:$L$457,"*"&amp;A15&amp;"*",WBS!$O$5:$O$457,"Cần xác nhận")</f>
        <v>2</v>
      </c>
      <c r="K15" s="7">
        <f>IFERROR(SUMPRODUCT((ISNUMBER(SEARCH(A15,WBS!$L$5:$L$457)))*WBS!$Z$5:$Z$457)/C15,0)</f>
        <v>0</v>
      </c>
    </row>
    <row r="16" spans="1:11">
      <c r="A16" s="1" t="s">
        <v>384</v>
      </c>
      <c r="B16" s="1" t="s">
        <v>2007</v>
      </c>
      <c r="C16" s="1">
        <f>COUNTIF(WBS!$L$5:$L$457,"*"&amp;A16&amp;"*")</f>
        <v>6</v>
      </c>
      <c r="D16" s="1">
        <f>COUNTIFS(WBS!$L$5:$L$457,"*"&amp;A16&amp;"*",WBS!$M$5:$M$457,"Must")</f>
        <v>6</v>
      </c>
      <c r="E16" s="1">
        <f>COUNTIFS(WBS!$L$5:$L$457,"*"&amp;A16&amp;"*",WBS!$M$5:$M$457,"Should")</f>
        <v>0</v>
      </c>
      <c r="F16" s="1">
        <f>COUNTIFS(WBS!$L$5:$L$457,"*"&amp;A16&amp;"*",WBS!$M$5:$M$457,"Could")</f>
        <v>0</v>
      </c>
      <c r="G16" s="1">
        <f>COUNTIFS(WBS!$L$5:$L$457,"*"&amp;A16&amp;"*",WBS!$N$5:$N$457,"Pha 1")</f>
        <v>6</v>
      </c>
      <c r="H16" s="1">
        <f>COUNTIFS(WBS!$L$5:$L$457,"*"&amp;A16&amp;"*",WBS!$N$5:$N$457,"Pha 2")</f>
        <v>0</v>
      </c>
      <c r="I16" s="1">
        <f>COUNTIFS(WBS!$L$5:$L$457,"*"&amp;A16&amp;"*",WBS!$N$5:$N$457,"Pha 3")</f>
        <v>0</v>
      </c>
      <c r="J16" s="1">
        <f>COUNTIFS(WBS!$L$5:$L$457,"*"&amp;A16&amp;"*",WBS!$O$5:$O$457,"Cần xác nhận")</f>
        <v>0</v>
      </c>
      <c r="K16" s="7">
        <f>IFERROR(SUMPRODUCT((ISNUMBER(SEARCH(A16,WBS!$L$5:$L$457)))*WBS!$Z$5:$Z$457)/C16,0)</f>
        <v>0</v>
      </c>
    </row>
    <row r="17" spans="1:11">
      <c r="A17" s="1" t="s">
        <v>2008</v>
      </c>
      <c r="B17" s="1" t="s">
        <v>2009</v>
      </c>
      <c r="C17" s="1">
        <f>COUNTIF(WBS!$L$5:$L$457,"*"&amp;A17&amp;"*")</f>
        <v>2</v>
      </c>
      <c r="D17" s="1">
        <f>COUNTIFS(WBS!$L$5:$L$457,"*"&amp;A17&amp;"*",WBS!$M$5:$M$457,"Must")</f>
        <v>1</v>
      </c>
      <c r="E17" s="1">
        <f>COUNTIFS(WBS!$L$5:$L$457,"*"&amp;A17&amp;"*",WBS!$M$5:$M$457,"Should")</f>
        <v>1</v>
      </c>
      <c r="F17" s="1">
        <f>COUNTIFS(WBS!$L$5:$L$457,"*"&amp;A17&amp;"*",WBS!$M$5:$M$457,"Could")</f>
        <v>0</v>
      </c>
      <c r="G17" s="1">
        <f>COUNTIFS(WBS!$L$5:$L$457,"*"&amp;A17&amp;"*",WBS!$N$5:$N$457,"Pha 1")</f>
        <v>1</v>
      </c>
      <c r="H17" s="1">
        <f>COUNTIFS(WBS!$L$5:$L$457,"*"&amp;A17&amp;"*",WBS!$N$5:$N$457,"Pha 2")</f>
        <v>1</v>
      </c>
      <c r="I17" s="1">
        <f>COUNTIFS(WBS!$L$5:$L$457,"*"&amp;A17&amp;"*",WBS!$N$5:$N$457,"Pha 3")</f>
        <v>0</v>
      </c>
      <c r="J17" s="1">
        <f>COUNTIFS(WBS!$L$5:$L$457,"*"&amp;A17&amp;"*",WBS!$O$5:$O$457,"Cần xác nhận")</f>
        <v>0</v>
      </c>
      <c r="K17" s="7">
        <f>IFERROR(SUMPRODUCT((ISNUMBER(SEARCH(A17,WBS!$L$5:$L$457)))*WBS!$Z$5:$Z$457)/C17,0)</f>
        <v>0</v>
      </c>
    </row>
    <row r="18" spans="1:11">
      <c r="A18" s="1" t="s">
        <v>406</v>
      </c>
      <c r="B18" s="1" t="s">
        <v>2010</v>
      </c>
      <c r="C18" s="1">
        <f>COUNTIF(WBS!$L$5:$L$457,"*"&amp;A18&amp;"*")</f>
        <v>80</v>
      </c>
      <c r="D18" s="1">
        <f>COUNTIFS(WBS!$L$5:$L$457,"*"&amp;A18&amp;"*",WBS!$M$5:$M$457,"Must")</f>
        <v>62</v>
      </c>
      <c r="E18" s="1">
        <f>COUNTIFS(WBS!$L$5:$L$457,"*"&amp;A18&amp;"*",WBS!$M$5:$M$457,"Should")</f>
        <v>10</v>
      </c>
      <c r="F18" s="1">
        <f>COUNTIFS(WBS!$L$5:$L$457,"*"&amp;A18&amp;"*",WBS!$M$5:$M$457,"Could")</f>
        <v>8</v>
      </c>
      <c r="G18" s="1">
        <f>COUNTIFS(WBS!$L$5:$L$457,"*"&amp;A18&amp;"*",WBS!$N$5:$N$457,"Pha 1")</f>
        <v>0</v>
      </c>
      <c r="H18" s="1">
        <f>COUNTIFS(WBS!$L$5:$L$457,"*"&amp;A18&amp;"*",WBS!$N$5:$N$457,"Pha 2")</f>
        <v>72</v>
      </c>
      <c r="I18" s="1">
        <f>COUNTIFS(WBS!$L$5:$L$457,"*"&amp;A18&amp;"*",WBS!$N$5:$N$457,"Pha 3")</f>
        <v>8</v>
      </c>
      <c r="J18" s="1">
        <f>COUNTIFS(WBS!$L$5:$L$457,"*"&amp;A18&amp;"*",WBS!$O$5:$O$457,"Cần xác nhận")</f>
        <v>8</v>
      </c>
      <c r="K18" s="7">
        <f>IFERROR(SUMPRODUCT((ISNUMBER(SEARCH(A18,WBS!$L$5:$L$457)))*WBS!$Z$5:$Z$457)/C18,0)</f>
        <v>0</v>
      </c>
    </row>
    <row r="19" spans="1:11">
      <c r="A19" s="1" t="s">
        <v>1526</v>
      </c>
      <c r="B19" s="1" t="s">
        <v>2011</v>
      </c>
      <c r="C19" s="1">
        <f>COUNTIF(WBS!$L$5:$L$457,"*"&amp;A19&amp;"*")</f>
        <v>25</v>
      </c>
      <c r="D19" s="1">
        <f>COUNTIFS(WBS!$L$5:$L$457,"*"&amp;A19&amp;"*",WBS!$M$5:$M$457,"Must")</f>
        <v>15</v>
      </c>
      <c r="E19" s="1">
        <f>COUNTIFS(WBS!$L$5:$L$457,"*"&amp;A19&amp;"*",WBS!$M$5:$M$457,"Should")</f>
        <v>10</v>
      </c>
      <c r="F19" s="1">
        <f>COUNTIFS(WBS!$L$5:$L$457,"*"&amp;A19&amp;"*",WBS!$M$5:$M$457,"Could")</f>
        <v>0</v>
      </c>
      <c r="G19" s="1">
        <f>COUNTIFS(WBS!$L$5:$L$457,"*"&amp;A19&amp;"*",WBS!$N$5:$N$457,"Pha 1")</f>
        <v>10</v>
      </c>
      <c r="H19" s="1">
        <f>COUNTIFS(WBS!$L$5:$L$457,"*"&amp;A19&amp;"*",WBS!$N$5:$N$457,"Pha 2")</f>
        <v>15</v>
      </c>
      <c r="I19" s="1">
        <f>COUNTIFS(WBS!$L$5:$L$457,"*"&amp;A19&amp;"*",WBS!$N$5:$N$457,"Pha 3")</f>
        <v>0</v>
      </c>
      <c r="J19" s="1">
        <f>COUNTIFS(WBS!$L$5:$L$457,"*"&amp;A19&amp;"*",WBS!$O$5:$O$457,"Cần xác nhận")</f>
        <v>8</v>
      </c>
      <c r="K19" s="7">
        <f>IFERROR(SUMPRODUCT((ISNUMBER(SEARCH(A19,WBS!$L$5:$L$457)))*WBS!$Z$5:$Z$457)/C19,0)</f>
        <v>0</v>
      </c>
    </row>
    <row r="20" spans="1:11">
      <c r="A20" s="1" t="s">
        <v>658</v>
      </c>
      <c r="B20" s="1" t="s">
        <v>2012</v>
      </c>
      <c r="C20" s="1">
        <f>COUNTIF(WBS!$L$5:$L$457,"*"&amp;A20&amp;"*")</f>
        <v>17</v>
      </c>
      <c r="D20" s="1">
        <f>COUNTIFS(WBS!$L$5:$L$457,"*"&amp;A20&amp;"*",WBS!$M$5:$M$457,"Must")</f>
        <v>14</v>
      </c>
      <c r="E20" s="1">
        <f>COUNTIFS(WBS!$L$5:$L$457,"*"&amp;A20&amp;"*",WBS!$M$5:$M$457,"Should")</f>
        <v>2</v>
      </c>
      <c r="F20" s="1">
        <f>COUNTIFS(WBS!$L$5:$L$457,"*"&amp;A20&amp;"*",WBS!$M$5:$M$457,"Could")</f>
        <v>1</v>
      </c>
      <c r="G20" s="1">
        <f>COUNTIFS(WBS!$L$5:$L$457,"*"&amp;A20&amp;"*",WBS!$N$5:$N$457,"Pha 1")</f>
        <v>8</v>
      </c>
      <c r="H20" s="1">
        <f>COUNTIFS(WBS!$L$5:$L$457,"*"&amp;A20&amp;"*",WBS!$N$5:$N$457,"Pha 2")</f>
        <v>8</v>
      </c>
      <c r="I20" s="1">
        <f>COUNTIFS(WBS!$L$5:$L$457,"*"&amp;A20&amp;"*",WBS!$N$5:$N$457,"Pha 3")</f>
        <v>1</v>
      </c>
      <c r="J20" s="1">
        <f>COUNTIFS(WBS!$L$5:$L$457,"*"&amp;A20&amp;"*",WBS!$O$5:$O$457,"Cần xác nhận")</f>
        <v>2</v>
      </c>
      <c r="K20" s="7">
        <f>IFERROR(SUMPRODUCT((ISNUMBER(SEARCH(A20,WBS!$L$5:$L$457)))*WBS!$Z$5:$Z$457)/C20,0)</f>
        <v>0</v>
      </c>
    </row>
    <row r="21" spans="1:11">
      <c r="A21" s="1" t="s">
        <v>1163</v>
      </c>
      <c r="B21" s="1" t="s">
        <v>2013</v>
      </c>
      <c r="C21" s="1">
        <f>COUNTIF(WBS!$L$5:$L$457,"*"&amp;A21&amp;"*")</f>
        <v>22</v>
      </c>
      <c r="D21" s="1">
        <f>COUNTIFS(WBS!$L$5:$L$457,"*"&amp;A21&amp;"*",WBS!$M$5:$M$457,"Must")</f>
        <v>11</v>
      </c>
      <c r="E21" s="1">
        <f>COUNTIFS(WBS!$L$5:$L$457,"*"&amp;A21&amp;"*",WBS!$M$5:$M$457,"Should")</f>
        <v>11</v>
      </c>
      <c r="F21" s="1">
        <f>COUNTIFS(WBS!$L$5:$L$457,"*"&amp;A21&amp;"*",WBS!$M$5:$M$457,"Could")</f>
        <v>0</v>
      </c>
      <c r="G21" s="1">
        <f>COUNTIFS(WBS!$L$5:$L$457,"*"&amp;A21&amp;"*",WBS!$N$5:$N$457,"Pha 1")</f>
        <v>0</v>
      </c>
      <c r="H21" s="1">
        <f>COUNTIFS(WBS!$L$5:$L$457,"*"&amp;A21&amp;"*",WBS!$N$5:$N$457,"Pha 2")</f>
        <v>22</v>
      </c>
      <c r="I21" s="1">
        <f>COUNTIFS(WBS!$L$5:$L$457,"*"&amp;A21&amp;"*",WBS!$N$5:$N$457,"Pha 3")</f>
        <v>0</v>
      </c>
      <c r="J21" s="1">
        <f>COUNTIFS(WBS!$L$5:$L$457,"*"&amp;A21&amp;"*",WBS!$O$5:$O$457,"Cần xác nhận")</f>
        <v>0</v>
      </c>
      <c r="K21" s="7">
        <f>IFERROR(SUMPRODUCT((ISNUMBER(SEARCH(A21,WBS!$L$5:$L$457)))*WBS!$Z$5:$Z$457)/C21,0)</f>
        <v>0</v>
      </c>
    </row>
    <row r="22" spans="1:11">
      <c r="A22" s="1" t="s">
        <v>1143</v>
      </c>
      <c r="B22" s="1" t="s">
        <v>2014</v>
      </c>
      <c r="C22" s="1">
        <f>COUNTIF(WBS!$L$5:$L$457,"*"&amp;A22&amp;"*")</f>
        <v>17</v>
      </c>
      <c r="D22" s="1">
        <f>COUNTIFS(WBS!$L$5:$L$457,"*"&amp;A22&amp;"*",WBS!$M$5:$M$457,"Must")</f>
        <v>10</v>
      </c>
      <c r="E22" s="1">
        <f>COUNTIFS(WBS!$L$5:$L$457,"*"&amp;A22&amp;"*",WBS!$M$5:$M$457,"Should")</f>
        <v>7</v>
      </c>
      <c r="F22" s="1">
        <f>COUNTIFS(WBS!$L$5:$L$457,"*"&amp;A22&amp;"*",WBS!$M$5:$M$457,"Could")</f>
        <v>0</v>
      </c>
      <c r="G22" s="1">
        <f>COUNTIFS(WBS!$L$5:$L$457,"*"&amp;A22&amp;"*",WBS!$N$5:$N$457,"Pha 1")</f>
        <v>8</v>
      </c>
      <c r="H22" s="1">
        <f>COUNTIFS(WBS!$L$5:$L$457,"*"&amp;A22&amp;"*",WBS!$N$5:$N$457,"Pha 2")</f>
        <v>9</v>
      </c>
      <c r="I22" s="1">
        <f>COUNTIFS(WBS!$L$5:$L$457,"*"&amp;A22&amp;"*",WBS!$N$5:$N$457,"Pha 3")</f>
        <v>0</v>
      </c>
      <c r="J22" s="1">
        <f>COUNTIFS(WBS!$L$5:$L$457,"*"&amp;A22&amp;"*",WBS!$O$5:$O$457,"Cần xác nhận")</f>
        <v>1</v>
      </c>
      <c r="K22" s="7">
        <f>IFERROR(SUMPRODUCT((ISNUMBER(SEARCH(A22,WBS!$L$5:$L$457)))*WBS!$Z$5:$Z$457)/C22,0)</f>
        <v>0</v>
      </c>
    </row>
    <row r="23" spans="1:11">
      <c r="A23" s="1" t="s">
        <v>1640</v>
      </c>
      <c r="B23" s="1" t="s">
        <v>2015</v>
      </c>
      <c r="C23" s="1">
        <f>COUNTIF(WBS!$L$5:$L$457,"*"&amp;A23&amp;"*")</f>
        <v>6</v>
      </c>
      <c r="D23" s="1">
        <f>COUNTIFS(WBS!$L$5:$L$457,"*"&amp;A23&amp;"*",WBS!$M$5:$M$457,"Must")</f>
        <v>6</v>
      </c>
      <c r="E23" s="1">
        <f>COUNTIFS(WBS!$L$5:$L$457,"*"&amp;A23&amp;"*",WBS!$M$5:$M$457,"Should")</f>
        <v>0</v>
      </c>
      <c r="F23" s="1">
        <f>COUNTIFS(WBS!$L$5:$L$457,"*"&amp;A23&amp;"*",WBS!$M$5:$M$457,"Could")</f>
        <v>0</v>
      </c>
      <c r="G23" s="1">
        <f>COUNTIFS(WBS!$L$5:$L$457,"*"&amp;A23&amp;"*",WBS!$N$5:$N$457,"Pha 1")</f>
        <v>6</v>
      </c>
      <c r="H23" s="1">
        <f>COUNTIFS(WBS!$L$5:$L$457,"*"&amp;A23&amp;"*",WBS!$N$5:$N$457,"Pha 2")</f>
        <v>0</v>
      </c>
      <c r="I23" s="1">
        <f>COUNTIFS(WBS!$L$5:$L$457,"*"&amp;A23&amp;"*",WBS!$N$5:$N$457,"Pha 3")</f>
        <v>0</v>
      </c>
      <c r="J23" s="1">
        <f>COUNTIFS(WBS!$L$5:$L$457,"*"&amp;A23&amp;"*",WBS!$O$5:$O$457,"Cần xác nhận")</f>
        <v>0</v>
      </c>
      <c r="K23" s="7">
        <f>IFERROR(SUMPRODUCT((ISNUMBER(SEARCH(A23,WBS!$L$5:$L$457)))*WBS!$Z$5:$Z$457)/C23,0)</f>
        <v>0</v>
      </c>
    </row>
    <row r="24" spans="1:11">
      <c r="A24" s="1" t="s">
        <v>27</v>
      </c>
      <c r="B24" s="1" t="s">
        <v>2016</v>
      </c>
      <c r="C24" s="1">
        <f>COUNTIF(WBS!$L$5:$L$457,"*"&amp;A24&amp;"*")</f>
        <v>35</v>
      </c>
      <c r="D24" s="1">
        <f>COUNTIFS(WBS!$L$5:$L$457,"*"&amp;A24&amp;"*",WBS!$M$5:$M$457,"Must")</f>
        <v>27</v>
      </c>
      <c r="E24" s="1">
        <f>COUNTIFS(WBS!$L$5:$L$457,"*"&amp;A24&amp;"*",WBS!$M$5:$M$457,"Should")</f>
        <v>8</v>
      </c>
      <c r="F24" s="1">
        <f>COUNTIFS(WBS!$L$5:$L$457,"*"&amp;A24&amp;"*",WBS!$M$5:$M$457,"Could")</f>
        <v>0</v>
      </c>
      <c r="G24" s="1">
        <f>COUNTIFS(WBS!$L$5:$L$457,"*"&amp;A24&amp;"*",WBS!$N$5:$N$457,"Pha 1")</f>
        <v>31</v>
      </c>
      <c r="H24" s="1">
        <f>COUNTIFS(WBS!$L$5:$L$457,"*"&amp;A24&amp;"*",WBS!$N$5:$N$457,"Pha 2")</f>
        <v>4</v>
      </c>
      <c r="I24" s="1">
        <f>COUNTIFS(WBS!$L$5:$L$457,"*"&amp;A24&amp;"*",WBS!$N$5:$N$457,"Pha 3")</f>
        <v>0</v>
      </c>
      <c r="J24" s="1">
        <f>COUNTIFS(WBS!$L$5:$L$457,"*"&amp;A24&amp;"*",WBS!$O$5:$O$457,"Cần xác nhận")</f>
        <v>0</v>
      </c>
      <c r="K24" s="7">
        <f>IFERROR(SUMPRODUCT((ISNUMBER(SEARCH(A24,WBS!$L$5:$L$457)))*WBS!$Z$5:$Z$457)/C24,0)</f>
        <v>0</v>
      </c>
    </row>
    <row r="25" spans="1:11">
      <c r="A25" s="1" t="s">
        <v>1699</v>
      </c>
      <c r="B25" s="1" t="s">
        <v>2017</v>
      </c>
      <c r="C25" s="1">
        <f>COUNTIF(WBS!$L$5:$L$457,"*"&amp;A25&amp;"*")</f>
        <v>31</v>
      </c>
      <c r="D25" s="1">
        <f>COUNTIFS(WBS!$L$5:$L$457,"*"&amp;A25&amp;"*",WBS!$M$5:$M$457,"Must")</f>
        <v>0</v>
      </c>
      <c r="E25" s="1">
        <f>COUNTIFS(WBS!$L$5:$L$457,"*"&amp;A25&amp;"*",WBS!$M$5:$M$457,"Should")</f>
        <v>0</v>
      </c>
      <c r="F25" s="1">
        <f>COUNTIFS(WBS!$L$5:$L$457,"*"&amp;A25&amp;"*",WBS!$M$5:$M$457,"Could")</f>
        <v>31</v>
      </c>
      <c r="G25" s="1">
        <f>COUNTIFS(WBS!$L$5:$L$457,"*"&amp;A25&amp;"*",WBS!$N$5:$N$457,"Pha 1")</f>
        <v>0</v>
      </c>
      <c r="H25" s="1">
        <f>COUNTIFS(WBS!$L$5:$L$457,"*"&amp;A25&amp;"*",WBS!$N$5:$N$457,"Pha 2")</f>
        <v>0</v>
      </c>
      <c r="I25" s="1">
        <f>COUNTIFS(WBS!$L$5:$L$457,"*"&amp;A25&amp;"*",WBS!$N$5:$N$457,"Pha 3")</f>
        <v>31</v>
      </c>
      <c r="J25" s="1">
        <f>COUNTIFS(WBS!$L$5:$L$457,"*"&amp;A25&amp;"*",WBS!$O$5:$O$457,"Cần xác nhận")</f>
        <v>31</v>
      </c>
      <c r="K25" s="7">
        <f>IFERROR(SUMPRODUCT((ISNUMBER(SEARCH(A25,WBS!$L$5:$L$457)))*WBS!$Z$5:$Z$457)/C25,0)</f>
        <v>0</v>
      </c>
    </row>
  </sheetData>
  <mergeCells count="2">
    <mergeCell ref="A1:K1"/>
    <mergeCell ref="A2:K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showGridLines="0" workbookViewId="0"/>
  </sheetViews>
  <sheetFormatPr defaultRowHeight="12.75"/>
  <cols>
    <col min="1" max="2" width="30.7109375" style="1" customWidth="1"/>
    <col min="3" max="3" width="48.7109375" style="1" customWidth="1"/>
    <col min="4" max="4" width="20.7109375" style="1" customWidth="1"/>
    <col min="5" max="5" width="16.7109375" style="1" customWidth="1"/>
    <col min="6" max="6" width="32.7109375" style="1" customWidth="1"/>
    <col min="7" max="16384" width="9.140625" style="1"/>
  </cols>
  <sheetData>
    <row r="1" spans="1:6" ht="20.25">
      <c r="A1" s="19" t="s">
        <v>2018</v>
      </c>
      <c r="B1" s="19"/>
      <c r="C1" s="19"/>
      <c r="D1" s="19"/>
      <c r="E1" s="19"/>
      <c r="F1" s="19"/>
    </row>
    <row r="3" spans="1:6" ht="33.950000000000003" customHeight="1">
      <c r="A3" s="5" t="s">
        <v>2019</v>
      </c>
      <c r="B3" s="5" t="s">
        <v>2020</v>
      </c>
      <c r="C3" s="5" t="s">
        <v>2021</v>
      </c>
      <c r="D3" s="5" t="s">
        <v>1889</v>
      </c>
      <c r="E3" s="5" t="s">
        <v>1855</v>
      </c>
      <c r="F3" s="5" t="s">
        <v>2022</v>
      </c>
    </row>
    <row r="4" spans="1:6" ht="25.5">
      <c r="A4" s="11" t="s">
        <v>2023</v>
      </c>
      <c r="B4" s="11" t="s">
        <v>2024</v>
      </c>
      <c r="C4" s="11" t="s">
        <v>2025</v>
      </c>
      <c r="D4" s="11"/>
      <c r="E4" s="11" t="s">
        <v>1865</v>
      </c>
      <c r="F4" s="11"/>
    </row>
    <row r="5" spans="1:6" ht="25.5">
      <c r="A5" s="11" t="s">
        <v>2026</v>
      </c>
      <c r="B5" s="11" t="s">
        <v>2027</v>
      </c>
      <c r="C5" s="11" t="s">
        <v>2028</v>
      </c>
      <c r="D5" s="11"/>
      <c r="E5" s="11" t="s">
        <v>1865</v>
      </c>
      <c r="F5" s="11"/>
    </row>
    <row r="6" spans="1:6">
      <c r="A6" s="11" t="s">
        <v>2029</v>
      </c>
      <c r="B6" s="11" t="s">
        <v>2030</v>
      </c>
      <c r="C6" s="11" t="s">
        <v>2031</v>
      </c>
      <c r="D6" s="11"/>
      <c r="E6" s="11" t="s">
        <v>1865</v>
      </c>
      <c r="F6" s="11"/>
    </row>
    <row r="7" spans="1:6" ht="25.5">
      <c r="A7" s="11" t="s">
        <v>2032</v>
      </c>
      <c r="B7" s="11" t="s">
        <v>2033</v>
      </c>
      <c r="C7" s="11" t="s">
        <v>2034</v>
      </c>
      <c r="D7" s="11"/>
      <c r="E7" s="11" t="s">
        <v>1865</v>
      </c>
      <c r="F7" s="11"/>
    </row>
    <row r="8" spans="1:6">
      <c r="A8" s="11" t="s">
        <v>2035</v>
      </c>
      <c r="B8" s="11" t="s">
        <v>2036</v>
      </c>
      <c r="C8" s="11" t="s">
        <v>2037</v>
      </c>
      <c r="D8" s="11"/>
      <c r="E8" s="11" t="s">
        <v>1865</v>
      </c>
      <c r="F8" s="11"/>
    </row>
    <row r="9" spans="1:6" ht="25.5">
      <c r="A9" s="11" t="s">
        <v>2038</v>
      </c>
      <c r="B9" s="11" t="s">
        <v>2039</v>
      </c>
      <c r="C9" s="11" t="s">
        <v>2040</v>
      </c>
      <c r="D9" s="11"/>
      <c r="E9" s="11" t="s">
        <v>1865</v>
      </c>
      <c r="F9" s="11"/>
    </row>
    <row r="10" spans="1:6">
      <c r="A10" s="11" t="s">
        <v>2041</v>
      </c>
      <c r="B10" s="11" t="s">
        <v>2042</v>
      </c>
      <c r="C10" s="11" t="s">
        <v>2043</v>
      </c>
      <c r="D10" s="11"/>
      <c r="E10" s="11" t="s">
        <v>1865</v>
      </c>
      <c r="F10" s="11"/>
    </row>
  </sheetData>
  <mergeCells count="1">
    <mergeCell ref="A1:F1"/>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14:formula1>
            <xm:f>Lists!$E$2:$E$6</xm:f>
          </x14:formula1>
          <xm:sqref>E4:E10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showGridLines="0" workbookViewId="0">
      <pane xSplit="2" ySplit="4" topLeftCell="C5" activePane="bottomRight" state="frozenSplit"/>
      <selection pane="topRight" activeCell="C1" sqref="C1"/>
      <selection pane="bottomLeft" activeCell="A5" sqref="A5"/>
      <selection pane="bottomRight" sqref="A1:J1"/>
    </sheetView>
  </sheetViews>
  <sheetFormatPr defaultRowHeight="12.75"/>
  <cols>
    <col min="1" max="1" width="20.7109375" style="1" customWidth="1"/>
    <col min="2" max="2" width="10.7109375" style="1" customWidth="1"/>
    <col min="3" max="3" width="42.7109375" style="1" customWidth="1"/>
    <col min="4" max="4" width="48.7109375" style="1" customWidth="1"/>
    <col min="5" max="5" width="12.7109375" style="1" customWidth="1"/>
    <col min="6" max="6" width="16.7109375" style="1" customWidth="1"/>
    <col min="7" max="7" width="20.7109375" style="1" customWidth="1"/>
    <col min="8" max="8" width="18.7109375" style="1" customWidth="1"/>
    <col min="9" max="9" width="14.7109375" style="1" customWidth="1"/>
    <col min="10" max="10" width="32.7109375" style="1" customWidth="1"/>
    <col min="11" max="16384" width="9.140625" style="1"/>
  </cols>
  <sheetData>
    <row r="1" spans="1:10" ht="20.25">
      <c r="A1" s="19" t="s">
        <v>2044</v>
      </c>
      <c r="B1" s="19"/>
      <c r="C1" s="19"/>
      <c r="D1" s="19"/>
      <c r="E1" s="19"/>
      <c r="F1" s="19"/>
      <c r="G1" s="19"/>
      <c r="H1" s="19"/>
      <c r="I1" s="19"/>
      <c r="J1" s="19"/>
    </row>
    <row r="2" spans="1:10">
      <c r="A2" s="20" t="s">
        <v>2045</v>
      </c>
      <c r="B2" s="20"/>
      <c r="C2" s="20"/>
      <c r="D2" s="20"/>
      <c r="E2" s="20"/>
      <c r="F2" s="20"/>
      <c r="G2" s="20"/>
      <c r="H2" s="20"/>
      <c r="I2" s="20"/>
      <c r="J2" s="20"/>
    </row>
    <row r="4" spans="1:10" ht="33.950000000000003" customHeight="1">
      <c r="A4" s="5" t="s">
        <v>2046</v>
      </c>
      <c r="B4" s="5" t="s">
        <v>2047</v>
      </c>
      <c r="C4" s="5" t="s">
        <v>2048</v>
      </c>
      <c r="D4" s="5" t="s">
        <v>2049</v>
      </c>
      <c r="E4" s="5" t="s">
        <v>2050</v>
      </c>
      <c r="F4" s="5" t="s">
        <v>2051</v>
      </c>
      <c r="G4" s="5" t="s">
        <v>1889</v>
      </c>
      <c r="H4" s="5" t="s">
        <v>2052</v>
      </c>
      <c r="I4" s="5" t="s">
        <v>2053</v>
      </c>
      <c r="J4" s="5" t="s">
        <v>2054</v>
      </c>
    </row>
    <row r="5" spans="1:10" ht="25.5">
      <c r="A5" s="11" t="s">
        <v>2055</v>
      </c>
      <c r="B5" s="11" t="s">
        <v>2056</v>
      </c>
      <c r="C5" s="11" t="s">
        <v>2057</v>
      </c>
      <c r="D5" s="11" t="s">
        <v>2058</v>
      </c>
      <c r="E5" s="11" t="s">
        <v>2059</v>
      </c>
      <c r="F5" s="11" t="s">
        <v>2060</v>
      </c>
      <c r="G5" s="11"/>
      <c r="H5" s="11" t="s">
        <v>1865</v>
      </c>
      <c r="I5" s="12"/>
      <c r="J5" s="11"/>
    </row>
    <row r="6" spans="1:10">
      <c r="A6" s="11" t="s">
        <v>2055</v>
      </c>
      <c r="B6" s="11" t="s">
        <v>2061</v>
      </c>
      <c r="C6" s="11" t="s">
        <v>2062</v>
      </c>
      <c r="D6" s="11" t="s">
        <v>2063</v>
      </c>
      <c r="E6" s="11" t="s">
        <v>2059</v>
      </c>
      <c r="F6" s="11" t="s">
        <v>2060</v>
      </c>
      <c r="G6" s="11"/>
      <c r="H6" s="11" t="s">
        <v>1865</v>
      </c>
      <c r="I6" s="12"/>
      <c r="J6" s="11"/>
    </row>
    <row r="7" spans="1:10" ht="25.5">
      <c r="A7" s="11" t="s">
        <v>2055</v>
      </c>
      <c r="B7" s="11" t="s">
        <v>2064</v>
      </c>
      <c r="C7" s="11" t="s">
        <v>2065</v>
      </c>
      <c r="D7" s="11" t="s">
        <v>2066</v>
      </c>
      <c r="E7" s="11" t="s">
        <v>2059</v>
      </c>
      <c r="F7" s="11" t="s">
        <v>2060</v>
      </c>
      <c r="G7" s="11"/>
      <c r="H7" s="11" t="s">
        <v>1865</v>
      </c>
      <c r="I7" s="12"/>
      <c r="J7" s="11"/>
    </row>
    <row r="8" spans="1:10" ht="25.5">
      <c r="A8" s="11" t="s">
        <v>2055</v>
      </c>
      <c r="B8" s="11" t="s">
        <v>2067</v>
      </c>
      <c r="C8" s="11" t="s">
        <v>2068</v>
      </c>
      <c r="D8" s="11" t="s">
        <v>2069</v>
      </c>
      <c r="E8" s="11" t="s">
        <v>2059</v>
      </c>
      <c r="F8" s="11" t="s">
        <v>2060</v>
      </c>
      <c r="G8" s="11"/>
      <c r="H8" s="11" t="s">
        <v>1865</v>
      </c>
      <c r="I8" s="12"/>
      <c r="J8" s="11"/>
    </row>
    <row r="9" spans="1:10" ht="25.5">
      <c r="A9" s="11" t="s">
        <v>2055</v>
      </c>
      <c r="B9" s="11" t="s">
        <v>2070</v>
      </c>
      <c r="C9" s="11" t="s">
        <v>2071</v>
      </c>
      <c r="D9" s="11" t="s">
        <v>2072</v>
      </c>
      <c r="E9" s="11" t="s">
        <v>2059</v>
      </c>
      <c r="F9" s="11" t="s">
        <v>2060</v>
      </c>
      <c r="G9" s="11"/>
      <c r="H9" s="11" t="s">
        <v>1865</v>
      </c>
      <c r="I9" s="12"/>
      <c r="J9" s="11"/>
    </row>
    <row r="10" spans="1:10" ht="38.25">
      <c r="A10" s="11" t="s">
        <v>2055</v>
      </c>
      <c r="B10" s="11" t="s">
        <v>2073</v>
      </c>
      <c r="C10" s="11" t="s">
        <v>2074</v>
      </c>
      <c r="D10" s="11" t="s">
        <v>2075</v>
      </c>
      <c r="E10" s="11" t="s">
        <v>2059</v>
      </c>
      <c r="F10" s="11" t="s">
        <v>2076</v>
      </c>
      <c r="G10" s="11"/>
      <c r="H10" s="11" t="s">
        <v>1865</v>
      </c>
      <c r="I10" s="12"/>
      <c r="J10" s="11"/>
    </row>
    <row r="11" spans="1:10" ht="76.5">
      <c r="A11" s="11" t="s">
        <v>2055</v>
      </c>
      <c r="B11" s="11" t="s">
        <v>2077</v>
      </c>
      <c r="C11" s="11" t="s">
        <v>2078</v>
      </c>
      <c r="D11" s="11" t="s">
        <v>2079</v>
      </c>
      <c r="E11" s="11" t="s">
        <v>2059</v>
      </c>
      <c r="F11" s="11" t="s">
        <v>2076</v>
      </c>
      <c r="G11" s="11"/>
      <c r="H11" s="11" t="s">
        <v>1865</v>
      </c>
      <c r="I11" s="12"/>
      <c r="J11" s="11"/>
    </row>
    <row r="12" spans="1:10">
      <c r="A12" s="11" t="s">
        <v>2080</v>
      </c>
      <c r="B12" s="11" t="s">
        <v>2081</v>
      </c>
      <c r="C12" s="11" t="s">
        <v>2082</v>
      </c>
      <c r="D12" s="11" t="s">
        <v>2083</v>
      </c>
      <c r="E12" s="11" t="s">
        <v>2084</v>
      </c>
      <c r="F12" s="11" t="s">
        <v>2076</v>
      </c>
      <c r="G12" s="11"/>
      <c r="H12" s="11" t="s">
        <v>1865</v>
      </c>
      <c r="I12" s="12"/>
      <c r="J12" s="11"/>
    </row>
    <row r="13" spans="1:10" ht="25.5">
      <c r="A13" s="11" t="s">
        <v>2080</v>
      </c>
      <c r="B13" s="11" t="s">
        <v>2085</v>
      </c>
      <c r="C13" s="11" t="s">
        <v>2086</v>
      </c>
      <c r="D13" s="11" t="s">
        <v>2087</v>
      </c>
      <c r="E13" s="11" t="s">
        <v>2084</v>
      </c>
      <c r="F13" s="11" t="s">
        <v>2076</v>
      </c>
      <c r="G13" s="11"/>
      <c r="H13" s="11" t="s">
        <v>1865</v>
      </c>
      <c r="I13" s="12"/>
      <c r="J13" s="11"/>
    </row>
    <row r="14" spans="1:10" ht="25.5">
      <c r="A14" s="11" t="s">
        <v>2080</v>
      </c>
      <c r="B14" s="11" t="s">
        <v>2088</v>
      </c>
      <c r="C14" s="11" t="s">
        <v>2089</v>
      </c>
      <c r="D14" s="11" t="s">
        <v>2090</v>
      </c>
      <c r="E14" s="11" t="s">
        <v>2084</v>
      </c>
      <c r="F14" s="11" t="s">
        <v>2060</v>
      </c>
      <c r="G14" s="11"/>
      <c r="H14" s="11" t="s">
        <v>1865</v>
      </c>
      <c r="I14" s="12"/>
      <c r="J14" s="11"/>
    </row>
    <row r="15" spans="1:10">
      <c r="A15" s="11" t="s">
        <v>2080</v>
      </c>
      <c r="B15" s="11" t="s">
        <v>2091</v>
      </c>
      <c r="C15" s="11" t="s">
        <v>2092</v>
      </c>
      <c r="D15" s="11" t="s">
        <v>2093</v>
      </c>
      <c r="E15" s="11" t="s">
        <v>2084</v>
      </c>
      <c r="F15" s="11" t="s">
        <v>2060</v>
      </c>
      <c r="G15" s="11"/>
      <c r="H15" s="11" t="s">
        <v>1865</v>
      </c>
      <c r="I15" s="12"/>
      <c r="J15" s="11"/>
    </row>
    <row r="16" spans="1:10">
      <c r="A16" s="11" t="s">
        <v>2080</v>
      </c>
      <c r="B16" s="11" t="s">
        <v>2094</v>
      </c>
      <c r="C16" s="11" t="s">
        <v>2095</v>
      </c>
      <c r="D16" s="11" t="s">
        <v>2096</v>
      </c>
      <c r="E16" s="11" t="s">
        <v>2084</v>
      </c>
      <c r="F16" s="11" t="s">
        <v>2060</v>
      </c>
      <c r="G16" s="11"/>
      <c r="H16" s="11" t="s">
        <v>1865</v>
      </c>
      <c r="I16" s="12"/>
      <c r="J16" s="11"/>
    </row>
    <row r="17" spans="1:10">
      <c r="A17" s="11" t="s">
        <v>2080</v>
      </c>
      <c r="B17" s="11" t="s">
        <v>2097</v>
      </c>
      <c r="C17" s="11" t="s">
        <v>2098</v>
      </c>
      <c r="D17" s="11" t="s">
        <v>2099</v>
      </c>
      <c r="E17" s="11" t="s">
        <v>2100</v>
      </c>
      <c r="F17" s="11" t="s">
        <v>2060</v>
      </c>
      <c r="G17" s="11"/>
      <c r="H17" s="11" t="s">
        <v>1865</v>
      </c>
      <c r="I17" s="12"/>
      <c r="J17" s="11"/>
    </row>
    <row r="18" spans="1:10">
      <c r="A18" s="11" t="s">
        <v>2080</v>
      </c>
      <c r="B18" s="11" t="s">
        <v>2101</v>
      </c>
      <c r="C18" s="11" t="s">
        <v>2102</v>
      </c>
      <c r="D18" s="11" t="s">
        <v>2103</v>
      </c>
      <c r="E18" s="11" t="s">
        <v>2084</v>
      </c>
      <c r="F18" s="11" t="s">
        <v>2060</v>
      </c>
      <c r="G18" s="11"/>
      <c r="H18" s="11" t="s">
        <v>1865</v>
      </c>
      <c r="I18" s="12"/>
      <c r="J18" s="11"/>
    </row>
    <row r="19" spans="1:10" ht="25.5">
      <c r="A19" s="11" t="s">
        <v>2080</v>
      </c>
      <c r="B19" s="11" t="s">
        <v>2104</v>
      </c>
      <c r="C19" s="11" t="s">
        <v>2105</v>
      </c>
      <c r="D19" s="11" t="s">
        <v>2106</v>
      </c>
      <c r="E19" s="11" t="s">
        <v>2084</v>
      </c>
      <c r="F19" s="11" t="s">
        <v>2060</v>
      </c>
      <c r="G19" s="11"/>
      <c r="H19" s="11" t="s">
        <v>1865</v>
      </c>
      <c r="I19" s="12"/>
      <c r="J19" s="11"/>
    </row>
    <row r="20" spans="1:10" ht="25.5">
      <c r="A20" s="11" t="s">
        <v>2080</v>
      </c>
      <c r="B20" s="11" t="s">
        <v>2107</v>
      </c>
      <c r="C20" s="11" t="s">
        <v>2108</v>
      </c>
      <c r="D20" s="11" t="s">
        <v>2109</v>
      </c>
      <c r="E20" s="11" t="s">
        <v>2084</v>
      </c>
      <c r="F20" s="11" t="s">
        <v>2060</v>
      </c>
      <c r="G20" s="11"/>
      <c r="H20" s="11" t="s">
        <v>1865</v>
      </c>
      <c r="I20" s="12"/>
      <c r="J20" s="11"/>
    </row>
    <row r="21" spans="1:10">
      <c r="A21" s="11" t="s">
        <v>2110</v>
      </c>
      <c r="B21" s="11" t="s">
        <v>2111</v>
      </c>
      <c r="C21" s="11" t="s">
        <v>2112</v>
      </c>
      <c r="D21" s="11" t="s">
        <v>2113</v>
      </c>
      <c r="E21" s="11" t="s">
        <v>2059</v>
      </c>
      <c r="F21" s="11" t="s">
        <v>2060</v>
      </c>
      <c r="G21" s="11"/>
      <c r="H21" s="11" t="s">
        <v>1865</v>
      </c>
      <c r="I21" s="12"/>
      <c r="J21" s="11"/>
    </row>
    <row r="22" spans="1:10" ht="25.5">
      <c r="A22" s="11" t="s">
        <v>2110</v>
      </c>
      <c r="B22" s="11" t="s">
        <v>2114</v>
      </c>
      <c r="C22" s="11" t="s">
        <v>2115</v>
      </c>
      <c r="D22" s="11" t="s">
        <v>2116</v>
      </c>
      <c r="E22" s="11" t="s">
        <v>2059</v>
      </c>
      <c r="F22" s="11" t="s">
        <v>2060</v>
      </c>
      <c r="G22" s="11"/>
      <c r="H22" s="11" t="s">
        <v>1865</v>
      </c>
      <c r="I22" s="12"/>
      <c r="J22" s="11"/>
    </row>
    <row r="23" spans="1:10">
      <c r="A23" s="11" t="s">
        <v>2110</v>
      </c>
      <c r="B23" s="11" t="s">
        <v>2117</v>
      </c>
      <c r="C23" s="11" t="s">
        <v>2118</v>
      </c>
      <c r="D23" s="11" t="s">
        <v>2119</v>
      </c>
      <c r="E23" s="11" t="s">
        <v>2059</v>
      </c>
      <c r="F23" s="11" t="s">
        <v>2060</v>
      </c>
      <c r="G23" s="11"/>
      <c r="H23" s="11" t="s">
        <v>1865</v>
      </c>
      <c r="I23" s="12"/>
      <c r="J23" s="11"/>
    </row>
    <row r="24" spans="1:10">
      <c r="A24" s="11" t="s">
        <v>2110</v>
      </c>
      <c r="B24" s="11" t="s">
        <v>2120</v>
      </c>
      <c r="C24" s="11" t="s">
        <v>2121</v>
      </c>
      <c r="D24" s="11" t="s">
        <v>2122</v>
      </c>
      <c r="E24" s="11" t="s">
        <v>2059</v>
      </c>
      <c r="F24" s="11" t="s">
        <v>2060</v>
      </c>
      <c r="G24" s="11"/>
      <c r="H24" s="11" t="s">
        <v>1865</v>
      </c>
      <c r="I24" s="12"/>
      <c r="J24" s="11"/>
    </row>
    <row r="25" spans="1:10" ht="25.5">
      <c r="A25" s="11" t="s">
        <v>2110</v>
      </c>
      <c r="B25" s="11" t="s">
        <v>2123</v>
      </c>
      <c r="C25" s="11" t="s">
        <v>2124</v>
      </c>
      <c r="D25" s="11" t="s">
        <v>2125</v>
      </c>
      <c r="E25" s="11" t="s">
        <v>2084</v>
      </c>
      <c r="F25" s="11" t="s">
        <v>2060</v>
      </c>
      <c r="G25" s="11"/>
      <c r="H25" s="11" t="s">
        <v>1865</v>
      </c>
      <c r="I25" s="12"/>
      <c r="J25" s="11"/>
    </row>
    <row r="26" spans="1:10">
      <c r="A26" s="11" t="s">
        <v>2126</v>
      </c>
      <c r="B26" s="11" t="s">
        <v>2127</v>
      </c>
      <c r="C26" s="11" t="s">
        <v>2128</v>
      </c>
      <c r="D26" s="11" t="s">
        <v>2129</v>
      </c>
      <c r="E26" s="11" t="s">
        <v>2100</v>
      </c>
      <c r="F26" s="11" t="s">
        <v>2060</v>
      </c>
      <c r="G26" s="11"/>
      <c r="H26" s="11" t="s">
        <v>1865</v>
      </c>
      <c r="I26" s="12"/>
      <c r="J26" s="11"/>
    </row>
    <row r="27" spans="1:10">
      <c r="A27" s="11" t="s">
        <v>2126</v>
      </c>
      <c r="B27" s="11" t="s">
        <v>2130</v>
      </c>
      <c r="C27" s="11" t="s">
        <v>2131</v>
      </c>
      <c r="D27" s="11" t="s">
        <v>2132</v>
      </c>
      <c r="E27" s="11" t="s">
        <v>2100</v>
      </c>
      <c r="F27" s="11" t="s">
        <v>2060</v>
      </c>
      <c r="G27" s="11"/>
      <c r="H27" s="11" t="s">
        <v>1865</v>
      </c>
      <c r="I27" s="12"/>
      <c r="J27" s="11"/>
    </row>
    <row r="28" spans="1:10">
      <c r="A28" s="11" t="s">
        <v>2126</v>
      </c>
      <c r="B28" s="11" t="s">
        <v>2133</v>
      </c>
      <c r="C28" s="11" t="s">
        <v>2134</v>
      </c>
      <c r="D28" s="11" t="s">
        <v>2135</v>
      </c>
      <c r="E28" s="11" t="s">
        <v>2100</v>
      </c>
      <c r="F28" s="11" t="s">
        <v>2060</v>
      </c>
      <c r="G28" s="11"/>
      <c r="H28" s="11" t="s">
        <v>1865</v>
      </c>
      <c r="I28" s="12"/>
      <c r="J28" s="11"/>
    </row>
    <row r="29" spans="1:10">
      <c r="A29" s="11" t="s">
        <v>2126</v>
      </c>
      <c r="B29" s="11" t="s">
        <v>2136</v>
      </c>
      <c r="C29" s="11" t="s">
        <v>2137</v>
      </c>
      <c r="D29" s="11" t="s">
        <v>2138</v>
      </c>
      <c r="E29" s="11" t="s">
        <v>2139</v>
      </c>
      <c r="F29" s="11" t="s">
        <v>2060</v>
      </c>
      <c r="G29" s="11"/>
      <c r="H29" s="11" t="s">
        <v>1865</v>
      </c>
      <c r="I29" s="12"/>
      <c r="J29" s="11"/>
    </row>
    <row r="30" spans="1:10">
      <c r="A30" s="11" t="s">
        <v>2126</v>
      </c>
      <c r="B30" s="11" t="s">
        <v>2140</v>
      </c>
      <c r="C30" s="11" t="s">
        <v>2141</v>
      </c>
      <c r="D30" s="11" t="s">
        <v>2142</v>
      </c>
      <c r="E30" s="11" t="s">
        <v>2084</v>
      </c>
      <c r="F30" s="11" t="s">
        <v>2060</v>
      </c>
      <c r="G30" s="11"/>
      <c r="H30" s="11" t="s">
        <v>1865</v>
      </c>
      <c r="I30" s="12"/>
      <c r="J30" s="11"/>
    </row>
    <row r="31" spans="1:10">
      <c r="A31" s="11" t="s">
        <v>2126</v>
      </c>
      <c r="B31" s="11" t="s">
        <v>2143</v>
      </c>
      <c r="C31" s="11" t="s">
        <v>2144</v>
      </c>
      <c r="D31" s="11" t="s">
        <v>2145</v>
      </c>
      <c r="E31" s="11" t="s">
        <v>2139</v>
      </c>
      <c r="F31" s="11" t="s">
        <v>2060</v>
      </c>
      <c r="G31" s="11"/>
      <c r="H31" s="11" t="s">
        <v>1865</v>
      </c>
      <c r="I31" s="12"/>
      <c r="J31" s="11"/>
    </row>
  </sheetData>
  <mergeCells count="2">
    <mergeCell ref="A1:J1"/>
    <mergeCell ref="A2:J2"/>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14:formula1>
            <xm:f>Lists!$F$2:$F$12</xm:f>
          </x14:formula1>
          <xm:sqref>G5:G31</xm:sqref>
        </x14:dataValidation>
        <x14:dataValidation type="list" allowBlank="1" showInputMessage="1" showErrorMessage="1">
          <x14:formula1>
            <xm:f>Lists!$E$2:$E$6</xm:f>
          </x14:formula1>
          <xm:sqref>H5:H31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286C6"/>
  </sheetPr>
  <dimension ref="A1:Q457"/>
  <sheetViews>
    <sheetView showGridLines="0" workbookViewId="0">
      <pane xSplit="2" ySplit="4" topLeftCell="C14" activePane="bottomRight" state="frozenSplit"/>
      <selection pane="topRight" activeCell="C1" sqref="C1"/>
      <selection pane="bottomLeft" activeCell="A5" sqref="A5"/>
      <selection pane="bottomRight" activeCell="G13" sqref="G13"/>
    </sheetView>
  </sheetViews>
  <sheetFormatPr defaultRowHeight="12.75"/>
  <cols>
    <col min="1" max="1" width="6.7109375" style="1" customWidth="1"/>
    <col min="2" max="2" width="16.7109375" style="1" customWidth="1"/>
    <col min="3" max="3" width="27.7109375" style="1" customWidth="1"/>
    <col min="4" max="4" width="25.7109375" style="1" customWidth="1"/>
    <col min="5" max="5" width="24.7109375" style="1" customWidth="1"/>
    <col min="6" max="6" width="34.7109375" style="1" customWidth="1"/>
    <col min="7" max="7" width="48.7109375" style="1" customWidth="1"/>
    <col min="8" max="8" width="30.7109375" style="1" customWidth="1"/>
    <col min="9" max="9" width="15.7109375" style="1" customWidth="1"/>
    <col min="10" max="10" width="18.7109375" style="1" customWidth="1"/>
    <col min="11" max="11" width="20.7109375" style="1" customWidth="1"/>
    <col min="12" max="12" width="12.7109375" style="1" customWidth="1"/>
    <col min="13" max="13" width="15.7109375" style="1" customWidth="1"/>
    <col min="14" max="14" width="22.7109375" style="1" customWidth="1"/>
    <col min="15" max="15" width="25.7109375" style="1" customWidth="1"/>
    <col min="16" max="16" width="42.7109375" style="1" customWidth="1"/>
    <col min="17" max="17" width="24.7109375" style="1" customWidth="1"/>
    <col min="18" max="16384" width="9.140625" style="1"/>
  </cols>
  <sheetData>
    <row r="1" spans="1:17" ht="30" customHeight="1">
      <c r="A1" s="21" t="s">
        <v>0</v>
      </c>
      <c r="B1" s="21"/>
      <c r="C1" s="21"/>
      <c r="D1" s="21"/>
      <c r="E1" s="21"/>
      <c r="F1" s="21"/>
      <c r="G1" s="21"/>
      <c r="H1" s="21"/>
      <c r="I1" s="21"/>
      <c r="J1" s="21"/>
      <c r="K1" s="21"/>
      <c r="L1" s="21"/>
      <c r="M1" s="21"/>
      <c r="N1" s="21"/>
      <c r="O1" s="21"/>
      <c r="P1" s="21"/>
      <c r="Q1" s="21"/>
    </row>
    <row r="2" spans="1:17" ht="33.950000000000003" customHeight="1">
      <c r="A2" s="22" t="s">
        <v>1</v>
      </c>
      <c r="B2" s="22"/>
      <c r="C2" s="22"/>
      <c r="D2" s="22"/>
      <c r="E2" s="22"/>
      <c r="F2" s="22"/>
      <c r="G2" s="22"/>
      <c r="H2" s="22"/>
      <c r="I2" s="22"/>
      <c r="J2" s="22"/>
      <c r="K2" s="22"/>
      <c r="L2" s="22"/>
      <c r="M2" s="22"/>
      <c r="N2" s="22"/>
      <c r="O2" s="22"/>
      <c r="P2" s="22"/>
      <c r="Q2" s="22"/>
    </row>
    <row r="4" spans="1:17" ht="33.950000000000003" customHeight="1">
      <c r="A4" s="2" t="s">
        <v>2</v>
      </c>
      <c r="B4" s="2" t="s">
        <v>3</v>
      </c>
      <c r="C4" s="2" t="s">
        <v>4</v>
      </c>
      <c r="D4" s="2" t="s">
        <v>5</v>
      </c>
      <c r="E4" s="2" t="s">
        <v>6</v>
      </c>
      <c r="F4" s="2" t="s">
        <v>7</v>
      </c>
      <c r="G4" s="2" t="s">
        <v>8</v>
      </c>
      <c r="H4" s="2" t="s">
        <v>9</v>
      </c>
      <c r="I4" s="2" t="s">
        <v>10</v>
      </c>
      <c r="J4" s="2" t="s">
        <v>11</v>
      </c>
      <c r="K4" s="2" t="s">
        <v>12</v>
      </c>
      <c r="L4" s="2" t="s">
        <v>13</v>
      </c>
      <c r="M4" s="2" t="s">
        <v>14</v>
      </c>
      <c r="N4" s="2" t="s">
        <v>15</v>
      </c>
      <c r="O4" s="2" t="s">
        <v>16</v>
      </c>
      <c r="P4" s="2" t="s">
        <v>17</v>
      </c>
      <c r="Q4" s="2" t="s">
        <v>18</v>
      </c>
    </row>
    <row r="5" spans="1:17" ht="25.5">
      <c r="A5" s="3">
        <v>1</v>
      </c>
      <c r="B5" s="3" t="s">
        <v>19</v>
      </c>
      <c r="C5" s="4" t="s">
        <v>20</v>
      </c>
      <c r="D5" s="4" t="s">
        <v>21</v>
      </c>
      <c r="E5" s="4" t="s">
        <v>22</v>
      </c>
      <c r="F5" s="4" t="s">
        <v>23</v>
      </c>
      <c r="G5" s="4" t="s">
        <v>24</v>
      </c>
      <c r="H5" s="4" t="s">
        <v>25</v>
      </c>
      <c r="I5" s="4" t="s">
        <v>26</v>
      </c>
      <c r="J5" s="4"/>
      <c r="K5" s="4" t="s">
        <v>27</v>
      </c>
      <c r="L5" s="4" t="s">
        <v>28</v>
      </c>
      <c r="M5" s="4" t="s">
        <v>29</v>
      </c>
      <c r="N5" s="4" t="s">
        <v>30</v>
      </c>
      <c r="O5" s="4" t="s">
        <v>31</v>
      </c>
      <c r="P5" s="4" t="s">
        <v>32</v>
      </c>
      <c r="Q5" s="4"/>
    </row>
    <row r="6" spans="1:17" ht="25.5">
      <c r="A6" s="3">
        <v>2</v>
      </c>
      <c r="B6" s="3" t="s">
        <v>33</v>
      </c>
      <c r="C6" s="4" t="s">
        <v>20</v>
      </c>
      <c r="D6" s="4" t="s">
        <v>21</v>
      </c>
      <c r="E6" s="4" t="s">
        <v>22</v>
      </c>
      <c r="F6" s="4" t="s">
        <v>34</v>
      </c>
      <c r="G6" s="4" t="s">
        <v>35</v>
      </c>
      <c r="H6" s="4" t="s">
        <v>25</v>
      </c>
      <c r="I6" s="4" t="s">
        <v>26</v>
      </c>
      <c r="J6" s="4"/>
      <c r="K6" s="4" t="s">
        <v>27</v>
      </c>
      <c r="L6" s="4" t="s">
        <v>28</v>
      </c>
      <c r="M6" s="4" t="s">
        <v>29</v>
      </c>
      <c r="N6" s="4" t="s">
        <v>30</v>
      </c>
      <c r="O6" s="4" t="s">
        <v>31</v>
      </c>
      <c r="P6" s="4"/>
      <c r="Q6" s="4"/>
    </row>
    <row r="7" spans="1:17" ht="25.5">
      <c r="A7" s="3">
        <v>3</v>
      </c>
      <c r="B7" s="3" t="s">
        <v>36</v>
      </c>
      <c r="C7" s="4" t="s">
        <v>20</v>
      </c>
      <c r="D7" s="4" t="s">
        <v>21</v>
      </c>
      <c r="E7" s="4" t="s">
        <v>37</v>
      </c>
      <c r="F7" s="4" t="s">
        <v>38</v>
      </c>
      <c r="G7" s="4" t="s">
        <v>39</v>
      </c>
      <c r="H7" s="4" t="s">
        <v>25</v>
      </c>
      <c r="I7" s="4" t="s">
        <v>40</v>
      </c>
      <c r="J7" s="4"/>
      <c r="K7" s="4" t="s">
        <v>27</v>
      </c>
      <c r="L7" s="4" t="s">
        <v>28</v>
      </c>
      <c r="M7" s="4" t="s">
        <v>29</v>
      </c>
      <c r="N7" s="4" t="s">
        <v>30</v>
      </c>
      <c r="O7" s="4" t="s">
        <v>41</v>
      </c>
      <c r="P7" s="4"/>
      <c r="Q7" s="4"/>
    </row>
    <row r="8" spans="1:17" ht="25.5">
      <c r="A8" s="3">
        <v>4</v>
      </c>
      <c r="B8" s="3" t="s">
        <v>42</v>
      </c>
      <c r="C8" s="4" t="s">
        <v>20</v>
      </c>
      <c r="D8" s="4" t="s">
        <v>21</v>
      </c>
      <c r="E8" s="4" t="s">
        <v>43</v>
      </c>
      <c r="F8" s="4" t="s">
        <v>44</v>
      </c>
      <c r="G8" s="4" t="s">
        <v>45</v>
      </c>
      <c r="H8" s="4" t="s">
        <v>25</v>
      </c>
      <c r="I8" s="4" t="s">
        <v>26</v>
      </c>
      <c r="J8" s="4"/>
      <c r="K8" s="4" t="s">
        <v>27</v>
      </c>
      <c r="L8" s="4" t="s">
        <v>28</v>
      </c>
      <c r="M8" s="4" t="s">
        <v>29</v>
      </c>
      <c r="N8" s="4" t="s">
        <v>30</v>
      </c>
      <c r="O8" s="4" t="s">
        <v>41</v>
      </c>
      <c r="P8" s="4"/>
      <c r="Q8" s="4"/>
    </row>
    <row r="9" spans="1:17" ht="25.5">
      <c r="A9" s="3">
        <v>5</v>
      </c>
      <c r="B9" s="3" t="s">
        <v>46</v>
      </c>
      <c r="C9" s="4" t="s">
        <v>20</v>
      </c>
      <c r="D9" s="4" t="s">
        <v>47</v>
      </c>
      <c r="E9" s="4" t="s">
        <v>48</v>
      </c>
      <c r="F9" s="4" t="s">
        <v>49</v>
      </c>
      <c r="G9" s="4" t="s">
        <v>50</v>
      </c>
      <c r="H9" s="4" t="s">
        <v>51</v>
      </c>
      <c r="I9" s="4" t="s">
        <v>52</v>
      </c>
      <c r="J9" s="4"/>
      <c r="K9" s="4" t="s">
        <v>27</v>
      </c>
      <c r="L9" s="4" t="s">
        <v>28</v>
      </c>
      <c r="M9" s="4" t="s">
        <v>29</v>
      </c>
      <c r="N9" s="4" t="s">
        <v>30</v>
      </c>
      <c r="O9" s="4" t="s">
        <v>53</v>
      </c>
      <c r="P9" s="4" t="s">
        <v>54</v>
      </c>
      <c r="Q9" s="4"/>
    </row>
    <row r="10" spans="1:17" ht="25.5">
      <c r="A10" s="3">
        <v>6</v>
      </c>
      <c r="B10" s="3" t="s">
        <v>55</v>
      </c>
      <c r="C10" s="4" t="s">
        <v>20</v>
      </c>
      <c r="D10" s="4" t="s">
        <v>47</v>
      </c>
      <c r="E10" s="4" t="s">
        <v>48</v>
      </c>
      <c r="F10" s="4" t="s">
        <v>56</v>
      </c>
      <c r="G10" s="4" t="s">
        <v>57</v>
      </c>
      <c r="H10" s="4" t="s">
        <v>51</v>
      </c>
      <c r="I10" s="4" t="s">
        <v>52</v>
      </c>
      <c r="J10" s="4"/>
      <c r="K10" s="4" t="s">
        <v>27</v>
      </c>
      <c r="L10" s="4" t="s">
        <v>28</v>
      </c>
      <c r="M10" s="4" t="s">
        <v>29</v>
      </c>
      <c r="N10" s="4" t="s">
        <v>30</v>
      </c>
      <c r="O10" s="4" t="s">
        <v>53</v>
      </c>
      <c r="P10" s="4" t="s">
        <v>58</v>
      </c>
      <c r="Q10" s="4"/>
    </row>
    <row r="11" spans="1:17" ht="25.5">
      <c r="A11" s="3">
        <v>7</v>
      </c>
      <c r="B11" s="3" t="s">
        <v>59</v>
      </c>
      <c r="C11" s="4" t="s">
        <v>20</v>
      </c>
      <c r="D11" s="4" t="s">
        <v>47</v>
      </c>
      <c r="E11" s="4" t="s">
        <v>48</v>
      </c>
      <c r="F11" s="4" t="s">
        <v>60</v>
      </c>
      <c r="G11" s="4" t="s">
        <v>61</v>
      </c>
      <c r="H11" s="4" t="s">
        <v>51</v>
      </c>
      <c r="I11" s="4" t="s">
        <v>52</v>
      </c>
      <c r="J11" s="4"/>
      <c r="K11" s="4" t="s">
        <v>27</v>
      </c>
      <c r="L11" s="4" t="s">
        <v>28</v>
      </c>
      <c r="M11" s="4" t="s">
        <v>29</v>
      </c>
      <c r="N11" s="4" t="s">
        <v>30</v>
      </c>
      <c r="O11" s="4" t="s">
        <v>53</v>
      </c>
      <c r="P11" s="4" t="s">
        <v>62</v>
      </c>
      <c r="Q11" s="4"/>
    </row>
    <row r="12" spans="1:17" ht="25.5">
      <c r="A12" s="3">
        <v>8</v>
      </c>
      <c r="B12" s="3" t="s">
        <v>63</v>
      </c>
      <c r="C12" s="4" t="s">
        <v>20</v>
      </c>
      <c r="D12" s="4" t="s">
        <v>47</v>
      </c>
      <c r="E12" s="4" t="s">
        <v>48</v>
      </c>
      <c r="F12" s="4" t="s">
        <v>64</v>
      </c>
      <c r="G12" s="4" t="s">
        <v>65</v>
      </c>
      <c r="H12" s="4" t="s">
        <v>51</v>
      </c>
      <c r="I12" s="4" t="s">
        <v>52</v>
      </c>
      <c r="J12" s="4"/>
      <c r="K12" s="4" t="s">
        <v>27</v>
      </c>
      <c r="L12" s="4" t="s">
        <v>28</v>
      </c>
      <c r="M12" s="4" t="s">
        <v>29</v>
      </c>
      <c r="N12" s="4" t="s">
        <v>30</v>
      </c>
      <c r="O12" s="4" t="s">
        <v>53</v>
      </c>
      <c r="P12" s="4" t="s">
        <v>66</v>
      </c>
      <c r="Q12" s="4"/>
    </row>
    <row r="13" spans="1:17" ht="25.5">
      <c r="A13" s="3">
        <v>9</v>
      </c>
      <c r="B13" s="3" t="s">
        <v>67</v>
      </c>
      <c r="C13" s="4" t="s">
        <v>20</v>
      </c>
      <c r="D13" s="4" t="s">
        <v>47</v>
      </c>
      <c r="E13" s="4" t="s">
        <v>48</v>
      </c>
      <c r="F13" s="4" t="s">
        <v>68</v>
      </c>
      <c r="G13" s="4" t="s">
        <v>69</v>
      </c>
      <c r="H13" s="4" t="s">
        <v>70</v>
      </c>
      <c r="I13" s="4" t="s">
        <v>52</v>
      </c>
      <c r="J13" s="4"/>
      <c r="K13" s="4" t="s">
        <v>27</v>
      </c>
      <c r="L13" s="4" t="s">
        <v>71</v>
      </c>
      <c r="M13" s="4" t="s">
        <v>29</v>
      </c>
      <c r="N13" s="4" t="s">
        <v>30</v>
      </c>
      <c r="O13" s="4" t="s">
        <v>53</v>
      </c>
      <c r="P13" s="4" t="s">
        <v>72</v>
      </c>
      <c r="Q13" s="4"/>
    </row>
    <row r="14" spans="1:17" ht="25.5">
      <c r="A14" s="3">
        <v>10</v>
      </c>
      <c r="B14" s="3" t="s">
        <v>73</v>
      </c>
      <c r="C14" s="4" t="s">
        <v>20</v>
      </c>
      <c r="D14" s="4" t="s">
        <v>47</v>
      </c>
      <c r="E14" s="4" t="s">
        <v>48</v>
      </c>
      <c r="F14" s="4" t="s">
        <v>74</v>
      </c>
      <c r="G14" s="4" t="s">
        <v>75</v>
      </c>
      <c r="H14" s="4" t="s">
        <v>76</v>
      </c>
      <c r="I14" s="4" t="s">
        <v>77</v>
      </c>
      <c r="J14" s="4"/>
      <c r="K14" s="4" t="s">
        <v>27</v>
      </c>
      <c r="L14" s="4" t="s">
        <v>28</v>
      </c>
      <c r="M14" s="4" t="s">
        <v>29</v>
      </c>
      <c r="N14" s="4" t="s">
        <v>30</v>
      </c>
      <c r="O14" s="4" t="s">
        <v>53</v>
      </c>
      <c r="P14" s="4" t="s">
        <v>78</v>
      </c>
      <c r="Q14" s="4"/>
    </row>
    <row r="15" spans="1:17" ht="25.5">
      <c r="A15" s="3">
        <v>11</v>
      </c>
      <c r="B15" s="3" t="s">
        <v>79</v>
      </c>
      <c r="C15" s="4" t="s">
        <v>20</v>
      </c>
      <c r="D15" s="4" t="s">
        <v>47</v>
      </c>
      <c r="E15" s="4" t="s">
        <v>80</v>
      </c>
      <c r="F15" s="4" t="s">
        <v>81</v>
      </c>
      <c r="G15" s="4" t="s">
        <v>82</v>
      </c>
      <c r="H15" s="4" t="s">
        <v>51</v>
      </c>
      <c r="I15" s="4" t="s">
        <v>83</v>
      </c>
      <c r="J15" s="4"/>
      <c r="K15" s="4" t="s">
        <v>27</v>
      </c>
      <c r="L15" s="4" t="s">
        <v>28</v>
      </c>
      <c r="M15" s="4" t="s">
        <v>29</v>
      </c>
      <c r="N15" s="4" t="s">
        <v>30</v>
      </c>
      <c r="O15" s="4" t="s">
        <v>41</v>
      </c>
      <c r="P15" s="4"/>
      <c r="Q15" s="4"/>
    </row>
    <row r="16" spans="1:17" ht="25.5">
      <c r="A16" s="3">
        <v>12</v>
      </c>
      <c r="B16" s="3" t="s">
        <v>84</v>
      </c>
      <c r="C16" s="4" t="s">
        <v>20</v>
      </c>
      <c r="D16" s="4" t="s">
        <v>47</v>
      </c>
      <c r="E16" s="4" t="s">
        <v>85</v>
      </c>
      <c r="F16" s="4" t="s">
        <v>86</v>
      </c>
      <c r="G16" s="4" t="s">
        <v>87</v>
      </c>
      <c r="H16" s="4" t="s">
        <v>51</v>
      </c>
      <c r="I16" s="4" t="s">
        <v>83</v>
      </c>
      <c r="J16" s="4"/>
      <c r="K16" s="4" t="s">
        <v>27</v>
      </c>
      <c r="L16" s="4" t="s">
        <v>71</v>
      </c>
      <c r="M16" s="4" t="s">
        <v>29</v>
      </c>
      <c r="N16" s="4" t="s">
        <v>30</v>
      </c>
      <c r="O16" s="4" t="s">
        <v>41</v>
      </c>
      <c r="P16" s="4"/>
      <c r="Q16" s="4"/>
    </row>
    <row r="17" spans="1:17" ht="25.5">
      <c r="A17" s="3">
        <v>13</v>
      </c>
      <c r="B17" s="3" t="s">
        <v>88</v>
      </c>
      <c r="C17" s="4" t="s">
        <v>20</v>
      </c>
      <c r="D17" s="4" t="s">
        <v>89</v>
      </c>
      <c r="E17" s="4" t="s">
        <v>90</v>
      </c>
      <c r="F17" s="4" t="s">
        <v>91</v>
      </c>
      <c r="G17" s="4" t="s">
        <v>92</v>
      </c>
      <c r="H17" s="4" t="s">
        <v>51</v>
      </c>
      <c r="I17" s="4" t="s">
        <v>52</v>
      </c>
      <c r="J17" s="4"/>
      <c r="K17" s="4" t="s">
        <v>27</v>
      </c>
      <c r="L17" s="4" t="s">
        <v>28</v>
      </c>
      <c r="M17" s="4" t="s">
        <v>29</v>
      </c>
      <c r="N17" s="4" t="s">
        <v>30</v>
      </c>
      <c r="O17" s="4" t="s">
        <v>93</v>
      </c>
      <c r="P17" s="4" t="s">
        <v>54</v>
      </c>
      <c r="Q17" s="4"/>
    </row>
    <row r="18" spans="1:17" ht="25.5">
      <c r="A18" s="3">
        <v>14</v>
      </c>
      <c r="B18" s="3" t="s">
        <v>94</v>
      </c>
      <c r="C18" s="4" t="s">
        <v>20</v>
      </c>
      <c r="D18" s="4" t="s">
        <v>89</v>
      </c>
      <c r="E18" s="4" t="s">
        <v>90</v>
      </c>
      <c r="F18" s="4" t="s">
        <v>95</v>
      </c>
      <c r="G18" s="4" t="s">
        <v>96</v>
      </c>
      <c r="H18" s="4" t="s">
        <v>51</v>
      </c>
      <c r="I18" s="4" t="s">
        <v>52</v>
      </c>
      <c r="J18" s="4"/>
      <c r="K18" s="4" t="s">
        <v>27</v>
      </c>
      <c r="L18" s="4" t="s">
        <v>28</v>
      </c>
      <c r="M18" s="4" t="s">
        <v>29</v>
      </c>
      <c r="N18" s="4" t="s">
        <v>30</v>
      </c>
      <c r="O18" s="4" t="s">
        <v>93</v>
      </c>
      <c r="P18" s="4" t="s">
        <v>58</v>
      </c>
      <c r="Q18" s="4"/>
    </row>
    <row r="19" spans="1:17" ht="25.5">
      <c r="A19" s="3">
        <v>15</v>
      </c>
      <c r="B19" s="3" t="s">
        <v>97</v>
      </c>
      <c r="C19" s="4" t="s">
        <v>20</v>
      </c>
      <c r="D19" s="4" t="s">
        <v>89</v>
      </c>
      <c r="E19" s="4" t="s">
        <v>90</v>
      </c>
      <c r="F19" s="4" t="s">
        <v>98</v>
      </c>
      <c r="G19" s="4" t="s">
        <v>99</v>
      </c>
      <c r="H19" s="4" t="s">
        <v>51</v>
      </c>
      <c r="I19" s="4" t="s">
        <v>52</v>
      </c>
      <c r="J19" s="4"/>
      <c r="K19" s="4" t="s">
        <v>27</v>
      </c>
      <c r="L19" s="4" t="s">
        <v>28</v>
      </c>
      <c r="M19" s="4" t="s">
        <v>29</v>
      </c>
      <c r="N19" s="4" t="s">
        <v>30</v>
      </c>
      <c r="O19" s="4" t="s">
        <v>93</v>
      </c>
      <c r="P19" s="4" t="s">
        <v>62</v>
      </c>
      <c r="Q19" s="4"/>
    </row>
    <row r="20" spans="1:17" ht="25.5">
      <c r="A20" s="3">
        <v>16</v>
      </c>
      <c r="B20" s="3" t="s">
        <v>100</v>
      </c>
      <c r="C20" s="4" t="s">
        <v>20</v>
      </c>
      <c r="D20" s="4" t="s">
        <v>89</v>
      </c>
      <c r="E20" s="4" t="s">
        <v>90</v>
      </c>
      <c r="F20" s="4" t="s">
        <v>101</v>
      </c>
      <c r="G20" s="4" t="s">
        <v>102</v>
      </c>
      <c r="H20" s="4" t="s">
        <v>51</v>
      </c>
      <c r="I20" s="4" t="s">
        <v>52</v>
      </c>
      <c r="J20" s="4"/>
      <c r="K20" s="4" t="s">
        <v>27</v>
      </c>
      <c r="L20" s="4" t="s">
        <v>28</v>
      </c>
      <c r="M20" s="4" t="s">
        <v>29</v>
      </c>
      <c r="N20" s="4" t="s">
        <v>30</v>
      </c>
      <c r="O20" s="4" t="s">
        <v>93</v>
      </c>
      <c r="P20" s="4" t="s">
        <v>66</v>
      </c>
      <c r="Q20" s="4"/>
    </row>
    <row r="21" spans="1:17" ht="25.5">
      <c r="A21" s="3">
        <v>17</v>
      </c>
      <c r="B21" s="3" t="s">
        <v>103</v>
      </c>
      <c r="C21" s="4" t="s">
        <v>20</v>
      </c>
      <c r="D21" s="4" t="s">
        <v>89</v>
      </c>
      <c r="E21" s="4" t="s">
        <v>90</v>
      </c>
      <c r="F21" s="4" t="s">
        <v>104</v>
      </c>
      <c r="G21" s="4" t="s">
        <v>105</v>
      </c>
      <c r="H21" s="4" t="s">
        <v>70</v>
      </c>
      <c r="I21" s="4" t="s">
        <v>52</v>
      </c>
      <c r="J21" s="4"/>
      <c r="K21" s="4" t="s">
        <v>27</v>
      </c>
      <c r="L21" s="4" t="s">
        <v>71</v>
      </c>
      <c r="M21" s="4" t="s">
        <v>29</v>
      </c>
      <c r="N21" s="4" t="s">
        <v>30</v>
      </c>
      <c r="O21" s="4" t="s">
        <v>93</v>
      </c>
      <c r="P21" s="4" t="s">
        <v>72</v>
      </c>
      <c r="Q21" s="4"/>
    </row>
    <row r="22" spans="1:17" ht="25.5">
      <c r="A22" s="3">
        <v>18</v>
      </c>
      <c r="B22" s="3" t="s">
        <v>106</v>
      </c>
      <c r="C22" s="4" t="s">
        <v>20</v>
      </c>
      <c r="D22" s="4" t="s">
        <v>89</v>
      </c>
      <c r="E22" s="4" t="s">
        <v>90</v>
      </c>
      <c r="F22" s="4" t="s">
        <v>107</v>
      </c>
      <c r="G22" s="4" t="s">
        <v>108</v>
      </c>
      <c r="H22" s="4" t="s">
        <v>76</v>
      </c>
      <c r="I22" s="4" t="s">
        <v>77</v>
      </c>
      <c r="J22" s="4"/>
      <c r="K22" s="4" t="s">
        <v>27</v>
      </c>
      <c r="L22" s="4" t="s">
        <v>28</v>
      </c>
      <c r="M22" s="4" t="s">
        <v>29</v>
      </c>
      <c r="N22" s="4" t="s">
        <v>30</v>
      </c>
      <c r="O22" s="4" t="s">
        <v>93</v>
      </c>
      <c r="P22" s="4" t="s">
        <v>78</v>
      </c>
      <c r="Q22" s="4"/>
    </row>
    <row r="23" spans="1:17" ht="25.5">
      <c r="A23" s="3">
        <v>19</v>
      </c>
      <c r="B23" s="3" t="s">
        <v>109</v>
      </c>
      <c r="C23" s="4" t="s">
        <v>20</v>
      </c>
      <c r="D23" s="4" t="s">
        <v>89</v>
      </c>
      <c r="E23" s="4" t="s">
        <v>110</v>
      </c>
      <c r="F23" s="4" t="s">
        <v>111</v>
      </c>
      <c r="G23" s="4" t="s">
        <v>112</v>
      </c>
      <c r="H23" s="4" t="s">
        <v>51</v>
      </c>
      <c r="I23" s="4" t="s">
        <v>113</v>
      </c>
      <c r="J23" s="4"/>
      <c r="K23" s="4" t="s">
        <v>27</v>
      </c>
      <c r="L23" s="4" t="s">
        <v>28</v>
      </c>
      <c r="M23" s="4" t="s">
        <v>29</v>
      </c>
      <c r="N23" s="4" t="s">
        <v>30</v>
      </c>
      <c r="O23" s="4" t="s">
        <v>41</v>
      </c>
      <c r="P23" s="4"/>
      <c r="Q23" s="4"/>
    </row>
    <row r="24" spans="1:17" ht="25.5">
      <c r="A24" s="3">
        <v>20</v>
      </c>
      <c r="B24" s="3" t="s">
        <v>114</v>
      </c>
      <c r="C24" s="4" t="s">
        <v>20</v>
      </c>
      <c r="D24" s="4" t="s">
        <v>89</v>
      </c>
      <c r="E24" s="4" t="s">
        <v>115</v>
      </c>
      <c r="F24" s="4" t="s">
        <v>116</v>
      </c>
      <c r="G24" s="4" t="s">
        <v>117</v>
      </c>
      <c r="H24" s="4" t="s">
        <v>51</v>
      </c>
      <c r="I24" s="4" t="s">
        <v>118</v>
      </c>
      <c r="J24" s="4"/>
      <c r="K24" s="4" t="s">
        <v>27</v>
      </c>
      <c r="L24" s="4" t="s">
        <v>28</v>
      </c>
      <c r="M24" s="4" t="s">
        <v>29</v>
      </c>
      <c r="N24" s="4" t="s">
        <v>30</v>
      </c>
      <c r="O24" s="4" t="s">
        <v>119</v>
      </c>
      <c r="P24" s="4"/>
      <c r="Q24" s="4"/>
    </row>
    <row r="25" spans="1:17" ht="25.5">
      <c r="A25" s="3">
        <v>21</v>
      </c>
      <c r="B25" s="3" t="s">
        <v>120</v>
      </c>
      <c r="C25" s="4" t="s">
        <v>20</v>
      </c>
      <c r="D25" s="4" t="s">
        <v>89</v>
      </c>
      <c r="E25" s="4" t="s">
        <v>115</v>
      </c>
      <c r="F25" s="4" t="s">
        <v>121</v>
      </c>
      <c r="G25" s="4" t="s">
        <v>122</v>
      </c>
      <c r="H25" s="4" t="s">
        <v>123</v>
      </c>
      <c r="I25" s="4" t="s">
        <v>118</v>
      </c>
      <c r="J25" s="4"/>
      <c r="K25" s="4" t="s">
        <v>124</v>
      </c>
      <c r="L25" s="4" t="s">
        <v>71</v>
      </c>
      <c r="M25" s="4" t="s">
        <v>125</v>
      </c>
      <c r="N25" s="4" t="s">
        <v>30</v>
      </c>
      <c r="O25" s="4" t="s">
        <v>41</v>
      </c>
      <c r="P25" s="4"/>
      <c r="Q25" s="4"/>
    </row>
    <row r="26" spans="1:17" ht="25.5">
      <c r="A26" s="3">
        <v>22</v>
      </c>
      <c r="B26" s="3" t="s">
        <v>126</v>
      </c>
      <c r="C26" s="4" t="s">
        <v>20</v>
      </c>
      <c r="D26" s="4" t="s">
        <v>127</v>
      </c>
      <c r="E26" s="4" t="s">
        <v>128</v>
      </c>
      <c r="F26" s="4" t="s">
        <v>129</v>
      </c>
      <c r="G26" s="4" t="s">
        <v>130</v>
      </c>
      <c r="H26" s="4" t="s">
        <v>51</v>
      </c>
      <c r="I26" s="4" t="s">
        <v>52</v>
      </c>
      <c r="J26" s="4"/>
      <c r="K26" s="4" t="s">
        <v>27</v>
      </c>
      <c r="L26" s="4" t="s">
        <v>28</v>
      </c>
      <c r="M26" s="4" t="s">
        <v>29</v>
      </c>
      <c r="N26" s="4" t="s">
        <v>30</v>
      </c>
      <c r="O26" s="4" t="s">
        <v>131</v>
      </c>
      <c r="P26" s="4" t="s">
        <v>54</v>
      </c>
      <c r="Q26" s="4"/>
    </row>
    <row r="27" spans="1:17" ht="25.5">
      <c r="A27" s="3">
        <v>23</v>
      </c>
      <c r="B27" s="3" t="s">
        <v>132</v>
      </c>
      <c r="C27" s="4" t="s">
        <v>20</v>
      </c>
      <c r="D27" s="4" t="s">
        <v>127</v>
      </c>
      <c r="E27" s="4" t="s">
        <v>128</v>
      </c>
      <c r="F27" s="4" t="s">
        <v>133</v>
      </c>
      <c r="G27" s="4" t="s">
        <v>134</v>
      </c>
      <c r="H27" s="4" t="s">
        <v>51</v>
      </c>
      <c r="I27" s="4" t="s">
        <v>52</v>
      </c>
      <c r="J27" s="4"/>
      <c r="K27" s="4" t="s">
        <v>27</v>
      </c>
      <c r="L27" s="4" t="s">
        <v>28</v>
      </c>
      <c r="M27" s="4" t="s">
        <v>29</v>
      </c>
      <c r="N27" s="4" t="s">
        <v>30</v>
      </c>
      <c r="O27" s="4" t="s">
        <v>131</v>
      </c>
      <c r="P27" s="4" t="s">
        <v>58</v>
      </c>
      <c r="Q27" s="4"/>
    </row>
    <row r="28" spans="1:17" ht="25.5">
      <c r="A28" s="3">
        <v>24</v>
      </c>
      <c r="B28" s="3" t="s">
        <v>135</v>
      </c>
      <c r="C28" s="4" t="s">
        <v>20</v>
      </c>
      <c r="D28" s="4" t="s">
        <v>127</v>
      </c>
      <c r="E28" s="4" t="s">
        <v>128</v>
      </c>
      <c r="F28" s="4" t="s">
        <v>136</v>
      </c>
      <c r="G28" s="4" t="s">
        <v>137</v>
      </c>
      <c r="H28" s="4" t="s">
        <v>51</v>
      </c>
      <c r="I28" s="4" t="s">
        <v>52</v>
      </c>
      <c r="J28" s="4"/>
      <c r="K28" s="4" t="s">
        <v>27</v>
      </c>
      <c r="L28" s="4" t="s">
        <v>28</v>
      </c>
      <c r="M28" s="4" t="s">
        <v>29</v>
      </c>
      <c r="N28" s="4" t="s">
        <v>30</v>
      </c>
      <c r="O28" s="4" t="s">
        <v>131</v>
      </c>
      <c r="P28" s="4" t="s">
        <v>62</v>
      </c>
      <c r="Q28" s="4"/>
    </row>
    <row r="29" spans="1:17" ht="25.5">
      <c r="A29" s="3">
        <v>25</v>
      </c>
      <c r="B29" s="3" t="s">
        <v>138</v>
      </c>
      <c r="C29" s="4" t="s">
        <v>20</v>
      </c>
      <c r="D29" s="4" t="s">
        <v>127</v>
      </c>
      <c r="E29" s="4" t="s">
        <v>128</v>
      </c>
      <c r="F29" s="4" t="s">
        <v>139</v>
      </c>
      <c r="G29" s="4" t="s">
        <v>140</v>
      </c>
      <c r="H29" s="4" t="s">
        <v>51</v>
      </c>
      <c r="I29" s="4" t="s">
        <v>52</v>
      </c>
      <c r="J29" s="4"/>
      <c r="K29" s="4" t="s">
        <v>27</v>
      </c>
      <c r="L29" s="4" t="s">
        <v>28</v>
      </c>
      <c r="M29" s="4" t="s">
        <v>29</v>
      </c>
      <c r="N29" s="4" t="s">
        <v>30</v>
      </c>
      <c r="O29" s="4" t="s">
        <v>131</v>
      </c>
      <c r="P29" s="4" t="s">
        <v>66</v>
      </c>
      <c r="Q29" s="4"/>
    </row>
    <row r="30" spans="1:17" ht="25.5">
      <c r="A30" s="3">
        <v>26</v>
      </c>
      <c r="B30" s="3" t="s">
        <v>141</v>
      </c>
      <c r="C30" s="4" t="s">
        <v>20</v>
      </c>
      <c r="D30" s="4" t="s">
        <v>127</v>
      </c>
      <c r="E30" s="4" t="s">
        <v>128</v>
      </c>
      <c r="F30" s="4" t="s">
        <v>142</v>
      </c>
      <c r="G30" s="4" t="s">
        <v>143</v>
      </c>
      <c r="H30" s="4" t="s">
        <v>70</v>
      </c>
      <c r="I30" s="4" t="s">
        <v>52</v>
      </c>
      <c r="J30" s="4"/>
      <c r="K30" s="4" t="s">
        <v>27</v>
      </c>
      <c r="L30" s="4" t="s">
        <v>71</v>
      </c>
      <c r="M30" s="4" t="s">
        <v>29</v>
      </c>
      <c r="N30" s="4" t="s">
        <v>30</v>
      </c>
      <c r="O30" s="4" t="s">
        <v>131</v>
      </c>
      <c r="P30" s="4" t="s">
        <v>72</v>
      </c>
      <c r="Q30" s="4"/>
    </row>
    <row r="31" spans="1:17" ht="25.5">
      <c r="A31" s="3">
        <v>27</v>
      </c>
      <c r="B31" s="3" t="s">
        <v>144</v>
      </c>
      <c r="C31" s="4" t="s">
        <v>20</v>
      </c>
      <c r="D31" s="4" t="s">
        <v>127</v>
      </c>
      <c r="E31" s="4" t="s">
        <v>128</v>
      </c>
      <c r="F31" s="4" t="s">
        <v>145</v>
      </c>
      <c r="G31" s="4" t="s">
        <v>146</v>
      </c>
      <c r="H31" s="4" t="s">
        <v>76</v>
      </c>
      <c r="I31" s="4" t="s">
        <v>77</v>
      </c>
      <c r="J31" s="4"/>
      <c r="K31" s="4" t="s">
        <v>27</v>
      </c>
      <c r="L31" s="4" t="s">
        <v>28</v>
      </c>
      <c r="M31" s="4" t="s">
        <v>29</v>
      </c>
      <c r="N31" s="4" t="s">
        <v>30</v>
      </c>
      <c r="O31" s="4" t="s">
        <v>131</v>
      </c>
      <c r="P31" s="4" t="s">
        <v>78</v>
      </c>
      <c r="Q31" s="4"/>
    </row>
    <row r="32" spans="1:17" ht="25.5">
      <c r="A32" s="3">
        <v>28</v>
      </c>
      <c r="B32" s="3" t="s">
        <v>147</v>
      </c>
      <c r="C32" s="4" t="s">
        <v>20</v>
      </c>
      <c r="D32" s="4" t="s">
        <v>127</v>
      </c>
      <c r="E32" s="4" t="s">
        <v>148</v>
      </c>
      <c r="F32" s="4" t="s">
        <v>149</v>
      </c>
      <c r="G32" s="4" t="s">
        <v>150</v>
      </c>
      <c r="H32" s="4" t="s">
        <v>51</v>
      </c>
      <c r="I32" s="4" t="s">
        <v>118</v>
      </c>
      <c r="J32" s="4"/>
      <c r="K32" s="4" t="s">
        <v>27</v>
      </c>
      <c r="L32" s="4" t="s">
        <v>28</v>
      </c>
      <c r="M32" s="4" t="s">
        <v>29</v>
      </c>
      <c r="N32" s="4" t="s">
        <v>30</v>
      </c>
      <c r="O32" s="4" t="s">
        <v>41</v>
      </c>
      <c r="P32" s="4"/>
      <c r="Q32" s="4"/>
    </row>
    <row r="33" spans="1:17" ht="25.5">
      <c r="A33" s="3">
        <v>29</v>
      </c>
      <c r="B33" s="3" t="s">
        <v>151</v>
      </c>
      <c r="C33" s="4" t="s">
        <v>20</v>
      </c>
      <c r="D33" s="4" t="s">
        <v>127</v>
      </c>
      <c r="E33" s="4" t="s">
        <v>152</v>
      </c>
      <c r="F33" s="4" t="s">
        <v>153</v>
      </c>
      <c r="G33" s="4" t="s">
        <v>154</v>
      </c>
      <c r="H33" s="4" t="s">
        <v>51</v>
      </c>
      <c r="I33" s="4" t="s">
        <v>118</v>
      </c>
      <c r="J33" s="4"/>
      <c r="K33" s="4" t="s">
        <v>27</v>
      </c>
      <c r="L33" s="4" t="s">
        <v>28</v>
      </c>
      <c r="M33" s="4" t="s">
        <v>29</v>
      </c>
      <c r="N33" s="4" t="s">
        <v>30</v>
      </c>
      <c r="O33" s="4" t="s">
        <v>41</v>
      </c>
      <c r="P33" s="4"/>
      <c r="Q33" s="4"/>
    </row>
    <row r="34" spans="1:17" ht="25.5">
      <c r="A34" s="3">
        <v>30</v>
      </c>
      <c r="B34" s="3" t="s">
        <v>155</v>
      </c>
      <c r="C34" s="4" t="s">
        <v>20</v>
      </c>
      <c r="D34" s="4" t="s">
        <v>127</v>
      </c>
      <c r="E34" s="4" t="s">
        <v>156</v>
      </c>
      <c r="F34" s="4" t="s">
        <v>157</v>
      </c>
      <c r="G34" s="4" t="s">
        <v>158</v>
      </c>
      <c r="H34" s="4" t="s">
        <v>159</v>
      </c>
      <c r="I34" s="4" t="s">
        <v>118</v>
      </c>
      <c r="J34" s="4"/>
      <c r="K34" s="4" t="s">
        <v>27</v>
      </c>
      <c r="L34" s="4" t="s">
        <v>71</v>
      </c>
      <c r="M34" s="4" t="s">
        <v>125</v>
      </c>
      <c r="N34" s="4" t="s">
        <v>30</v>
      </c>
      <c r="O34" s="4" t="s">
        <v>41</v>
      </c>
      <c r="P34" s="4"/>
      <c r="Q34" s="4"/>
    </row>
    <row r="35" spans="1:17" ht="25.5">
      <c r="A35" s="3">
        <v>31</v>
      </c>
      <c r="B35" s="3" t="s">
        <v>160</v>
      </c>
      <c r="C35" s="4" t="s">
        <v>161</v>
      </c>
      <c r="D35" s="4" t="s">
        <v>162</v>
      </c>
      <c r="E35" s="4" t="s">
        <v>163</v>
      </c>
      <c r="F35" s="4" t="s">
        <v>164</v>
      </c>
      <c r="G35" s="4" t="s">
        <v>165</v>
      </c>
      <c r="H35" s="4" t="s">
        <v>166</v>
      </c>
      <c r="I35" s="4" t="s">
        <v>52</v>
      </c>
      <c r="J35" s="4"/>
      <c r="K35" s="4" t="s">
        <v>167</v>
      </c>
      <c r="L35" s="4" t="s">
        <v>28</v>
      </c>
      <c r="M35" s="4" t="s">
        <v>29</v>
      </c>
      <c r="N35" s="4" t="s">
        <v>30</v>
      </c>
      <c r="O35" s="4" t="s">
        <v>31</v>
      </c>
      <c r="P35" s="4" t="s">
        <v>54</v>
      </c>
      <c r="Q35" s="4"/>
    </row>
    <row r="36" spans="1:17" ht="25.5">
      <c r="A36" s="3">
        <v>32</v>
      </c>
      <c r="B36" s="3" t="s">
        <v>168</v>
      </c>
      <c r="C36" s="4" t="s">
        <v>161</v>
      </c>
      <c r="D36" s="4" t="s">
        <v>162</v>
      </c>
      <c r="E36" s="4" t="s">
        <v>163</v>
      </c>
      <c r="F36" s="4" t="s">
        <v>169</v>
      </c>
      <c r="G36" s="4" t="s">
        <v>170</v>
      </c>
      <c r="H36" s="4" t="s">
        <v>166</v>
      </c>
      <c r="I36" s="4" t="s">
        <v>52</v>
      </c>
      <c r="J36" s="4"/>
      <c r="K36" s="4" t="s">
        <v>167</v>
      </c>
      <c r="L36" s="4" t="s">
        <v>28</v>
      </c>
      <c r="M36" s="4" t="s">
        <v>29</v>
      </c>
      <c r="N36" s="4" t="s">
        <v>30</v>
      </c>
      <c r="O36" s="4" t="s">
        <v>31</v>
      </c>
      <c r="P36" s="4" t="s">
        <v>58</v>
      </c>
      <c r="Q36" s="4"/>
    </row>
    <row r="37" spans="1:17" ht="25.5">
      <c r="A37" s="3">
        <v>33</v>
      </c>
      <c r="B37" s="3" t="s">
        <v>171</v>
      </c>
      <c r="C37" s="4" t="s">
        <v>161</v>
      </c>
      <c r="D37" s="4" t="s">
        <v>162</v>
      </c>
      <c r="E37" s="4" t="s">
        <v>163</v>
      </c>
      <c r="F37" s="4" t="s">
        <v>172</v>
      </c>
      <c r="G37" s="4" t="s">
        <v>173</v>
      </c>
      <c r="H37" s="4" t="s">
        <v>166</v>
      </c>
      <c r="I37" s="4" t="s">
        <v>52</v>
      </c>
      <c r="J37" s="4"/>
      <c r="K37" s="4" t="s">
        <v>167</v>
      </c>
      <c r="L37" s="4" t="s">
        <v>28</v>
      </c>
      <c r="M37" s="4" t="s">
        <v>29</v>
      </c>
      <c r="N37" s="4" t="s">
        <v>30</v>
      </c>
      <c r="O37" s="4" t="s">
        <v>31</v>
      </c>
      <c r="P37" s="4" t="s">
        <v>62</v>
      </c>
      <c r="Q37" s="4"/>
    </row>
    <row r="38" spans="1:17" ht="25.5">
      <c r="A38" s="3">
        <v>34</v>
      </c>
      <c r="B38" s="3" t="s">
        <v>174</v>
      </c>
      <c r="C38" s="4" t="s">
        <v>161</v>
      </c>
      <c r="D38" s="4" t="s">
        <v>162</v>
      </c>
      <c r="E38" s="4" t="s">
        <v>163</v>
      </c>
      <c r="F38" s="4" t="s">
        <v>175</v>
      </c>
      <c r="G38" s="4" t="s">
        <v>176</v>
      </c>
      <c r="H38" s="4" t="s">
        <v>166</v>
      </c>
      <c r="I38" s="4" t="s">
        <v>52</v>
      </c>
      <c r="J38" s="4"/>
      <c r="K38" s="4" t="s">
        <v>167</v>
      </c>
      <c r="L38" s="4" t="s">
        <v>28</v>
      </c>
      <c r="M38" s="4" t="s">
        <v>29</v>
      </c>
      <c r="N38" s="4" t="s">
        <v>30</v>
      </c>
      <c r="O38" s="4" t="s">
        <v>31</v>
      </c>
      <c r="P38" s="4" t="s">
        <v>66</v>
      </c>
      <c r="Q38" s="4"/>
    </row>
    <row r="39" spans="1:17" ht="25.5">
      <c r="A39" s="3">
        <v>35</v>
      </c>
      <c r="B39" s="3" t="s">
        <v>177</v>
      </c>
      <c r="C39" s="4" t="s">
        <v>161</v>
      </c>
      <c r="D39" s="4" t="s">
        <v>162</v>
      </c>
      <c r="E39" s="4" t="s">
        <v>163</v>
      </c>
      <c r="F39" s="4" t="s">
        <v>178</v>
      </c>
      <c r="G39" s="4" t="s">
        <v>179</v>
      </c>
      <c r="H39" s="4" t="s">
        <v>70</v>
      </c>
      <c r="I39" s="4" t="s">
        <v>52</v>
      </c>
      <c r="J39" s="4"/>
      <c r="K39" s="4" t="s">
        <v>167</v>
      </c>
      <c r="L39" s="4" t="s">
        <v>71</v>
      </c>
      <c r="M39" s="4" t="s">
        <v>29</v>
      </c>
      <c r="N39" s="4" t="s">
        <v>30</v>
      </c>
      <c r="O39" s="4" t="s">
        <v>31</v>
      </c>
      <c r="P39" s="4" t="s">
        <v>72</v>
      </c>
      <c r="Q39" s="4"/>
    </row>
    <row r="40" spans="1:17" ht="25.5">
      <c r="A40" s="3">
        <v>36</v>
      </c>
      <c r="B40" s="3" t="s">
        <v>180</v>
      </c>
      <c r="C40" s="4" t="s">
        <v>161</v>
      </c>
      <c r="D40" s="4" t="s">
        <v>162</v>
      </c>
      <c r="E40" s="4" t="s">
        <v>163</v>
      </c>
      <c r="F40" s="4" t="s">
        <v>181</v>
      </c>
      <c r="G40" s="4" t="s">
        <v>182</v>
      </c>
      <c r="H40" s="4" t="s">
        <v>76</v>
      </c>
      <c r="I40" s="4" t="s">
        <v>77</v>
      </c>
      <c r="J40" s="4"/>
      <c r="K40" s="4" t="s">
        <v>167</v>
      </c>
      <c r="L40" s="4" t="s">
        <v>28</v>
      </c>
      <c r="M40" s="4" t="s">
        <v>29</v>
      </c>
      <c r="N40" s="4" t="s">
        <v>30</v>
      </c>
      <c r="O40" s="4" t="s">
        <v>31</v>
      </c>
      <c r="P40" s="4" t="s">
        <v>78</v>
      </c>
      <c r="Q40" s="4"/>
    </row>
    <row r="41" spans="1:17" ht="38.25">
      <c r="A41" s="3">
        <v>37</v>
      </c>
      <c r="B41" s="3" t="s">
        <v>183</v>
      </c>
      <c r="C41" s="4" t="s">
        <v>161</v>
      </c>
      <c r="D41" s="4" t="s">
        <v>162</v>
      </c>
      <c r="E41" s="4" t="s">
        <v>184</v>
      </c>
      <c r="F41" s="4" t="s">
        <v>185</v>
      </c>
      <c r="G41" s="4" t="s">
        <v>186</v>
      </c>
      <c r="H41" s="4" t="s">
        <v>187</v>
      </c>
      <c r="I41" s="4" t="s">
        <v>52</v>
      </c>
      <c r="J41" s="4" t="s">
        <v>188</v>
      </c>
      <c r="K41" s="4" t="s">
        <v>167</v>
      </c>
      <c r="L41" s="4" t="s">
        <v>28</v>
      </c>
      <c r="M41" s="4" t="s">
        <v>29</v>
      </c>
      <c r="N41" s="4" t="s">
        <v>30</v>
      </c>
      <c r="O41" s="4" t="s">
        <v>41</v>
      </c>
      <c r="P41" s="4"/>
      <c r="Q41" s="4"/>
    </row>
    <row r="42" spans="1:17" ht="51">
      <c r="A42" s="3">
        <v>38</v>
      </c>
      <c r="B42" s="3" t="s">
        <v>189</v>
      </c>
      <c r="C42" s="4" t="s">
        <v>161</v>
      </c>
      <c r="D42" s="4" t="s">
        <v>162</v>
      </c>
      <c r="E42" s="4" t="s">
        <v>190</v>
      </c>
      <c r="F42" s="4" t="s">
        <v>191</v>
      </c>
      <c r="G42" s="4" t="s">
        <v>192</v>
      </c>
      <c r="H42" s="4" t="s">
        <v>193</v>
      </c>
      <c r="I42" s="4" t="s">
        <v>26</v>
      </c>
      <c r="J42" s="4" t="s">
        <v>188</v>
      </c>
      <c r="K42" s="4" t="s">
        <v>167</v>
      </c>
      <c r="L42" s="4" t="s">
        <v>28</v>
      </c>
      <c r="M42" s="4" t="s">
        <v>29</v>
      </c>
      <c r="N42" s="4" t="s">
        <v>30</v>
      </c>
      <c r="O42" s="4" t="s">
        <v>194</v>
      </c>
      <c r="P42" s="4"/>
      <c r="Q42" s="4"/>
    </row>
    <row r="43" spans="1:17" ht="25.5">
      <c r="A43" s="3">
        <v>39</v>
      </c>
      <c r="B43" s="3" t="s">
        <v>195</v>
      </c>
      <c r="C43" s="4" t="s">
        <v>161</v>
      </c>
      <c r="D43" s="4" t="s">
        <v>162</v>
      </c>
      <c r="E43" s="4" t="s">
        <v>196</v>
      </c>
      <c r="F43" s="4" t="s">
        <v>197</v>
      </c>
      <c r="G43" s="4" t="s">
        <v>198</v>
      </c>
      <c r="H43" s="4" t="s">
        <v>199</v>
      </c>
      <c r="I43" s="4" t="s">
        <v>200</v>
      </c>
      <c r="J43" s="4" t="s">
        <v>201</v>
      </c>
      <c r="K43" s="4" t="s">
        <v>167</v>
      </c>
      <c r="L43" s="4" t="s">
        <v>28</v>
      </c>
      <c r="M43" s="4" t="s">
        <v>29</v>
      </c>
      <c r="N43" s="4" t="s">
        <v>30</v>
      </c>
      <c r="O43" s="4" t="s">
        <v>202</v>
      </c>
      <c r="P43" s="4"/>
      <c r="Q43" s="4"/>
    </row>
    <row r="44" spans="1:17" ht="38.25">
      <c r="A44" s="3">
        <v>40</v>
      </c>
      <c r="B44" s="3" t="s">
        <v>203</v>
      </c>
      <c r="C44" s="4" t="s">
        <v>161</v>
      </c>
      <c r="D44" s="4" t="s">
        <v>162</v>
      </c>
      <c r="E44" s="4" t="s">
        <v>204</v>
      </c>
      <c r="F44" s="4" t="s">
        <v>205</v>
      </c>
      <c r="G44" s="4" t="s">
        <v>206</v>
      </c>
      <c r="H44" s="4" t="s">
        <v>207</v>
      </c>
      <c r="I44" s="4" t="s">
        <v>200</v>
      </c>
      <c r="J44" s="4" t="s">
        <v>208</v>
      </c>
      <c r="K44" s="4" t="s">
        <v>167</v>
      </c>
      <c r="L44" s="4" t="s">
        <v>28</v>
      </c>
      <c r="M44" s="4" t="s">
        <v>29</v>
      </c>
      <c r="N44" s="4" t="s">
        <v>209</v>
      </c>
      <c r="O44" s="4" t="s">
        <v>210</v>
      </c>
      <c r="P44" s="4"/>
      <c r="Q44" s="4"/>
    </row>
    <row r="45" spans="1:17" ht="25.5">
      <c r="A45" s="3">
        <v>41</v>
      </c>
      <c r="B45" s="3" t="s">
        <v>211</v>
      </c>
      <c r="C45" s="4" t="s">
        <v>161</v>
      </c>
      <c r="D45" s="4" t="s">
        <v>162</v>
      </c>
      <c r="E45" s="4" t="s">
        <v>212</v>
      </c>
      <c r="F45" s="4" t="s">
        <v>213</v>
      </c>
      <c r="G45" s="4" t="s">
        <v>214</v>
      </c>
      <c r="H45" s="4" t="s">
        <v>166</v>
      </c>
      <c r="I45" s="4" t="s">
        <v>52</v>
      </c>
      <c r="J45" s="4" t="s">
        <v>188</v>
      </c>
      <c r="K45" s="4" t="s">
        <v>167</v>
      </c>
      <c r="L45" s="4" t="s">
        <v>28</v>
      </c>
      <c r="M45" s="4" t="s">
        <v>29</v>
      </c>
      <c r="N45" s="4" t="s">
        <v>30</v>
      </c>
      <c r="O45" s="4" t="s">
        <v>41</v>
      </c>
      <c r="P45" s="4"/>
      <c r="Q45" s="4"/>
    </row>
    <row r="46" spans="1:17" ht="25.5">
      <c r="A46" s="3">
        <v>42</v>
      </c>
      <c r="B46" s="3" t="s">
        <v>215</v>
      </c>
      <c r="C46" s="4" t="s">
        <v>161</v>
      </c>
      <c r="D46" s="4" t="s">
        <v>162</v>
      </c>
      <c r="E46" s="4" t="s">
        <v>216</v>
      </c>
      <c r="F46" s="4" t="s">
        <v>217</v>
      </c>
      <c r="G46" s="4" t="s">
        <v>218</v>
      </c>
      <c r="H46" s="4" t="s">
        <v>219</v>
      </c>
      <c r="I46" s="4" t="s">
        <v>52</v>
      </c>
      <c r="J46" s="4"/>
      <c r="K46" s="4" t="s">
        <v>167</v>
      </c>
      <c r="L46" s="4" t="s">
        <v>28</v>
      </c>
      <c r="M46" s="4" t="s">
        <v>29</v>
      </c>
      <c r="N46" s="4" t="s">
        <v>30</v>
      </c>
      <c r="O46" s="4" t="s">
        <v>41</v>
      </c>
      <c r="P46" s="4"/>
      <c r="Q46" s="4"/>
    </row>
    <row r="47" spans="1:17" ht="25.5">
      <c r="A47" s="3">
        <v>43</v>
      </c>
      <c r="B47" s="3" t="s">
        <v>220</v>
      </c>
      <c r="C47" s="4" t="s">
        <v>161</v>
      </c>
      <c r="D47" s="4" t="s">
        <v>162</v>
      </c>
      <c r="E47" s="4" t="s">
        <v>221</v>
      </c>
      <c r="F47" s="4" t="s">
        <v>222</v>
      </c>
      <c r="G47" s="4" t="s">
        <v>223</v>
      </c>
      <c r="H47" s="4" t="s">
        <v>187</v>
      </c>
      <c r="I47" s="4" t="s">
        <v>83</v>
      </c>
      <c r="J47" s="4"/>
      <c r="K47" s="4" t="s">
        <v>167</v>
      </c>
      <c r="L47" s="4" t="s">
        <v>71</v>
      </c>
      <c r="M47" s="4" t="s">
        <v>29</v>
      </c>
      <c r="N47" s="4" t="s">
        <v>30</v>
      </c>
      <c r="O47" s="4" t="s">
        <v>41</v>
      </c>
      <c r="P47" s="4"/>
      <c r="Q47" s="4"/>
    </row>
    <row r="48" spans="1:17" ht="25.5">
      <c r="A48" s="3">
        <v>44</v>
      </c>
      <c r="B48" s="3" t="s">
        <v>224</v>
      </c>
      <c r="C48" s="4" t="s">
        <v>161</v>
      </c>
      <c r="D48" s="4" t="s">
        <v>162</v>
      </c>
      <c r="E48" s="4" t="s">
        <v>225</v>
      </c>
      <c r="F48" s="4" t="s">
        <v>226</v>
      </c>
      <c r="G48" s="4" t="s">
        <v>227</v>
      </c>
      <c r="H48" s="4" t="s">
        <v>228</v>
      </c>
      <c r="I48" s="4" t="s">
        <v>52</v>
      </c>
      <c r="J48" s="4"/>
      <c r="K48" s="4" t="s">
        <v>167</v>
      </c>
      <c r="L48" s="4" t="s">
        <v>71</v>
      </c>
      <c r="M48" s="4" t="s">
        <v>125</v>
      </c>
      <c r="N48" s="4" t="s">
        <v>30</v>
      </c>
      <c r="O48" s="4" t="s">
        <v>41</v>
      </c>
      <c r="P48" s="4"/>
      <c r="Q48" s="4"/>
    </row>
    <row r="49" spans="1:17" ht="25.5">
      <c r="A49" s="3">
        <v>45</v>
      </c>
      <c r="B49" s="3" t="s">
        <v>229</v>
      </c>
      <c r="C49" s="4" t="s">
        <v>161</v>
      </c>
      <c r="D49" s="4" t="s">
        <v>162</v>
      </c>
      <c r="E49" s="4" t="s">
        <v>230</v>
      </c>
      <c r="F49" s="4" t="s">
        <v>231</v>
      </c>
      <c r="G49" s="4" t="s">
        <v>232</v>
      </c>
      <c r="H49" s="4" t="s">
        <v>187</v>
      </c>
      <c r="I49" s="4" t="s">
        <v>52</v>
      </c>
      <c r="J49" s="4"/>
      <c r="K49" s="4" t="s">
        <v>167</v>
      </c>
      <c r="L49" s="4" t="s">
        <v>28</v>
      </c>
      <c r="M49" s="4" t="s">
        <v>29</v>
      </c>
      <c r="N49" s="4" t="s">
        <v>30</v>
      </c>
      <c r="O49" s="4" t="s">
        <v>41</v>
      </c>
      <c r="P49" s="4"/>
      <c r="Q49" s="4"/>
    </row>
    <row r="50" spans="1:17" ht="25.5">
      <c r="A50" s="3">
        <v>46</v>
      </c>
      <c r="B50" s="3" t="s">
        <v>233</v>
      </c>
      <c r="C50" s="4" t="s">
        <v>234</v>
      </c>
      <c r="D50" s="4" t="s">
        <v>235</v>
      </c>
      <c r="E50" s="4" t="s">
        <v>236</v>
      </c>
      <c r="F50" s="4" t="s">
        <v>237</v>
      </c>
      <c r="G50" s="4" t="s">
        <v>238</v>
      </c>
      <c r="H50" s="4" t="s">
        <v>239</v>
      </c>
      <c r="I50" s="4" t="s">
        <v>52</v>
      </c>
      <c r="J50" s="4" t="s">
        <v>240</v>
      </c>
      <c r="K50" s="4" t="s">
        <v>241</v>
      </c>
      <c r="L50" s="4" t="s">
        <v>28</v>
      </c>
      <c r="M50" s="4" t="s">
        <v>29</v>
      </c>
      <c r="N50" s="4" t="s">
        <v>30</v>
      </c>
      <c r="O50" s="4" t="s">
        <v>242</v>
      </c>
      <c r="P50" s="4" t="s">
        <v>54</v>
      </c>
      <c r="Q50" s="4"/>
    </row>
    <row r="51" spans="1:17" ht="25.5">
      <c r="A51" s="3">
        <v>47</v>
      </c>
      <c r="B51" s="3" t="s">
        <v>243</v>
      </c>
      <c r="C51" s="4" t="s">
        <v>234</v>
      </c>
      <c r="D51" s="4" t="s">
        <v>235</v>
      </c>
      <c r="E51" s="4" t="s">
        <v>236</v>
      </c>
      <c r="F51" s="4" t="s">
        <v>244</v>
      </c>
      <c r="G51" s="4" t="s">
        <v>245</v>
      </c>
      <c r="H51" s="4" t="s">
        <v>239</v>
      </c>
      <c r="I51" s="4" t="s">
        <v>52</v>
      </c>
      <c r="J51" s="4" t="s">
        <v>240</v>
      </c>
      <c r="K51" s="4" t="s">
        <v>241</v>
      </c>
      <c r="L51" s="4" t="s">
        <v>28</v>
      </c>
      <c r="M51" s="4" t="s">
        <v>29</v>
      </c>
      <c r="N51" s="4" t="s">
        <v>30</v>
      </c>
      <c r="O51" s="4" t="s">
        <v>242</v>
      </c>
      <c r="P51" s="4" t="s">
        <v>58</v>
      </c>
      <c r="Q51" s="4"/>
    </row>
    <row r="52" spans="1:17" ht="25.5">
      <c r="A52" s="3">
        <v>48</v>
      </c>
      <c r="B52" s="3" t="s">
        <v>246</v>
      </c>
      <c r="C52" s="4" t="s">
        <v>234</v>
      </c>
      <c r="D52" s="4" t="s">
        <v>235</v>
      </c>
      <c r="E52" s="4" t="s">
        <v>236</v>
      </c>
      <c r="F52" s="4" t="s">
        <v>247</v>
      </c>
      <c r="G52" s="4" t="s">
        <v>248</v>
      </c>
      <c r="H52" s="4" t="s">
        <v>239</v>
      </c>
      <c r="I52" s="4" t="s">
        <v>52</v>
      </c>
      <c r="J52" s="4" t="s">
        <v>240</v>
      </c>
      <c r="K52" s="4" t="s">
        <v>241</v>
      </c>
      <c r="L52" s="4" t="s">
        <v>28</v>
      </c>
      <c r="M52" s="4" t="s">
        <v>29</v>
      </c>
      <c r="N52" s="4" t="s">
        <v>30</v>
      </c>
      <c r="O52" s="4" t="s">
        <v>242</v>
      </c>
      <c r="P52" s="4" t="s">
        <v>62</v>
      </c>
      <c r="Q52" s="4"/>
    </row>
    <row r="53" spans="1:17" ht="25.5">
      <c r="A53" s="3">
        <v>49</v>
      </c>
      <c r="B53" s="3" t="s">
        <v>249</v>
      </c>
      <c r="C53" s="4" t="s">
        <v>234</v>
      </c>
      <c r="D53" s="4" t="s">
        <v>235</v>
      </c>
      <c r="E53" s="4" t="s">
        <v>236</v>
      </c>
      <c r="F53" s="4" t="s">
        <v>250</v>
      </c>
      <c r="G53" s="4" t="s">
        <v>251</v>
      </c>
      <c r="H53" s="4" t="s">
        <v>239</v>
      </c>
      <c r="I53" s="4" t="s">
        <v>52</v>
      </c>
      <c r="J53" s="4" t="s">
        <v>240</v>
      </c>
      <c r="K53" s="4" t="s">
        <v>241</v>
      </c>
      <c r="L53" s="4" t="s">
        <v>28</v>
      </c>
      <c r="M53" s="4" t="s">
        <v>29</v>
      </c>
      <c r="N53" s="4" t="s">
        <v>30</v>
      </c>
      <c r="O53" s="4" t="s">
        <v>242</v>
      </c>
      <c r="P53" s="4" t="s">
        <v>66</v>
      </c>
      <c r="Q53" s="4"/>
    </row>
    <row r="54" spans="1:17" ht="25.5">
      <c r="A54" s="3">
        <v>50</v>
      </c>
      <c r="B54" s="3" t="s">
        <v>252</v>
      </c>
      <c r="C54" s="4" t="s">
        <v>234</v>
      </c>
      <c r="D54" s="4" t="s">
        <v>235</v>
      </c>
      <c r="E54" s="4" t="s">
        <v>236</v>
      </c>
      <c r="F54" s="4" t="s">
        <v>253</v>
      </c>
      <c r="G54" s="4" t="s">
        <v>254</v>
      </c>
      <c r="H54" s="4" t="s">
        <v>70</v>
      </c>
      <c r="I54" s="4" t="s">
        <v>52</v>
      </c>
      <c r="J54" s="4" t="s">
        <v>240</v>
      </c>
      <c r="K54" s="4" t="s">
        <v>241</v>
      </c>
      <c r="L54" s="4" t="s">
        <v>71</v>
      </c>
      <c r="M54" s="4" t="s">
        <v>29</v>
      </c>
      <c r="N54" s="4" t="s">
        <v>30</v>
      </c>
      <c r="O54" s="4" t="s">
        <v>242</v>
      </c>
      <c r="P54" s="4" t="s">
        <v>72</v>
      </c>
      <c r="Q54" s="4"/>
    </row>
    <row r="55" spans="1:17" ht="25.5">
      <c r="A55" s="3">
        <v>51</v>
      </c>
      <c r="B55" s="3" t="s">
        <v>255</v>
      </c>
      <c r="C55" s="4" t="s">
        <v>234</v>
      </c>
      <c r="D55" s="4" t="s">
        <v>235</v>
      </c>
      <c r="E55" s="4" t="s">
        <v>236</v>
      </c>
      <c r="F55" s="4" t="s">
        <v>256</v>
      </c>
      <c r="G55" s="4" t="s">
        <v>257</v>
      </c>
      <c r="H55" s="4" t="s">
        <v>258</v>
      </c>
      <c r="I55" s="4" t="s">
        <v>200</v>
      </c>
      <c r="J55" s="4" t="s">
        <v>240</v>
      </c>
      <c r="K55" s="4" t="s">
        <v>241</v>
      </c>
      <c r="L55" s="4" t="s">
        <v>28</v>
      </c>
      <c r="M55" s="4" t="s">
        <v>29</v>
      </c>
      <c r="N55" s="4" t="s">
        <v>30</v>
      </c>
      <c r="O55" s="4" t="s">
        <v>242</v>
      </c>
      <c r="P55" s="4" t="s">
        <v>259</v>
      </c>
      <c r="Q55" s="4"/>
    </row>
    <row r="56" spans="1:17" ht="25.5">
      <c r="A56" s="3">
        <v>52</v>
      </c>
      <c r="B56" s="3" t="s">
        <v>260</v>
      </c>
      <c r="C56" s="4" t="s">
        <v>234</v>
      </c>
      <c r="D56" s="4" t="s">
        <v>235</v>
      </c>
      <c r="E56" s="4" t="s">
        <v>236</v>
      </c>
      <c r="F56" s="4" t="s">
        <v>261</v>
      </c>
      <c r="G56" s="4" t="s">
        <v>262</v>
      </c>
      <c r="H56" s="4" t="s">
        <v>76</v>
      </c>
      <c r="I56" s="4" t="s">
        <v>77</v>
      </c>
      <c r="J56" s="4" t="s">
        <v>240</v>
      </c>
      <c r="K56" s="4" t="s">
        <v>241</v>
      </c>
      <c r="L56" s="4" t="s">
        <v>28</v>
      </c>
      <c r="M56" s="4" t="s">
        <v>29</v>
      </c>
      <c r="N56" s="4" t="s">
        <v>30</v>
      </c>
      <c r="O56" s="4" t="s">
        <v>242</v>
      </c>
      <c r="P56" s="4" t="s">
        <v>78</v>
      </c>
      <c r="Q56" s="4"/>
    </row>
    <row r="57" spans="1:17" ht="25.5">
      <c r="A57" s="3">
        <v>53</v>
      </c>
      <c r="B57" s="3" t="s">
        <v>263</v>
      </c>
      <c r="C57" s="4" t="s">
        <v>234</v>
      </c>
      <c r="D57" s="4" t="s">
        <v>235</v>
      </c>
      <c r="E57" s="4" t="s">
        <v>264</v>
      </c>
      <c r="F57" s="4" t="s">
        <v>265</v>
      </c>
      <c r="G57" s="4" t="s">
        <v>266</v>
      </c>
      <c r="H57" s="4" t="s">
        <v>267</v>
      </c>
      <c r="I57" s="4" t="s">
        <v>52</v>
      </c>
      <c r="J57" s="4" t="s">
        <v>268</v>
      </c>
      <c r="K57" s="4" t="s">
        <v>241</v>
      </c>
      <c r="L57" s="4" t="s">
        <v>28</v>
      </c>
      <c r="M57" s="4" t="s">
        <v>29</v>
      </c>
      <c r="N57" s="4" t="s">
        <v>30</v>
      </c>
      <c r="O57" s="4" t="s">
        <v>41</v>
      </c>
      <c r="P57" s="4"/>
      <c r="Q57" s="4"/>
    </row>
    <row r="58" spans="1:17" ht="25.5">
      <c r="A58" s="3">
        <v>54</v>
      </c>
      <c r="B58" s="3" t="s">
        <v>269</v>
      </c>
      <c r="C58" s="4" t="s">
        <v>234</v>
      </c>
      <c r="D58" s="4" t="s">
        <v>235</v>
      </c>
      <c r="E58" s="4" t="s">
        <v>270</v>
      </c>
      <c r="F58" s="4" t="s">
        <v>271</v>
      </c>
      <c r="G58" s="4" t="s">
        <v>272</v>
      </c>
      <c r="H58" s="4" t="s">
        <v>267</v>
      </c>
      <c r="I58" s="4" t="s">
        <v>52</v>
      </c>
      <c r="J58" s="4" t="s">
        <v>268</v>
      </c>
      <c r="K58" s="4" t="s">
        <v>241</v>
      </c>
      <c r="L58" s="4" t="s">
        <v>28</v>
      </c>
      <c r="M58" s="4" t="s">
        <v>29</v>
      </c>
      <c r="N58" s="4" t="s">
        <v>30</v>
      </c>
      <c r="O58" s="4" t="s">
        <v>41</v>
      </c>
      <c r="P58" s="4"/>
      <c r="Q58" s="4"/>
    </row>
    <row r="59" spans="1:17" ht="38.25">
      <c r="A59" s="3">
        <v>55</v>
      </c>
      <c r="B59" s="3" t="s">
        <v>273</v>
      </c>
      <c r="C59" s="4" t="s">
        <v>234</v>
      </c>
      <c r="D59" s="4" t="s">
        <v>235</v>
      </c>
      <c r="E59" s="4" t="s">
        <v>274</v>
      </c>
      <c r="F59" s="4" t="s">
        <v>275</v>
      </c>
      <c r="G59" s="4" t="s">
        <v>276</v>
      </c>
      <c r="H59" s="4" t="s">
        <v>277</v>
      </c>
      <c r="I59" s="4" t="s">
        <v>200</v>
      </c>
      <c r="J59" s="4" t="s">
        <v>268</v>
      </c>
      <c r="K59" s="4" t="s">
        <v>241</v>
      </c>
      <c r="L59" s="4" t="s">
        <v>28</v>
      </c>
      <c r="M59" s="4" t="s">
        <v>29</v>
      </c>
      <c r="N59" s="4" t="s">
        <v>209</v>
      </c>
      <c r="O59" s="4" t="s">
        <v>278</v>
      </c>
      <c r="P59" s="4"/>
      <c r="Q59" s="4"/>
    </row>
    <row r="60" spans="1:17" ht="25.5">
      <c r="A60" s="3">
        <v>56</v>
      </c>
      <c r="B60" s="3" t="s">
        <v>279</v>
      </c>
      <c r="C60" s="4" t="s">
        <v>234</v>
      </c>
      <c r="D60" s="4" t="s">
        <v>280</v>
      </c>
      <c r="E60" s="4" t="s">
        <v>281</v>
      </c>
      <c r="F60" s="4" t="s">
        <v>282</v>
      </c>
      <c r="G60" s="4" t="s">
        <v>283</v>
      </c>
      <c r="H60" s="4" t="s">
        <v>284</v>
      </c>
      <c r="I60" s="4" t="s">
        <v>52</v>
      </c>
      <c r="J60" s="4" t="s">
        <v>285</v>
      </c>
      <c r="K60" s="4" t="s">
        <v>241</v>
      </c>
      <c r="L60" s="4" t="s">
        <v>28</v>
      </c>
      <c r="M60" s="4" t="s">
        <v>29</v>
      </c>
      <c r="N60" s="4" t="s">
        <v>30</v>
      </c>
      <c r="O60" s="4" t="s">
        <v>242</v>
      </c>
      <c r="P60" s="4" t="s">
        <v>54</v>
      </c>
      <c r="Q60" s="4"/>
    </row>
    <row r="61" spans="1:17" ht="25.5">
      <c r="A61" s="3">
        <v>57</v>
      </c>
      <c r="B61" s="3" t="s">
        <v>286</v>
      </c>
      <c r="C61" s="4" t="s">
        <v>234</v>
      </c>
      <c r="D61" s="4" t="s">
        <v>280</v>
      </c>
      <c r="E61" s="4" t="s">
        <v>281</v>
      </c>
      <c r="F61" s="4" t="s">
        <v>287</v>
      </c>
      <c r="G61" s="4" t="s">
        <v>288</v>
      </c>
      <c r="H61" s="4" t="s">
        <v>284</v>
      </c>
      <c r="I61" s="4" t="s">
        <v>52</v>
      </c>
      <c r="J61" s="4" t="s">
        <v>285</v>
      </c>
      <c r="K61" s="4" t="s">
        <v>241</v>
      </c>
      <c r="L61" s="4" t="s">
        <v>28</v>
      </c>
      <c r="M61" s="4" t="s">
        <v>29</v>
      </c>
      <c r="N61" s="4" t="s">
        <v>30</v>
      </c>
      <c r="O61" s="4" t="s">
        <v>242</v>
      </c>
      <c r="P61" s="4" t="s">
        <v>58</v>
      </c>
      <c r="Q61" s="4"/>
    </row>
    <row r="62" spans="1:17" ht="25.5">
      <c r="A62" s="3">
        <v>58</v>
      </c>
      <c r="B62" s="3" t="s">
        <v>289</v>
      </c>
      <c r="C62" s="4" t="s">
        <v>234</v>
      </c>
      <c r="D62" s="4" t="s">
        <v>280</v>
      </c>
      <c r="E62" s="4" t="s">
        <v>281</v>
      </c>
      <c r="F62" s="4" t="s">
        <v>290</v>
      </c>
      <c r="G62" s="4" t="s">
        <v>291</v>
      </c>
      <c r="H62" s="4" t="s">
        <v>284</v>
      </c>
      <c r="I62" s="4" t="s">
        <v>52</v>
      </c>
      <c r="J62" s="4" t="s">
        <v>285</v>
      </c>
      <c r="K62" s="4" t="s">
        <v>241</v>
      </c>
      <c r="L62" s="4" t="s">
        <v>28</v>
      </c>
      <c r="M62" s="4" t="s">
        <v>29</v>
      </c>
      <c r="N62" s="4" t="s">
        <v>30</v>
      </c>
      <c r="O62" s="4" t="s">
        <v>242</v>
      </c>
      <c r="P62" s="4" t="s">
        <v>62</v>
      </c>
      <c r="Q62" s="4"/>
    </row>
    <row r="63" spans="1:17" ht="38.25">
      <c r="A63" s="3">
        <v>59</v>
      </c>
      <c r="B63" s="3" t="s">
        <v>292</v>
      </c>
      <c r="C63" s="4" t="s">
        <v>234</v>
      </c>
      <c r="D63" s="4" t="s">
        <v>280</v>
      </c>
      <c r="E63" s="4" t="s">
        <v>281</v>
      </c>
      <c r="F63" s="4" t="s">
        <v>293</v>
      </c>
      <c r="G63" s="4" t="s">
        <v>294</v>
      </c>
      <c r="H63" s="4" t="s">
        <v>284</v>
      </c>
      <c r="I63" s="4" t="s">
        <v>52</v>
      </c>
      <c r="J63" s="4" t="s">
        <v>285</v>
      </c>
      <c r="K63" s="4" t="s">
        <v>241</v>
      </c>
      <c r="L63" s="4" t="s">
        <v>28</v>
      </c>
      <c r="M63" s="4" t="s">
        <v>29</v>
      </c>
      <c r="N63" s="4" t="s">
        <v>30</v>
      </c>
      <c r="O63" s="4" t="s">
        <v>242</v>
      </c>
      <c r="P63" s="4" t="s">
        <v>66</v>
      </c>
      <c r="Q63" s="4"/>
    </row>
    <row r="64" spans="1:17" ht="25.5">
      <c r="A64" s="3">
        <v>60</v>
      </c>
      <c r="B64" s="3" t="s">
        <v>295</v>
      </c>
      <c r="C64" s="4" t="s">
        <v>234</v>
      </c>
      <c r="D64" s="4" t="s">
        <v>280</v>
      </c>
      <c r="E64" s="4" t="s">
        <v>281</v>
      </c>
      <c r="F64" s="4" t="s">
        <v>296</v>
      </c>
      <c r="G64" s="4" t="s">
        <v>297</v>
      </c>
      <c r="H64" s="4" t="s">
        <v>70</v>
      </c>
      <c r="I64" s="4" t="s">
        <v>52</v>
      </c>
      <c r="J64" s="4" t="s">
        <v>285</v>
      </c>
      <c r="K64" s="4" t="s">
        <v>241</v>
      </c>
      <c r="L64" s="4" t="s">
        <v>71</v>
      </c>
      <c r="M64" s="4" t="s">
        <v>29</v>
      </c>
      <c r="N64" s="4" t="s">
        <v>30</v>
      </c>
      <c r="O64" s="4" t="s">
        <v>242</v>
      </c>
      <c r="P64" s="4" t="s">
        <v>72</v>
      </c>
      <c r="Q64" s="4"/>
    </row>
    <row r="65" spans="1:17" ht="25.5">
      <c r="A65" s="3">
        <v>61</v>
      </c>
      <c r="B65" s="3" t="s">
        <v>298</v>
      </c>
      <c r="C65" s="4" t="s">
        <v>234</v>
      </c>
      <c r="D65" s="4" t="s">
        <v>280</v>
      </c>
      <c r="E65" s="4" t="s">
        <v>281</v>
      </c>
      <c r="F65" s="4" t="s">
        <v>299</v>
      </c>
      <c r="G65" s="4" t="s">
        <v>300</v>
      </c>
      <c r="H65" s="4" t="s">
        <v>258</v>
      </c>
      <c r="I65" s="4" t="s">
        <v>200</v>
      </c>
      <c r="J65" s="4" t="s">
        <v>285</v>
      </c>
      <c r="K65" s="4" t="s">
        <v>241</v>
      </c>
      <c r="L65" s="4" t="s">
        <v>28</v>
      </c>
      <c r="M65" s="4" t="s">
        <v>29</v>
      </c>
      <c r="N65" s="4" t="s">
        <v>30</v>
      </c>
      <c r="O65" s="4" t="s">
        <v>242</v>
      </c>
      <c r="P65" s="4" t="s">
        <v>259</v>
      </c>
      <c r="Q65" s="4"/>
    </row>
    <row r="66" spans="1:17" ht="25.5">
      <c r="A66" s="3">
        <v>62</v>
      </c>
      <c r="B66" s="3" t="s">
        <v>301</v>
      </c>
      <c r="C66" s="4" t="s">
        <v>234</v>
      </c>
      <c r="D66" s="4" t="s">
        <v>280</v>
      </c>
      <c r="E66" s="4" t="s">
        <v>281</v>
      </c>
      <c r="F66" s="4" t="s">
        <v>302</v>
      </c>
      <c r="G66" s="4" t="s">
        <v>303</v>
      </c>
      <c r="H66" s="4" t="s">
        <v>76</v>
      </c>
      <c r="I66" s="4" t="s">
        <v>77</v>
      </c>
      <c r="J66" s="4" t="s">
        <v>285</v>
      </c>
      <c r="K66" s="4" t="s">
        <v>241</v>
      </c>
      <c r="L66" s="4" t="s">
        <v>28</v>
      </c>
      <c r="M66" s="4" t="s">
        <v>29</v>
      </c>
      <c r="N66" s="4" t="s">
        <v>30</v>
      </c>
      <c r="O66" s="4" t="s">
        <v>242</v>
      </c>
      <c r="P66" s="4" t="s">
        <v>78</v>
      </c>
      <c r="Q66" s="4"/>
    </row>
    <row r="67" spans="1:17" ht="25.5">
      <c r="A67" s="3">
        <v>63</v>
      </c>
      <c r="B67" s="3" t="s">
        <v>304</v>
      </c>
      <c r="C67" s="4" t="s">
        <v>234</v>
      </c>
      <c r="D67" s="4" t="s">
        <v>280</v>
      </c>
      <c r="E67" s="4" t="s">
        <v>305</v>
      </c>
      <c r="F67" s="4" t="s">
        <v>306</v>
      </c>
      <c r="G67" s="4" t="s">
        <v>307</v>
      </c>
      <c r="H67" s="4" t="s">
        <v>308</v>
      </c>
      <c r="I67" s="4" t="s">
        <v>52</v>
      </c>
      <c r="J67" s="4" t="s">
        <v>309</v>
      </c>
      <c r="K67" s="4" t="s">
        <v>241</v>
      </c>
      <c r="L67" s="4" t="s">
        <v>28</v>
      </c>
      <c r="M67" s="4" t="s">
        <v>29</v>
      </c>
      <c r="N67" s="4" t="s">
        <v>30</v>
      </c>
      <c r="O67" s="4" t="s">
        <v>41</v>
      </c>
      <c r="P67" s="4"/>
      <c r="Q67" s="4"/>
    </row>
    <row r="68" spans="1:17" ht="25.5">
      <c r="A68" s="3">
        <v>64</v>
      </c>
      <c r="B68" s="3" t="s">
        <v>310</v>
      </c>
      <c r="C68" s="4" t="s">
        <v>234</v>
      </c>
      <c r="D68" s="4" t="s">
        <v>280</v>
      </c>
      <c r="E68" s="4" t="s">
        <v>311</v>
      </c>
      <c r="F68" s="4" t="s">
        <v>312</v>
      </c>
      <c r="G68" s="4" t="s">
        <v>313</v>
      </c>
      <c r="H68" s="4" t="s">
        <v>314</v>
      </c>
      <c r="I68" s="4" t="s">
        <v>52</v>
      </c>
      <c r="J68" s="4" t="s">
        <v>309</v>
      </c>
      <c r="K68" s="4" t="s">
        <v>241</v>
      </c>
      <c r="L68" s="4" t="s">
        <v>28</v>
      </c>
      <c r="M68" s="4" t="s">
        <v>29</v>
      </c>
      <c r="N68" s="4" t="s">
        <v>30</v>
      </c>
      <c r="O68" s="4" t="s">
        <v>41</v>
      </c>
      <c r="P68" s="4"/>
      <c r="Q68" s="4"/>
    </row>
    <row r="69" spans="1:17" ht="25.5">
      <c r="A69" s="3">
        <v>65</v>
      </c>
      <c r="B69" s="3" t="s">
        <v>315</v>
      </c>
      <c r="C69" s="4" t="s">
        <v>234</v>
      </c>
      <c r="D69" s="4" t="s">
        <v>280</v>
      </c>
      <c r="E69" s="4" t="s">
        <v>316</v>
      </c>
      <c r="F69" s="4" t="s">
        <v>317</v>
      </c>
      <c r="G69" s="4" t="s">
        <v>318</v>
      </c>
      <c r="H69" s="4" t="s">
        <v>319</v>
      </c>
      <c r="I69" s="4" t="s">
        <v>200</v>
      </c>
      <c r="J69" s="4" t="s">
        <v>309</v>
      </c>
      <c r="K69" s="4" t="s">
        <v>241</v>
      </c>
      <c r="L69" s="4" t="s">
        <v>28</v>
      </c>
      <c r="M69" s="4" t="s">
        <v>29</v>
      </c>
      <c r="N69" s="4" t="s">
        <v>30</v>
      </c>
      <c r="O69" s="4" t="s">
        <v>41</v>
      </c>
      <c r="P69" s="4"/>
      <c r="Q69" s="4"/>
    </row>
    <row r="70" spans="1:17" ht="38.25">
      <c r="A70" s="3">
        <v>66</v>
      </c>
      <c r="B70" s="3" t="s">
        <v>320</v>
      </c>
      <c r="C70" s="4" t="s">
        <v>234</v>
      </c>
      <c r="D70" s="4" t="s">
        <v>280</v>
      </c>
      <c r="E70" s="4" t="s">
        <v>274</v>
      </c>
      <c r="F70" s="4" t="s">
        <v>321</v>
      </c>
      <c r="G70" s="4" t="s">
        <v>322</v>
      </c>
      <c r="H70" s="4" t="s">
        <v>277</v>
      </c>
      <c r="I70" s="4" t="s">
        <v>200</v>
      </c>
      <c r="J70" s="4" t="s">
        <v>309</v>
      </c>
      <c r="K70" s="4" t="s">
        <v>241</v>
      </c>
      <c r="L70" s="4" t="s">
        <v>28</v>
      </c>
      <c r="M70" s="4" t="s">
        <v>29</v>
      </c>
      <c r="N70" s="4" t="s">
        <v>209</v>
      </c>
      <c r="O70" s="4" t="s">
        <v>278</v>
      </c>
      <c r="P70" s="4"/>
      <c r="Q70" s="4"/>
    </row>
    <row r="71" spans="1:17" ht="25.5">
      <c r="A71" s="3">
        <v>67</v>
      </c>
      <c r="B71" s="3" t="s">
        <v>323</v>
      </c>
      <c r="C71" s="4" t="s">
        <v>324</v>
      </c>
      <c r="D71" s="4" t="s">
        <v>325</v>
      </c>
      <c r="E71" s="4" t="s">
        <v>326</v>
      </c>
      <c r="F71" s="4" t="s">
        <v>327</v>
      </c>
      <c r="G71" s="4" t="s">
        <v>328</v>
      </c>
      <c r="H71" s="4" t="s">
        <v>329</v>
      </c>
      <c r="I71" s="4" t="s">
        <v>200</v>
      </c>
      <c r="J71" s="4"/>
      <c r="K71" s="4" t="s">
        <v>330</v>
      </c>
      <c r="L71" s="4" t="s">
        <v>28</v>
      </c>
      <c r="M71" s="4" t="s">
        <v>29</v>
      </c>
      <c r="N71" s="4" t="s">
        <v>30</v>
      </c>
      <c r="O71" s="4" t="s">
        <v>31</v>
      </c>
      <c r="P71" s="4"/>
      <c r="Q71" s="4"/>
    </row>
    <row r="72" spans="1:17" ht="25.5">
      <c r="A72" s="3">
        <v>68</v>
      </c>
      <c r="B72" s="3" t="s">
        <v>331</v>
      </c>
      <c r="C72" s="4" t="s">
        <v>324</v>
      </c>
      <c r="D72" s="4" t="s">
        <v>325</v>
      </c>
      <c r="E72" s="4" t="s">
        <v>326</v>
      </c>
      <c r="F72" s="4" t="s">
        <v>332</v>
      </c>
      <c r="G72" s="4" t="s">
        <v>333</v>
      </c>
      <c r="H72" s="4" t="s">
        <v>329</v>
      </c>
      <c r="I72" s="4" t="s">
        <v>200</v>
      </c>
      <c r="J72" s="4"/>
      <c r="K72" s="4" t="s">
        <v>330</v>
      </c>
      <c r="L72" s="4" t="s">
        <v>28</v>
      </c>
      <c r="M72" s="4" t="s">
        <v>29</v>
      </c>
      <c r="N72" s="4" t="s">
        <v>30</v>
      </c>
      <c r="O72" s="4" t="s">
        <v>41</v>
      </c>
      <c r="P72" s="4"/>
      <c r="Q72" s="4"/>
    </row>
    <row r="73" spans="1:17" ht="25.5">
      <c r="A73" s="3">
        <v>69</v>
      </c>
      <c r="B73" s="3" t="s">
        <v>334</v>
      </c>
      <c r="C73" s="4" t="s">
        <v>324</v>
      </c>
      <c r="D73" s="4" t="s">
        <v>325</v>
      </c>
      <c r="E73" s="4" t="s">
        <v>335</v>
      </c>
      <c r="F73" s="4" t="s">
        <v>336</v>
      </c>
      <c r="G73" s="4" t="s">
        <v>337</v>
      </c>
      <c r="H73" s="4" t="s">
        <v>338</v>
      </c>
      <c r="I73" s="4" t="s">
        <v>200</v>
      </c>
      <c r="J73" s="4"/>
      <c r="K73" s="4" t="s">
        <v>330</v>
      </c>
      <c r="L73" s="4" t="s">
        <v>28</v>
      </c>
      <c r="M73" s="4" t="s">
        <v>29</v>
      </c>
      <c r="N73" s="4" t="s">
        <v>30</v>
      </c>
      <c r="O73" s="4" t="s">
        <v>41</v>
      </c>
      <c r="P73" s="4"/>
      <c r="Q73" s="4"/>
    </row>
    <row r="74" spans="1:17">
      <c r="A74" s="3">
        <v>70</v>
      </c>
      <c r="B74" s="3" t="s">
        <v>339</v>
      </c>
      <c r="C74" s="4" t="s">
        <v>324</v>
      </c>
      <c r="D74" s="4" t="s">
        <v>340</v>
      </c>
      <c r="E74" s="4" t="s">
        <v>341</v>
      </c>
      <c r="F74" s="4" t="s">
        <v>342</v>
      </c>
      <c r="G74" s="4" t="s">
        <v>343</v>
      </c>
      <c r="H74" s="4" t="s">
        <v>344</v>
      </c>
      <c r="I74" s="4" t="s">
        <v>200</v>
      </c>
      <c r="J74" s="4"/>
      <c r="K74" s="4" t="s">
        <v>345</v>
      </c>
      <c r="L74" s="4" t="s">
        <v>28</v>
      </c>
      <c r="M74" s="4" t="s">
        <v>29</v>
      </c>
      <c r="N74" s="4" t="s">
        <v>30</v>
      </c>
      <c r="O74" s="4" t="s">
        <v>41</v>
      </c>
      <c r="P74" s="4"/>
      <c r="Q74" s="4"/>
    </row>
    <row r="75" spans="1:17">
      <c r="A75" s="3">
        <v>71</v>
      </c>
      <c r="B75" s="3" t="s">
        <v>346</v>
      </c>
      <c r="C75" s="4" t="s">
        <v>324</v>
      </c>
      <c r="D75" s="4" t="s">
        <v>340</v>
      </c>
      <c r="E75" s="4" t="s">
        <v>341</v>
      </c>
      <c r="F75" s="4" t="s">
        <v>347</v>
      </c>
      <c r="G75" s="4" t="s">
        <v>348</v>
      </c>
      <c r="H75" s="4" t="s">
        <v>344</v>
      </c>
      <c r="I75" s="4" t="s">
        <v>200</v>
      </c>
      <c r="J75" s="4"/>
      <c r="K75" s="4" t="s">
        <v>345</v>
      </c>
      <c r="L75" s="4" t="s">
        <v>28</v>
      </c>
      <c r="M75" s="4" t="s">
        <v>29</v>
      </c>
      <c r="N75" s="4" t="s">
        <v>30</v>
      </c>
      <c r="O75" s="4" t="s">
        <v>41</v>
      </c>
      <c r="P75" s="4"/>
      <c r="Q75" s="4"/>
    </row>
    <row r="76" spans="1:17" ht="25.5">
      <c r="A76" s="3">
        <v>72</v>
      </c>
      <c r="B76" s="3" t="s">
        <v>349</v>
      </c>
      <c r="C76" s="4" t="s">
        <v>324</v>
      </c>
      <c r="D76" s="4" t="s">
        <v>340</v>
      </c>
      <c r="E76" s="4" t="s">
        <v>341</v>
      </c>
      <c r="F76" s="4" t="s">
        <v>350</v>
      </c>
      <c r="G76" s="4" t="s">
        <v>351</v>
      </c>
      <c r="H76" s="4" t="s">
        <v>344</v>
      </c>
      <c r="I76" s="4" t="s">
        <v>200</v>
      </c>
      <c r="J76" s="4"/>
      <c r="K76" s="4" t="s">
        <v>345</v>
      </c>
      <c r="L76" s="4" t="s">
        <v>28</v>
      </c>
      <c r="M76" s="4" t="s">
        <v>29</v>
      </c>
      <c r="N76" s="4" t="s">
        <v>30</v>
      </c>
      <c r="O76" s="4" t="s">
        <v>41</v>
      </c>
      <c r="P76" s="4"/>
      <c r="Q76" s="4"/>
    </row>
    <row r="77" spans="1:17" ht="25.5">
      <c r="A77" s="3">
        <v>73</v>
      </c>
      <c r="B77" s="3" t="s">
        <v>352</v>
      </c>
      <c r="C77" s="4" t="s">
        <v>324</v>
      </c>
      <c r="D77" s="4" t="s">
        <v>340</v>
      </c>
      <c r="E77" s="4" t="s">
        <v>341</v>
      </c>
      <c r="F77" s="4" t="s">
        <v>353</v>
      </c>
      <c r="G77" s="4" t="s">
        <v>354</v>
      </c>
      <c r="H77" s="4" t="s">
        <v>344</v>
      </c>
      <c r="I77" s="4" t="s">
        <v>200</v>
      </c>
      <c r="J77" s="4"/>
      <c r="K77" s="4" t="s">
        <v>345</v>
      </c>
      <c r="L77" s="4" t="s">
        <v>28</v>
      </c>
      <c r="M77" s="4" t="s">
        <v>29</v>
      </c>
      <c r="N77" s="4" t="s">
        <v>30</v>
      </c>
      <c r="O77" s="4" t="s">
        <v>41</v>
      </c>
      <c r="P77" s="4"/>
      <c r="Q77" s="4"/>
    </row>
    <row r="78" spans="1:17" ht="25.5">
      <c r="A78" s="3">
        <v>74</v>
      </c>
      <c r="B78" s="3" t="s">
        <v>355</v>
      </c>
      <c r="C78" s="4" t="s">
        <v>324</v>
      </c>
      <c r="D78" s="4" t="s">
        <v>340</v>
      </c>
      <c r="E78" s="4" t="s">
        <v>341</v>
      </c>
      <c r="F78" s="4" t="s">
        <v>356</v>
      </c>
      <c r="G78" s="4" t="s">
        <v>357</v>
      </c>
      <c r="H78" s="4" t="s">
        <v>344</v>
      </c>
      <c r="I78" s="4" t="s">
        <v>200</v>
      </c>
      <c r="J78" s="4"/>
      <c r="K78" s="4" t="s">
        <v>345</v>
      </c>
      <c r="L78" s="4" t="s">
        <v>28</v>
      </c>
      <c r="M78" s="4" t="s">
        <v>29</v>
      </c>
      <c r="N78" s="4" t="s">
        <v>30</v>
      </c>
      <c r="O78" s="4" t="s">
        <v>41</v>
      </c>
      <c r="P78" s="4"/>
      <c r="Q78" s="4"/>
    </row>
    <row r="79" spans="1:17">
      <c r="A79" s="3">
        <v>75</v>
      </c>
      <c r="B79" s="3" t="s">
        <v>358</v>
      </c>
      <c r="C79" s="4" t="s">
        <v>324</v>
      </c>
      <c r="D79" s="4" t="s">
        <v>340</v>
      </c>
      <c r="E79" s="4" t="s">
        <v>341</v>
      </c>
      <c r="F79" s="4" t="s">
        <v>359</v>
      </c>
      <c r="G79" s="4" t="s">
        <v>360</v>
      </c>
      <c r="H79" s="4" t="s">
        <v>344</v>
      </c>
      <c r="I79" s="4" t="s">
        <v>200</v>
      </c>
      <c r="J79" s="4"/>
      <c r="K79" s="4" t="s">
        <v>345</v>
      </c>
      <c r="L79" s="4" t="s">
        <v>28</v>
      </c>
      <c r="M79" s="4" t="s">
        <v>29</v>
      </c>
      <c r="N79" s="4" t="s">
        <v>30</v>
      </c>
      <c r="O79" s="4" t="s">
        <v>41</v>
      </c>
      <c r="P79" s="4"/>
      <c r="Q79" s="4"/>
    </row>
    <row r="80" spans="1:17">
      <c r="A80" s="3">
        <v>76</v>
      </c>
      <c r="B80" s="3" t="s">
        <v>361</v>
      </c>
      <c r="C80" s="4" t="s">
        <v>324</v>
      </c>
      <c r="D80" s="4" t="s">
        <v>340</v>
      </c>
      <c r="E80" s="4" t="s">
        <v>341</v>
      </c>
      <c r="F80" s="4" t="s">
        <v>362</v>
      </c>
      <c r="G80" s="4" t="s">
        <v>363</v>
      </c>
      <c r="H80" s="4" t="s">
        <v>344</v>
      </c>
      <c r="I80" s="4" t="s">
        <v>200</v>
      </c>
      <c r="J80" s="4"/>
      <c r="K80" s="4" t="s">
        <v>345</v>
      </c>
      <c r="L80" s="4" t="s">
        <v>28</v>
      </c>
      <c r="M80" s="4" t="s">
        <v>29</v>
      </c>
      <c r="N80" s="4" t="s">
        <v>30</v>
      </c>
      <c r="O80" s="4" t="s">
        <v>41</v>
      </c>
      <c r="P80" s="4"/>
      <c r="Q80" s="4"/>
    </row>
    <row r="81" spans="1:17">
      <c r="A81" s="3">
        <v>77</v>
      </c>
      <c r="B81" s="3" t="s">
        <v>364</v>
      </c>
      <c r="C81" s="4" t="s">
        <v>324</v>
      </c>
      <c r="D81" s="4" t="s">
        <v>340</v>
      </c>
      <c r="E81" s="4" t="s">
        <v>341</v>
      </c>
      <c r="F81" s="4" t="s">
        <v>365</v>
      </c>
      <c r="G81" s="4" t="s">
        <v>366</v>
      </c>
      <c r="H81" s="4" t="s">
        <v>344</v>
      </c>
      <c r="I81" s="4" t="s">
        <v>200</v>
      </c>
      <c r="J81" s="4"/>
      <c r="K81" s="4" t="s">
        <v>345</v>
      </c>
      <c r="L81" s="4" t="s">
        <v>28</v>
      </c>
      <c r="M81" s="4" t="s">
        <v>29</v>
      </c>
      <c r="N81" s="4" t="s">
        <v>30</v>
      </c>
      <c r="O81" s="4" t="s">
        <v>41</v>
      </c>
      <c r="P81" s="4"/>
      <c r="Q81" s="4"/>
    </row>
    <row r="82" spans="1:17">
      <c r="A82" s="3">
        <v>78</v>
      </c>
      <c r="B82" s="3" t="s">
        <v>367</v>
      </c>
      <c r="C82" s="4" t="s">
        <v>324</v>
      </c>
      <c r="D82" s="4" t="s">
        <v>340</v>
      </c>
      <c r="E82" s="4" t="s">
        <v>341</v>
      </c>
      <c r="F82" s="4" t="s">
        <v>368</v>
      </c>
      <c r="G82" s="4" t="s">
        <v>369</v>
      </c>
      <c r="H82" s="4" t="s">
        <v>344</v>
      </c>
      <c r="I82" s="4" t="s">
        <v>200</v>
      </c>
      <c r="J82" s="4"/>
      <c r="K82" s="4" t="s">
        <v>345</v>
      </c>
      <c r="L82" s="4" t="s">
        <v>28</v>
      </c>
      <c r="M82" s="4" t="s">
        <v>29</v>
      </c>
      <c r="N82" s="4" t="s">
        <v>30</v>
      </c>
      <c r="O82" s="4" t="s">
        <v>41</v>
      </c>
      <c r="P82" s="4"/>
      <c r="Q82" s="4"/>
    </row>
    <row r="83" spans="1:17">
      <c r="A83" s="3">
        <v>79</v>
      </c>
      <c r="B83" s="3" t="s">
        <v>370</v>
      </c>
      <c r="C83" s="4" t="s">
        <v>324</v>
      </c>
      <c r="D83" s="4" t="s">
        <v>340</v>
      </c>
      <c r="E83" s="4" t="s">
        <v>341</v>
      </c>
      <c r="F83" s="4" t="s">
        <v>371</v>
      </c>
      <c r="G83" s="4" t="s">
        <v>372</v>
      </c>
      <c r="H83" s="4" t="s">
        <v>344</v>
      </c>
      <c r="I83" s="4" t="s">
        <v>200</v>
      </c>
      <c r="J83" s="4"/>
      <c r="K83" s="4" t="s">
        <v>373</v>
      </c>
      <c r="L83" s="4" t="s">
        <v>28</v>
      </c>
      <c r="M83" s="4" t="s">
        <v>29</v>
      </c>
      <c r="N83" s="4" t="s">
        <v>30</v>
      </c>
      <c r="O83" s="4" t="s">
        <v>41</v>
      </c>
      <c r="P83" s="4"/>
      <c r="Q83" s="4"/>
    </row>
    <row r="84" spans="1:17" ht="25.5">
      <c r="A84" s="3">
        <v>80</v>
      </c>
      <c r="B84" s="3" t="s">
        <v>374</v>
      </c>
      <c r="C84" s="4" t="s">
        <v>324</v>
      </c>
      <c r="D84" s="4" t="s">
        <v>340</v>
      </c>
      <c r="E84" s="4" t="s">
        <v>341</v>
      </c>
      <c r="F84" s="4" t="s">
        <v>375</v>
      </c>
      <c r="G84" s="4" t="s">
        <v>376</v>
      </c>
      <c r="H84" s="4" t="s">
        <v>344</v>
      </c>
      <c r="I84" s="4" t="s">
        <v>200</v>
      </c>
      <c r="J84" s="4"/>
      <c r="K84" s="4" t="s">
        <v>345</v>
      </c>
      <c r="L84" s="4" t="s">
        <v>28</v>
      </c>
      <c r="M84" s="4" t="s">
        <v>29</v>
      </c>
      <c r="N84" s="4" t="s">
        <v>30</v>
      </c>
      <c r="O84" s="4" t="s">
        <v>41</v>
      </c>
      <c r="P84" s="4"/>
      <c r="Q84" s="4"/>
    </row>
    <row r="85" spans="1:17" ht="38.25">
      <c r="A85" s="3">
        <v>81</v>
      </c>
      <c r="B85" s="3" t="s">
        <v>377</v>
      </c>
      <c r="C85" s="4" t="s">
        <v>324</v>
      </c>
      <c r="D85" s="4" t="s">
        <v>378</v>
      </c>
      <c r="E85" s="4" t="s">
        <v>379</v>
      </c>
      <c r="F85" s="4" t="s">
        <v>380</v>
      </c>
      <c r="G85" s="4" t="s">
        <v>381</v>
      </c>
      <c r="H85" s="4" t="s">
        <v>382</v>
      </c>
      <c r="I85" s="4" t="s">
        <v>200</v>
      </c>
      <c r="J85" s="4" t="s">
        <v>383</v>
      </c>
      <c r="K85" s="4" t="s">
        <v>384</v>
      </c>
      <c r="L85" s="4" t="s">
        <v>28</v>
      </c>
      <c r="M85" s="4" t="s">
        <v>29</v>
      </c>
      <c r="N85" s="4" t="s">
        <v>30</v>
      </c>
      <c r="O85" s="4" t="s">
        <v>385</v>
      </c>
      <c r="P85" s="4"/>
      <c r="Q85" s="4"/>
    </row>
    <row r="86" spans="1:17" ht="51">
      <c r="A86" s="3">
        <v>82</v>
      </c>
      <c r="B86" s="3" t="s">
        <v>386</v>
      </c>
      <c r="C86" s="4" t="s">
        <v>324</v>
      </c>
      <c r="D86" s="4" t="s">
        <v>378</v>
      </c>
      <c r="E86" s="4" t="s">
        <v>379</v>
      </c>
      <c r="F86" s="4" t="s">
        <v>387</v>
      </c>
      <c r="G86" s="4" t="s">
        <v>388</v>
      </c>
      <c r="H86" s="4" t="s">
        <v>382</v>
      </c>
      <c r="I86" s="4" t="s">
        <v>200</v>
      </c>
      <c r="J86" s="4" t="s">
        <v>383</v>
      </c>
      <c r="K86" s="4" t="s">
        <v>384</v>
      </c>
      <c r="L86" s="4" t="s">
        <v>28</v>
      </c>
      <c r="M86" s="4" t="s">
        <v>29</v>
      </c>
      <c r="N86" s="4" t="s">
        <v>30</v>
      </c>
      <c r="O86" s="4" t="s">
        <v>385</v>
      </c>
      <c r="P86" s="4"/>
      <c r="Q86" s="4"/>
    </row>
    <row r="87" spans="1:17" ht="38.25">
      <c r="A87" s="3">
        <v>83</v>
      </c>
      <c r="B87" s="3" t="s">
        <v>389</v>
      </c>
      <c r="C87" s="4" t="s">
        <v>324</v>
      </c>
      <c r="D87" s="4" t="s">
        <v>378</v>
      </c>
      <c r="E87" s="4" t="s">
        <v>379</v>
      </c>
      <c r="F87" s="4" t="s">
        <v>390</v>
      </c>
      <c r="G87" s="4" t="s">
        <v>391</v>
      </c>
      <c r="H87" s="4" t="s">
        <v>382</v>
      </c>
      <c r="I87" s="4" t="s">
        <v>200</v>
      </c>
      <c r="J87" s="4" t="s">
        <v>383</v>
      </c>
      <c r="K87" s="4" t="s">
        <v>384</v>
      </c>
      <c r="L87" s="4" t="s">
        <v>28</v>
      </c>
      <c r="M87" s="4" t="s">
        <v>29</v>
      </c>
      <c r="N87" s="4" t="s">
        <v>30</v>
      </c>
      <c r="O87" s="4" t="s">
        <v>385</v>
      </c>
      <c r="P87" s="4"/>
      <c r="Q87" s="4"/>
    </row>
    <row r="88" spans="1:17" ht="51">
      <c r="A88" s="3">
        <v>84</v>
      </c>
      <c r="B88" s="3" t="s">
        <v>392</v>
      </c>
      <c r="C88" s="4" t="s">
        <v>324</v>
      </c>
      <c r="D88" s="4" t="s">
        <v>378</v>
      </c>
      <c r="E88" s="4" t="s">
        <v>379</v>
      </c>
      <c r="F88" s="4" t="s">
        <v>393</v>
      </c>
      <c r="G88" s="4" t="s">
        <v>394</v>
      </c>
      <c r="H88" s="4" t="s">
        <v>382</v>
      </c>
      <c r="I88" s="4" t="s">
        <v>200</v>
      </c>
      <c r="J88" s="4" t="s">
        <v>383</v>
      </c>
      <c r="K88" s="4" t="s">
        <v>384</v>
      </c>
      <c r="L88" s="4" t="s">
        <v>28</v>
      </c>
      <c r="M88" s="4" t="s">
        <v>29</v>
      </c>
      <c r="N88" s="4" t="s">
        <v>30</v>
      </c>
      <c r="O88" s="4" t="s">
        <v>385</v>
      </c>
      <c r="P88" s="4"/>
      <c r="Q88" s="4"/>
    </row>
    <row r="89" spans="1:17" ht="38.25">
      <c r="A89" s="3">
        <v>85</v>
      </c>
      <c r="B89" s="3" t="s">
        <v>395</v>
      </c>
      <c r="C89" s="4" t="s">
        <v>324</v>
      </c>
      <c r="D89" s="4" t="s">
        <v>378</v>
      </c>
      <c r="E89" s="4" t="s">
        <v>379</v>
      </c>
      <c r="F89" s="4" t="s">
        <v>396</v>
      </c>
      <c r="G89" s="4" t="s">
        <v>391</v>
      </c>
      <c r="H89" s="4" t="s">
        <v>382</v>
      </c>
      <c r="I89" s="4" t="s">
        <v>200</v>
      </c>
      <c r="J89" s="4" t="s">
        <v>383</v>
      </c>
      <c r="K89" s="4" t="s">
        <v>384</v>
      </c>
      <c r="L89" s="4" t="s">
        <v>28</v>
      </c>
      <c r="M89" s="4" t="s">
        <v>29</v>
      </c>
      <c r="N89" s="4" t="s">
        <v>30</v>
      </c>
      <c r="O89" s="4" t="s">
        <v>385</v>
      </c>
      <c r="P89" s="4"/>
      <c r="Q89" s="4"/>
    </row>
    <row r="90" spans="1:17" ht="38.25">
      <c r="A90" s="3">
        <v>86</v>
      </c>
      <c r="B90" s="3" t="s">
        <v>397</v>
      </c>
      <c r="C90" s="4" t="s">
        <v>324</v>
      </c>
      <c r="D90" s="4" t="s">
        <v>378</v>
      </c>
      <c r="E90" s="4" t="s">
        <v>379</v>
      </c>
      <c r="F90" s="4" t="s">
        <v>398</v>
      </c>
      <c r="G90" s="4" t="s">
        <v>399</v>
      </c>
      <c r="H90" s="4" t="s">
        <v>382</v>
      </c>
      <c r="I90" s="4" t="s">
        <v>200</v>
      </c>
      <c r="J90" s="4" t="s">
        <v>383</v>
      </c>
      <c r="K90" s="4" t="s">
        <v>384</v>
      </c>
      <c r="L90" s="4" t="s">
        <v>28</v>
      </c>
      <c r="M90" s="4" t="s">
        <v>29</v>
      </c>
      <c r="N90" s="4" t="s">
        <v>30</v>
      </c>
      <c r="O90" s="4" t="s">
        <v>385</v>
      </c>
      <c r="P90" s="4"/>
      <c r="Q90" s="4"/>
    </row>
    <row r="91" spans="1:17" ht="25.5">
      <c r="A91" s="3">
        <v>87</v>
      </c>
      <c r="B91" s="3" t="s">
        <v>400</v>
      </c>
      <c r="C91" s="4" t="s">
        <v>324</v>
      </c>
      <c r="D91" s="4" t="s">
        <v>401</v>
      </c>
      <c r="E91" s="4" t="s">
        <v>402</v>
      </c>
      <c r="F91" s="4" t="s">
        <v>403</v>
      </c>
      <c r="G91" s="4" t="s">
        <v>404</v>
      </c>
      <c r="H91" s="4" t="s">
        <v>405</v>
      </c>
      <c r="I91" s="4" t="s">
        <v>200</v>
      </c>
      <c r="J91" s="4"/>
      <c r="K91" s="4" t="s">
        <v>406</v>
      </c>
      <c r="L91" s="4" t="s">
        <v>407</v>
      </c>
      <c r="M91" s="4" t="s">
        <v>408</v>
      </c>
      <c r="N91" s="4" t="s">
        <v>209</v>
      </c>
      <c r="O91" s="4" t="s">
        <v>409</v>
      </c>
      <c r="P91" s="4"/>
      <c r="Q91" s="4"/>
    </row>
    <row r="92" spans="1:17" ht="25.5">
      <c r="A92" s="3">
        <v>88</v>
      </c>
      <c r="B92" s="3" t="s">
        <v>410</v>
      </c>
      <c r="C92" s="4" t="s">
        <v>324</v>
      </c>
      <c r="D92" s="4" t="s">
        <v>401</v>
      </c>
      <c r="E92" s="4" t="s">
        <v>402</v>
      </c>
      <c r="F92" s="4" t="s">
        <v>411</v>
      </c>
      <c r="G92" s="4" t="s">
        <v>412</v>
      </c>
      <c r="H92" s="4" t="s">
        <v>405</v>
      </c>
      <c r="I92" s="4" t="s">
        <v>200</v>
      </c>
      <c r="J92" s="4"/>
      <c r="K92" s="4" t="s">
        <v>406</v>
      </c>
      <c r="L92" s="4" t="s">
        <v>407</v>
      </c>
      <c r="M92" s="4" t="s">
        <v>408</v>
      </c>
      <c r="N92" s="4" t="s">
        <v>209</v>
      </c>
      <c r="O92" s="4" t="s">
        <v>409</v>
      </c>
      <c r="P92" s="4"/>
      <c r="Q92" s="4"/>
    </row>
    <row r="93" spans="1:17" ht="25.5">
      <c r="A93" s="3">
        <v>89</v>
      </c>
      <c r="B93" s="3" t="s">
        <v>413</v>
      </c>
      <c r="C93" s="4" t="s">
        <v>324</v>
      </c>
      <c r="D93" s="4" t="s">
        <v>401</v>
      </c>
      <c r="E93" s="4" t="s">
        <v>402</v>
      </c>
      <c r="F93" s="4" t="s">
        <v>414</v>
      </c>
      <c r="G93" s="4" t="s">
        <v>415</v>
      </c>
      <c r="H93" s="4" t="s">
        <v>405</v>
      </c>
      <c r="I93" s="4" t="s">
        <v>200</v>
      </c>
      <c r="J93" s="4"/>
      <c r="K93" s="4" t="s">
        <v>406</v>
      </c>
      <c r="L93" s="4" t="s">
        <v>407</v>
      </c>
      <c r="M93" s="4" t="s">
        <v>408</v>
      </c>
      <c r="N93" s="4" t="s">
        <v>209</v>
      </c>
      <c r="O93" s="4" t="s">
        <v>409</v>
      </c>
      <c r="P93" s="4"/>
      <c r="Q93" s="4"/>
    </row>
    <row r="94" spans="1:17" ht="25.5">
      <c r="A94" s="3">
        <v>90</v>
      </c>
      <c r="B94" s="3" t="s">
        <v>416</v>
      </c>
      <c r="C94" s="4" t="s">
        <v>324</v>
      </c>
      <c r="D94" s="4" t="s">
        <v>401</v>
      </c>
      <c r="E94" s="4" t="s">
        <v>402</v>
      </c>
      <c r="F94" s="4" t="s">
        <v>417</v>
      </c>
      <c r="G94" s="4" t="s">
        <v>418</v>
      </c>
      <c r="H94" s="4" t="s">
        <v>405</v>
      </c>
      <c r="I94" s="4" t="s">
        <v>200</v>
      </c>
      <c r="J94" s="4"/>
      <c r="K94" s="4" t="s">
        <v>406</v>
      </c>
      <c r="L94" s="4" t="s">
        <v>407</v>
      </c>
      <c r="M94" s="4" t="s">
        <v>408</v>
      </c>
      <c r="N94" s="4" t="s">
        <v>209</v>
      </c>
      <c r="O94" s="4" t="s">
        <v>409</v>
      </c>
      <c r="P94" s="4"/>
      <c r="Q94" s="4"/>
    </row>
    <row r="95" spans="1:17" ht="25.5">
      <c r="A95" s="3">
        <v>91</v>
      </c>
      <c r="B95" s="3" t="s">
        <v>419</v>
      </c>
      <c r="C95" s="4" t="s">
        <v>324</v>
      </c>
      <c r="D95" s="4" t="s">
        <v>401</v>
      </c>
      <c r="E95" s="4" t="s">
        <v>402</v>
      </c>
      <c r="F95" s="4" t="s">
        <v>420</v>
      </c>
      <c r="G95" s="4" t="s">
        <v>421</v>
      </c>
      <c r="H95" s="4" t="s">
        <v>405</v>
      </c>
      <c r="I95" s="4" t="s">
        <v>200</v>
      </c>
      <c r="J95" s="4"/>
      <c r="K95" s="4" t="s">
        <v>406</v>
      </c>
      <c r="L95" s="4" t="s">
        <v>407</v>
      </c>
      <c r="M95" s="4" t="s">
        <v>408</v>
      </c>
      <c r="N95" s="4" t="s">
        <v>209</v>
      </c>
      <c r="O95" s="4" t="s">
        <v>409</v>
      </c>
      <c r="P95" s="4"/>
      <c r="Q95" s="4"/>
    </row>
    <row r="96" spans="1:17" ht="25.5">
      <c r="A96" s="3">
        <v>92</v>
      </c>
      <c r="B96" s="3" t="s">
        <v>422</v>
      </c>
      <c r="C96" s="4" t="s">
        <v>324</v>
      </c>
      <c r="D96" s="4" t="s">
        <v>401</v>
      </c>
      <c r="E96" s="4" t="s">
        <v>402</v>
      </c>
      <c r="F96" s="4" t="s">
        <v>423</v>
      </c>
      <c r="G96" s="4" t="s">
        <v>424</v>
      </c>
      <c r="H96" s="4" t="s">
        <v>405</v>
      </c>
      <c r="I96" s="4" t="s">
        <v>200</v>
      </c>
      <c r="J96" s="4"/>
      <c r="K96" s="4" t="s">
        <v>406</v>
      </c>
      <c r="L96" s="4" t="s">
        <v>407</v>
      </c>
      <c r="M96" s="4" t="s">
        <v>408</v>
      </c>
      <c r="N96" s="4" t="s">
        <v>209</v>
      </c>
      <c r="O96" s="4" t="s">
        <v>409</v>
      </c>
      <c r="P96" s="4"/>
      <c r="Q96" s="4"/>
    </row>
    <row r="97" spans="1:17" ht="25.5">
      <c r="A97" s="3">
        <v>93</v>
      </c>
      <c r="B97" s="3" t="s">
        <v>425</v>
      </c>
      <c r="C97" s="4" t="s">
        <v>324</v>
      </c>
      <c r="D97" s="4" t="s">
        <v>401</v>
      </c>
      <c r="E97" s="4" t="s">
        <v>402</v>
      </c>
      <c r="F97" s="4" t="s">
        <v>426</v>
      </c>
      <c r="G97" s="4" t="s">
        <v>427</v>
      </c>
      <c r="H97" s="4" t="s">
        <v>405</v>
      </c>
      <c r="I97" s="4" t="s">
        <v>200</v>
      </c>
      <c r="J97" s="4"/>
      <c r="K97" s="4" t="s">
        <v>406</v>
      </c>
      <c r="L97" s="4" t="s">
        <v>407</v>
      </c>
      <c r="M97" s="4" t="s">
        <v>408</v>
      </c>
      <c r="N97" s="4" t="s">
        <v>209</v>
      </c>
      <c r="O97" s="4" t="s">
        <v>409</v>
      </c>
      <c r="P97" s="4"/>
      <c r="Q97" s="4"/>
    </row>
    <row r="98" spans="1:17" ht="25.5">
      <c r="A98" s="3">
        <v>94</v>
      </c>
      <c r="B98" s="3" t="s">
        <v>428</v>
      </c>
      <c r="C98" s="4" t="s">
        <v>324</v>
      </c>
      <c r="D98" s="4" t="s">
        <v>401</v>
      </c>
      <c r="E98" s="4" t="s">
        <v>402</v>
      </c>
      <c r="F98" s="4" t="s">
        <v>429</v>
      </c>
      <c r="G98" s="4" t="s">
        <v>430</v>
      </c>
      <c r="H98" s="4" t="s">
        <v>405</v>
      </c>
      <c r="I98" s="4" t="s">
        <v>200</v>
      </c>
      <c r="J98" s="4"/>
      <c r="K98" s="4" t="s">
        <v>406</v>
      </c>
      <c r="L98" s="4" t="s">
        <v>407</v>
      </c>
      <c r="M98" s="4" t="s">
        <v>408</v>
      </c>
      <c r="N98" s="4" t="s">
        <v>209</v>
      </c>
      <c r="O98" s="4" t="s">
        <v>409</v>
      </c>
      <c r="P98" s="4"/>
      <c r="Q98" s="4"/>
    </row>
    <row r="99" spans="1:17" ht="25.5">
      <c r="A99" s="3">
        <v>95</v>
      </c>
      <c r="B99" s="3" t="s">
        <v>431</v>
      </c>
      <c r="C99" s="4" t="s">
        <v>432</v>
      </c>
      <c r="D99" s="4" t="s">
        <v>433</v>
      </c>
      <c r="E99" s="4" t="s">
        <v>434</v>
      </c>
      <c r="F99" s="4" t="s">
        <v>435</v>
      </c>
      <c r="G99" s="4" t="s">
        <v>436</v>
      </c>
      <c r="H99" s="4" t="s">
        <v>187</v>
      </c>
      <c r="I99" s="4" t="s">
        <v>26</v>
      </c>
      <c r="J99" s="4" t="s">
        <v>188</v>
      </c>
      <c r="K99" s="4" t="s">
        <v>437</v>
      </c>
      <c r="L99" s="4" t="s">
        <v>28</v>
      </c>
      <c r="M99" s="4" t="s">
        <v>29</v>
      </c>
      <c r="N99" s="4" t="s">
        <v>30</v>
      </c>
      <c r="O99" s="4" t="s">
        <v>41</v>
      </c>
      <c r="P99" s="4"/>
      <c r="Q99" s="4"/>
    </row>
    <row r="100" spans="1:17" ht="25.5">
      <c r="A100" s="3">
        <v>96</v>
      </c>
      <c r="B100" s="3" t="s">
        <v>438</v>
      </c>
      <c r="C100" s="4" t="s">
        <v>432</v>
      </c>
      <c r="D100" s="4" t="s">
        <v>433</v>
      </c>
      <c r="E100" s="4" t="s">
        <v>434</v>
      </c>
      <c r="F100" s="4" t="s">
        <v>439</v>
      </c>
      <c r="G100" s="4" t="s">
        <v>440</v>
      </c>
      <c r="H100" s="4" t="s">
        <v>441</v>
      </c>
      <c r="I100" s="4" t="s">
        <v>52</v>
      </c>
      <c r="J100" s="4" t="s">
        <v>188</v>
      </c>
      <c r="K100" s="4" t="s">
        <v>437</v>
      </c>
      <c r="L100" s="4" t="s">
        <v>28</v>
      </c>
      <c r="M100" s="4" t="s">
        <v>29</v>
      </c>
      <c r="N100" s="4" t="s">
        <v>30</v>
      </c>
      <c r="O100" s="4" t="s">
        <v>41</v>
      </c>
      <c r="P100" s="4"/>
      <c r="Q100" s="4"/>
    </row>
    <row r="101" spans="1:17" ht="25.5">
      <c r="A101" s="3">
        <v>97</v>
      </c>
      <c r="B101" s="3" t="s">
        <v>442</v>
      </c>
      <c r="C101" s="4" t="s">
        <v>432</v>
      </c>
      <c r="D101" s="4" t="s">
        <v>433</v>
      </c>
      <c r="E101" s="4" t="s">
        <v>434</v>
      </c>
      <c r="F101" s="4" t="s">
        <v>443</v>
      </c>
      <c r="G101" s="4" t="s">
        <v>444</v>
      </c>
      <c r="H101" s="4" t="s">
        <v>445</v>
      </c>
      <c r="I101" s="4" t="s">
        <v>77</v>
      </c>
      <c r="J101" s="4" t="s">
        <v>188</v>
      </c>
      <c r="K101" s="4" t="s">
        <v>437</v>
      </c>
      <c r="L101" s="4" t="s">
        <v>71</v>
      </c>
      <c r="M101" s="4" t="s">
        <v>125</v>
      </c>
      <c r="N101" s="4" t="s">
        <v>30</v>
      </c>
      <c r="O101" s="4" t="s">
        <v>41</v>
      </c>
      <c r="P101" s="4"/>
      <c r="Q101" s="4"/>
    </row>
    <row r="102" spans="1:17" ht="25.5">
      <c r="A102" s="3">
        <v>98</v>
      </c>
      <c r="B102" s="3" t="s">
        <v>446</v>
      </c>
      <c r="C102" s="4" t="s">
        <v>432</v>
      </c>
      <c r="D102" s="4" t="s">
        <v>433</v>
      </c>
      <c r="E102" s="4" t="s">
        <v>434</v>
      </c>
      <c r="F102" s="4" t="s">
        <v>447</v>
      </c>
      <c r="G102" s="4" t="s">
        <v>448</v>
      </c>
      <c r="H102" s="4" t="s">
        <v>441</v>
      </c>
      <c r="I102" s="4" t="s">
        <v>26</v>
      </c>
      <c r="J102" s="4" t="s">
        <v>188</v>
      </c>
      <c r="K102" s="4" t="s">
        <v>437</v>
      </c>
      <c r="L102" s="4" t="s">
        <v>28</v>
      </c>
      <c r="M102" s="4" t="s">
        <v>29</v>
      </c>
      <c r="N102" s="4" t="s">
        <v>30</v>
      </c>
      <c r="O102" s="4" t="s">
        <v>41</v>
      </c>
      <c r="P102" s="4"/>
      <c r="Q102" s="4"/>
    </row>
    <row r="103" spans="1:17" ht="25.5">
      <c r="A103" s="3">
        <v>99</v>
      </c>
      <c r="B103" s="3" t="s">
        <v>449</v>
      </c>
      <c r="C103" s="4" t="s">
        <v>432</v>
      </c>
      <c r="D103" s="4" t="s">
        <v>450</v>
      </c>
      <c r="E103" s="4" t="s">
        <v>451</v>
      </c>
      <c r="F103" s="4" t="s">
        <v>452</v>
      </c>
      <c r="G103" s="4" t="s">
        <v>453</v>
      </c>
      <c r="H103" s="4" t="s">
        <v>454</v>
      </c>
      <c r="I103" s="4" t="s">
        <v>52</v>
      </c>
      <c r="J103" s="4"/>
      <c r="K103" s="4" t="s">
        <v>455</v>
      </c>
      <c r="L103" s="4" t="s">
        <v>28</v>
      </c>
      <c r="M103" s="4" t="s">
        <v>29</v>
      </c>
      <c r="N103" s="4" t="s">
        <v>30</v>
      </c>
      <c r="O103" s="4" t="s">
        <v>31</v>
      </c>
      <c r="P103" s="4" t="s">
        <v>54</v>
      </c>
      <c r="Q103" s="4"/>
    </row>
    <row r="104" spans="1:17" ht="25.5">
      <c r="A104" s="3">
        <v>100</v>
      </c>
      <c r="B104" s="3" t="s">
        <v>456</v>
      </c>
      <c r="C104" s="4" t="s">
        <v>432</v>
      </c>
      <c r="D104" s="4" t="s">
        <v>450</v>
      </c>
      <c r="E104" s="4" t="s">
        <v>451</v>
      </c>
      <c r="F104" s="4" t="s">
        <v>457</v>
      </c>
      <c r="G104" s="4" t="s">
        <v>458</v>
      </c>
      <c r="H104" s="4" t="s">
        <v>454</v>
      </c>
      <c r="I104" s="4" t="s">
        <v>52</v>
      </c>
      <c r="J104" s="4"/>
      <c r="K104" s="4" t="s">
        <v>455</v>
      </c>
      <c r="L104" s="4" t="s">
        <v>28</v>
      </c>
      <c r="M104" s="4" t="s">
        <v>29</v>
      </c>
      <c r="N104" s="4" t="s">
        <v>30</v>
      </c>
      <c r="O104" s="4" t="s">
        <v>31</v>
      </c>
      <c r="P104" s="4" t="s">
        <v>58</v>
      </c>
      <c r="Q104" s="4"/>
    </row>
    <row r="105" spans="1:17" ht="25.5">
      <c r="A105" s="3">
        <v>101</v>
      </c>
      <c r="B105" s="3" t="s">
        <v>459</v>
      </c>
      <c r="C105" s="4" t="s">
        <v>432</v>
      </c>
      <c r="D105" s="4" t="s">
        <v>450</v>
      </c>
      <c r="E105" s="4" t="s">
        <v>451</v>
      </c>
      <c r="F105" s="4" t="s">
        <v>460</v>
      </c>
      <c r="G105" s="4" t="s">
        <v>461</v>
      </c>
      <c r="H105" s="4" t="s">
        <v>454</v>
      </c>
      <c r="I105" s="4" t="s">
        <v>52</v>
      </c>
      <c r="J105" s="4"/>
      <c r="K105" s="4" t="s">
        <v>455</v>
      </c>
      <c r="L105" s="4" t="s">
        <v>71</v>
      </c>
      <c r="M105" s="4" t="s">
        <v>29</v>
      </c>
      <c r="N105" s="4" t="s">
        <v>30</v>
      </c>
      <c r="O105" s="4" t="s">
        <v>31</v>
      </c>
      <c r="P105" s="4" t="s">
        <v>462</v>
      </c>
      <c r="Q105" s="4"/>
    </row>
    <row r="106" spans="1:17" ht="25.5">
      <c r="A106" s="3">
        <v>102</v>
      </c>
      <c r="B106" s="3" t="s">
        <v>463</v>
      </c>
      <c r="C106" s="4" t="s">
        <v>432</v>
      </c>
      <c r="D106" s="4" t="s">
        <v>450</v>
      </c>
      <c r="E106" s="4" t="s">
        <v>451</v>
      </c>
      <c r="F106" s="4" t="s">
        <v>464</v>
      </c>
      <c r="G106" s="4" t="s">
        <v>465</v>
      </c>
      <c r="H106" s="4" t="s">
        <v>454</v>
      </c>
      <c r="I106" s="4" t="s">
        <v>52</v>
      </c>
      <c r="J106" s="4"/>
      <c r="K106" s="4" t="s">
        <v>455</v>
      </c>
      <c r="L106" s="4" t="s">
        <v>28</v>
      </c>
      <c r="M106" s="4" t="s">
        <v>29</v>
      </c>
      <c r="N106" s="4" t="s">
        <v>30</v>
      </c>
      <c r="O106" s="4" t="s">
        <v>31</v>
      </c>
      <c r="P106" s="4" t="s">
        <v>62</v>
      </c>
      <c r="Q106" s="4"/>
    </row>
    <row r="107" spans="1:17" ht="38.25">
      <c r="A107" s="3">
        <v>103</v>
      </c>
      <c r="B107" s="3" t="s">
        <v>466</v>
      </c>
      <c r="C107" s="4" t="s">
        <v>432</v>
      </c>
      <c r="D107" s="4" t="s">
        <v>450</v>
      </c>
      <c r="E107" s="4" t="s">
        <v>451</v>
      </c>
      <c r="F107" s="4" t="s">
        <v>467</v>
      </c>
      <c r="G107" s="4" t="s">
        <v>468</v>
      </c>
      <c r="H107" s="4" t="s">
        <v>454</v>
      </c>
      <c r="I107" s="4" t="s">
        <v>52</v>
      </c>
      <c r="J107" s="4"/>
      <c r="K107" s="4" t="s">
        <v>455</v>
      </c>
      <c r="L107" s="4" t="s">
        <v>28</v>
      </c>
      <c r="M107" s="4" t="s">
        <v>29</v>
      </c>
      <c r="N107" s="4" t="s">
        <v>30</v>
      </c>
      <c r="O107" s="4" t="s">
        <v>31</v>
      </c>
      <c r="P107" s="4" t="s">
        <v>66</v>
      </c>
      <c r="Q107" s="4"/>
    </row>
    <row r="108" spans="1:17" ht="25.5">
      <c r="A108" s="3">
        <v>104</v>
      </c>
      <c r="B108" s="3" t="s">
        <v>469</v>
      </c>
      <c r="C108" s="4" t="s">
        <v>432</v>
      </c>
      <c r="D108" s="4" t="s">
        <v>450</v>
      </c>
      <c r="E108" s="4" t="s">
        <v>451</v>
      </c>
      <c r="F108" s="4" t="s">
        <v>470</v>
      </c>
      <c r="G108" s="4" t="s">
        <v>471</v>
      </c>
      <c r="H108" s="4" t="s">
        <v>70</v>
      </c>
      <c r="I108" s="4" t="s">
        <v>52</v>
      </c>
      <c r="J108" s="4"/>
      <c r="K108" s="4" t="s">
        <v>455</v>
      </c>
      <c r="L108" s="4" t="s">
        <v>71</v>
      </c>
      <c r="M108" s="4" t="s">
        <v>29</v>
      </c>
      <c r="N108" s="4" t="s">
        <v>30</v>
      </c>
      <c r="O108" s="4" t="s">
        <v>31</v>
      </c>
      <c r="P108" s="4" t="s">
        <v>72</v>
      </c>
      <c r="Q108" s="4"/>
    </row>
    <row r="109" spans="1:17" ht="25.5">
      <c r="A109" s="3">
        <v>105</v>
      </c>
      <c r="B109" s="3" t="s">
        <v>472</v>
      </c>
      <c r="C109" s="4" t="s">
        <v>432</v>
      </c>
      <c r="D109" s="4" t="s">
        <v>450</v>
      </c>
      <c r="E109" s="4" t="s">
        <v>451</v>
      </c>
      <c r="F109" s="4" t="s">
        <v>473</v>
      </c>
      <c r="G109" s="4" t="s">
        <v>474</v>
      </c>
      <c r="H109" s="4" t="s">
        <v>76</v>
      </c>
      <c r="I109" s="4" t="s">
        <v>77</v>
      </c>
      <c r="J109" s="4"/>
      <c r="K109" s="4" t="s">
        <v>455</v>
      </c>
      <c r="L109" s="4" t="s">
        <v>28</v>
      </c>
      <c r="M109" s="4" t="s">
        <v>29</v>
      </c>
      <c r="N109" s="4" t="s">
        <v>30</v>
      </c>
      <c r="O109" s="4" t="s">
        <v>31</v>
      </c>
      <c r="P109" s="4" t="s">
        <v>78</v>
      </c>
      <c r="Q109" s="4"/>
    </row>
    <row r="110" spans="1:17" ht="25.5">
      <c r="A110" s="3">
        <v>106</v>
      </c>
      <c r="B110" s="3" t="s">
        <v>475</v>
      </c>
      <c r="C110" s="4" t="s">
        <v>432</v>
      </c>
      <c r="D110" s="4" t="s">
        <v>450</v>
      </c>
      <c r="E110" s="4" t="s">
        <v>476</v>
      </c>
      <c r="F110" s="4" t="s">
        <v>477</v>
      </c>
      <c r="G110" s="4" t="s">
        <v>478</v>
      </c>
      <c r="H110" s="4" t="s">
        <v>479</v>
      </c>
      <c r="I110" s="4" t="s">
        <v>83</v>
      </c>
      <c r="J110" s="4"/>
      <c r="K110" s="4" t="s">
        <v>455</v>
      </c>
      <c r="L110" s="4" t="s">
        <v>28</v>
      </c>
      <c r="M110" s="4" t="s">
        <v>29</v>
      </c>
      <c r="N110" s="4" t="s">
        <v>30</v>
      </c>
      <c r="O110" s="4" t="s">
        <v>41</v>
      </c>
      <c r="P110" s="4"/>
      <c r="Q110" s="4"/>
    </row>
    <row r="111" spans="1:17" ht="25.5">
      <c r="A111" s="3">
        <v>107</v>
      </c>
      <c r="B111" s="3" t="s">
        <v>480</v>
      </c>
      <c r="C111" s="4" t="s">
        <v>432</v>
      </c>
      <c r="D111" s="4" t="s">
        <v>450</v>
      </c>
      <c r="E111" s="4" t="s">
        <v>476</v>
      </c>
      <c r="F111" s="4" t="s">
        <v>481</v>
      </c>
      <c r="G111" s="4" t="s">
        <v>482</v>
      </c>
      <c r="H111" s="4" t="s">
        <v>479</v>
      </c>
      <c r="I111" s="4" t="s">
        <v>83</v>
      </c>
      <c r="J111" s="4"/>
      <c r="K111" s="4" t="s">
        <v>455</v>
      </c>
      <c r="L111" s="4" t="s">
        <v>28</v>
      </c>
      <c r="M111" s="4" t="s">
        <v>29</v>
      </c>
      <c r="N111" s="4" t="s">
        <v>30</v>
      </c>
      <c r="O111" s="4" t="s">
        <v>41</v>
      </c>
      <c r="P111" s="4"/>
      <c r="Q111" s="4"/>
    </row>
    <row r="112" spans="1:17" ht="25.5">
      <c r="A112" s="3">
        <v>108</v>
      </c>
      <c r="B112" s="3" t="s">
        <v>483</v>
      </c>
      <c r="C112" s="4" t="s">
        <v>432</v>
      </c>
      <c r="D112" s="4" t="s">
        <v>450</v>
      </c>
      <c r="E112" s="4" t="s">
        <v>476</v>
      </c>
      <c r="F112" s="4" t="s">
        <v>484</v>
      </c>
      <c r="G112" s="4" t="s">
        <v>485</v>
      </c>
      <c r="H112" s="4" t="s">
        <v>479</v>
      </c>
      <c r="I112" s="4" t="s">
        <v>83</v>
      </c>
      <c r="J112" s="4"/>
      <c r="K112" s="4" t="s">
        <v>455</v>
      </c>
      <c r="L112" s="4" t="s">
        <v>28</v>
      </c>
      <c r="M112" s="4" t="s">
        <v>29</v>
      </c>
      <c r="N112" s="4" t="s">
        <v>30</v>
      </c>
      <c r="O112" s="4" t="s">
        <v>41</v>
      </c>
      <c r="P112" s="4"/>
      <c r="Q112" s="4"/>
    </row>
    <row r="113" spans="1:17">
      <c r="A113" s="3">
        <v>109</v>
      </c>
      <c r="B113" s="3" t="s">
        <v>486</v>
      </c>
      <c r="C113" s="4" t="s">
        <v>432</v>
      </c>
      <c r="D113" s="4" t="s">
        <v>450</v>
      </c>
      <c r="E113" s="4" t="s">
        <v>476</v>
      </c>
      <c r="F113" s="4" t="s">
        <v>487</v>
      </c>
      <c r="G113" s="4" t="s">
        <v>488</v>
      </c>
      <c r="H113" s="4" t="s">
        <v>479</v>
      </c>
      <c r="I113" s="4" t="s">
        <v>83</v>
      </c>
      <c r="J113" s="4"/>
      <c r="K113" s="4" t="s">
        <v>455</v>
      </c>
      <c r="L113" s="4" t="s">
        <v>28</v>
      </c>
      <c r="M113" s="4" t="s">
        <v>29</v>
      </c>
      <c r="N113" s="4" t="s">
        <v>30</v>
      </c>
      <c r="O113" s="4" t="s">
        <v>41</v>
      </c>
      <c r="P113" s="4"/>
      <c r="Q113" s="4"/>
    </row>
    <row r="114" spans="1:17" ht="25.5">
      <c r="A114" s="3">
        <v>110</v>
      </c>
      <c r="B114" s="3" t="s">
        <v>489</v>
      </c>
      <c r="C114" s="4" t="s">
        <v>432</v>
      </c>
      <c r="D114" s="4" t="s">
        <v>450</v>
      </c>
      <c r="E114" s="4" t="s">
        <v>476</v>
      </c>
      <c r="F114" s="4" t="s">
        <v>490</v>
      </c>
      <c r="G114" s="4" t="s">
        <v>491</v>
      </c>
      <c r="H114" s="4" t="s">
        <v>479</v>
      </c>
      <c r="I114" s="4" t="s">
        <v>83</v>
      </c>
      <c r="J114" s="4"/>
      <c r="K114" s="4" t="s">
        <v>455</v>
      </c>
      <c r="L114" s="4" t="s">
        <v>28</v>
      </c>
      <c r="M114" s="4" t="s">
        <v>29</v>
      </c>
      <c r="N114" s="4" t="s">
        <v>30</v>
      </c>
      <c r="O114" s="4" t="s">
        <v>41</v>
      </c>
      <c r="P114" s="4"/>
      <c r="Q114" s="4"/>
    </row>
    <row r="115" spans="1:17">
      <c r="A115" s="3">
        <v>111</v>
      </c>
      <c r="B115" s="3" t="s">
        <v>492</v>
      </c>
      <c r="C115" s="4" t="s">
        <v>432</v>
      </c>
      <c r="D115" s="4" t="s">
        <v>450</v>
      </c>
      <c r="E115" s="4" t="s">
        <v>476</v>
      </c>
      <c r="F115" s="4" t="s">
        <v>493</v>
      </c>
      <c r="G115" s="4" t="s">
        <v>494</v>
      </c>
      <c r="H115" s="4" t="s">
        <v>479</v>
      </c>
      <c r="I115" s="4" t="s">
        <v>83</v>
      </c>
      <c r="J115" s="4"/>
      <c r="K115" s="4" t="s">
        <v>455</v>
      </c>
      <c r="L115" s="4" t="s">
        <v>28</v>
      </c>
      <c r="M115" s="4" t="s">
        <v>29</v>
      </c>
      <c r="N115" s="4" t="s">
        <v>30</v>
      </c>
      <c r="O115" s="4" t="s">
        <v>41</v>
      </c>
      <c r="P115" s="4"/>
      <c r="Q115" s="4"/>
    </row>
    <row r="116" spans="1:17" ht="25.5">
      <c r="A116" s="3">
        <v>112</v>
      </c>
      <c r="B116" s="3" t="s">
        <v>495</v>
      </c>
      <c r="C116" s="4" t="s">
        <v>432</v>
      </c>
      <c r="D116" s="4" t="s">
        <v>496</v>
      </c>
      <c r="E116" s="4" t="s">
        <v>497</v>
      </c>
      <c r="F116" s="4" t="s">
        <v>498</v>
      </c>
      <c r="G116" s="4" t="s">
        <v>499</v>
      </c>
      <c r="H116" s="4" t="s">
        <v>454</v>
      </c>
      <c r="I116" s="4" t="s">
        <v>52</v>
      </c>
      <c r="J116" s="4"/>
      <c r="K116" s="4" t="s">
        <v>500</v>
      </c>
      <c r="L116" s="4" t="s">
        <v>71</v>
      </c>
      <c r="M116" s="4" t="s">
        <v>125</v>
      </c>
      <c r="N116" s="4" t="s">
        <v>30</v>
      </c>
      <c r="O116" s="4" t="s">
        <v>501</v>
      </c>
      <c r="P116" s="4" t="s">
        <v>54</v>
      </c>
      <c r="Q116" s="4"/>
    </row>
    <row r="117" spans="1:17" ht="25.5">
      <c r="A117" s="3">
        <v>113</v>
      </c>
      <c r="B117" s="3" t="s">
        <v>502</v>
      </c>
      <c r="C117" s="4" t="s">
        <v>432</v>
      </c>
      <c r="D117" s="4" t="s">
        <v>496</v>
      </c>
      <c r="E117" s="4" t="s">
        <v>497</v>
      </c>
      <c r="F117" s="4" t="s">
        <v>503</v>
      </c>
      <c r="G117" s="4" t="s">
        <v>504</v>
      </c>
      <c r="H117" s="4" t="s">
        <v>454</v>
      </c>
      <c r="I117" s="4" t="s">
        <v>52</v>
      </c>
      <c r="J117" s="4"/>
      <c r="K117" s="4" t="s">
        <v>500</v>
      </c>
      <c r="L117" s="4" t="s">
        <v>71</v>
      </c>
      <c r="M117" s="4" t="s">
        <v>125</v>
      </c>
      <c r="N117" s="4" t="s">
        <v>30</v>
      </c>
      <c r="O117" s="4" t="s">
        <v>501</v>
      </c>
      <c r="P117" s="4" t="s">
        <v>58</v>
      </c>
      <c r="Q117" s="4"/>
    </row>
    <row r="118" spans="1:17" ht="25.5">
      <c r="A118" s="3">
        <v>114</v>
      </c>
      <c r="B118" s="3" t="s">
        <v>505</v>
      </c>
      <c r="C118" s="4" t="s">
        <v>432</v>
      </c>
      <c r="D118" s="4" t="s">
        <v>496</v>
      </c>
      <c r="E118" s="4" t="s">
        <v>497</v>
      </c>
      <c r="F118" s="4" t="s">
        <v>506</v>
      </c>
      <c r="G118" s="4" t="s">
        <v>507</v>
      </c>
      <c r="H118" s="4" t="s">
        <v>454</v>
      </c>
      <c r="I118" s="4" t="s">
        <v>52</v>
      </c>
      <c r="J118" s="4"/>
      <c r="K118" s="4" t="s">
        <v>500</v>
      </c>
      <c r="L118" s="4" t="s">
        <v>71</v>
      </c>
      <c r="M118" s="4" t="s">
        <v>125</v>
      </c>
      <c r="N118" s="4" t="s">
        <v>30</v>
      </c>
      <c r="O118" s="4" t="s">
        <v>501</v>
      </c>
      <c r="P118" s="4" t="s">
        <v>462</v>
      </c>
      <c r="Q118" s="4"/>
    </row>
    <row r="119" spans="1:17" ht="25.5">
      <c r="A119" s="3">
        <v>115</v>
      </c>
      <c r="B119" s="3" t="s">
        <v>508</v>
      </c>
      <c r="C119" s="4" t="s">
        <v>432</v>
      </c>
      <c r="D119" s="4" t="s">
        <v>496</v>
      </c>
      <c r="E119" s="4" t="s">
        <v>497</v>
      </c>
      <c r="F119" s="4" t="s">
        <v>509</v>
      </c>
      <c r="G119" s="4" t="s">
        <v>510</v>
      </c>
      <c r="H119" s="4" t="s">
        <v>454</v>
      </c>
      <c r="I119" s="4" t="s">
        <v>52</v>
      </c>
      <c r="J119" s="4"/>
      <c r="K119" s="4" t="s">
        <v>500</v>
      </c>
      <c r="L119" s="4" t="s">
        <v>71</v>
      </c>
      <c r="M119" s="4" t="s">
        <v>125</v>
      </c>
      <c r="N119" s="4" t="s">
        <v>30</v>
      </c>
      <c r="O119" s="4" t="s">
        <v>501</v>
      </c>
      <c r="P119" s="4" t="s">
        <v>62</v>
      </c>
      <c r="Q119" s="4"/>
    </row>
    <row r="120" spans="1:17" ht="25.5">
      <c r="A120" s="3">
        <v>116</v>
      </c>
      <c r="B120" s="3" t="s">
        <v>511</v>
      </c>
      <c r="C120" s="4" t="s">
        <v>432</v>
      </c>
      <c r="D120" s="4" t="s">
        <v>496</v>
      </c>
      <c r="E120" s="4" t="s">
        <v>497</v>
      </c>
      <c r="F120" s="4" t="s">
        <v>512</v>
      </c>
      <c r="G120" s="4" t="s">
        <v>513</v>
      </c>
      <c r="H120" s="4" t="s">
        <v>454</v>
      </c>
      <c r="I120" s="4" t="s">
        <v>52</v>
      </c>
      <c r="J120" s="4"/>
      <c r="K120" s="4" t="s">
        <v>500</v>
      </c>
      <c r="L120" s="4" t="s">
        <v>71</v>
      </c>
      <c r="M120" s="4" t="s">
        <v>125</v>
      </c>
      <c r="N120" s="4" t="s">
        <v>30</v>
      </c>
      <c r="O120" s="4" t="s">
        <v>501</v>
      </c>
      <c r="P120" s="4" t="s">
        <v>66</v>
      </c>
      <c r="Q120" s="4"/>
    </row>
    <row r="121" spans="1:17" ht="25.5">
      <c r="A121" s="3">
        <v>117</v>
      </c>
      <c r="B121" s="3" t="s">
        <v>514</v>
      </c>
      <c r="C121" s="4" t="s">
        <v>432</v>
      </c>
      <c r="D121" s="4" t="s">
        <v>496</v>
      </c>
      <c r="E121" s="4" t="s">
        <v>497</v>
      </c>
      <c r="F121" s="4" t="s">
        <v>515</v>
      </c>
      <c r="G121" s="4" t="s">
        <v>516</v>
      </c>
      <c r="H121" s="4" t="s">
        <v>70</v>
      </c>
      <c r="I121" s="4" t="s">
        <v>52</v>
      </c>
      <c r="J121" s="4"/>
      <c r="K121" s="4" t="s">
        <v>500</v>
      </c>
      <c r="L121" s="4" t="s">
        <v>71</v>
      </c>
      <c r="M121" s="4" t="s">
        <v>125</v>
      </c>
      <c r="N121" s="4" t="s">
        <v>30</v>
      </c>
      <c r="O121" s="4" t="s">
        <v>501</v>
      </c>
      <c r="P121" s="4" t="s">
        <v>72</v>
      </c>
      <c r="Q121" s="4"/>
    </row>
    <row r="122" spans="1:17" ht="25.5">
      <c r="A122" s="3">
        <v>118</v>
      </c>
      <c r="B122" s="3" t="s">
        <v>517</v>
      </c>
      <c r="C122" s="4" t="s">
        <v>432</v>
      </c>
      <c r="D122" s="4" t="s">
        <v>496</v>
      </c>
      <c r="E122" s="4" t="s">
        <v>497</v>
      </c>
      <c r="F122" s="4" t="s">
        <v>518</v>
      </c>
      <c r="G122" s="4" t="s">
        <v>519</v>
      </c>
      <c r="H122" s="4" t="s">
        <v>76</v>
      </c>
      <c r="I122" s="4" t="s">
        <v>77</v>
      </c>
      <c r="J122" s="4"/>
      <c r="K122" s="4" t="s">
        <v>500</v>
      </c>
      <c r="L122" s="4" t="s">
        <v>28</v>
      </c>
      <c r="M122" s="4" t="s">
        <v>125</v>
      </c>
      <c r="N122" s="4" t="s">
        <v>30</v>
      </c>
      <c r="O122" s="4" t="s">
        <v>501</v>
      </c>
      <c r="P122" s="4" t="s">
        <v>78</v>
      </c>
      <c r="Q122" s="4"/>
    </row>
    <row r="123" spans="1:17" ht="25.5">
      <c r="A123" s="3">
        <v>119</v>
      </c>
      <c r="B123" s="3" t="s">
        <v>520</v>
      </c>
      <c r="C123" s="4" t="s">
        <v>432</v>
      </c>
      <c r="D123" s="4" t="s">
        <v>496</v>
      </c>
      <c r="E123" s="4" t="s">
        <v>521</v>
      </c>
      <c r="F123" s="4" t="s">
        <v>522</v>
      </c>
      <c r="G123" s="4" t="s">
        <v>523</v>
      </c>
      <c r="H123" s="4" t="s">
        <v>454</v>
      </c>
      <c r="I123" s="4" t="s">
        <v>83</v>
      </c>
      <c r="J123" s="4"/>
      <c r="K123" s="4" t="s">
        <v>500</v>
      </c>
      <c r="L123" s="4" t="s">
        <v>71</v>
      </c>
      <c r="M123" s="4" t="s">
        <v>125</v>
      </c>
      <c r="N123" s="4" t="s">
        <v>30</v>
      </c>
      <c r="O123" s="4" t="s">
        <v>41</v>
      </c>
      <c r="P123" s="4"/>
      <c r="Q123" s="4"/>
    </row>
    <row r="124" spans="1:17" ht="25.5">
      <c r="A124" s="3">
        <v>120</v>
      </c>
      <c r="B124" s="3" t="s">
        <v>524</v>
      </c>
      <c r="C124" s="4" t="s">
        <v>432</v>
      </c>
      <c r="D124" s="4" t="s">
        <v>496</v>
      </c>
      <c r="E124" s="4" t="s">
        <v>525</v>
      </c>
      <c r="F124" s="4" t="s">
        <v>526</v>
      </c>
      <c r="G124" s="4" t="s">
        <v>527</v>
      </c>
      <c r="H124" s="4" t="s">
        <v>219</v>
      </c>
      <c r="I124" s="4" t="s">
        <v>26</v>
      </c>
      <c r="J124" s="4" t="s">
        <v>188</v>
      </c>
      <c r="K124" s="4" t="s">
        <v>500</v>
      </c>
      <c r="L124" s="4" t="s">
        <v>71</v>
      </c>
      <c r="M124" s="4" t="s">
        <v>125</v>
      </c>
      <c r="N124" s="4" t="s">
        <v>30</v>
      </c>
      <c r="O124" s="4" t="s">
        <v>41</v>
      </c>
      <c r="P124" s="4"/>
      <c r="Q124" s="4"/>
    </row>
    <row r="125" spans="1:17" ht="25.5">
      <c r="A125" s="3">
        <v>121</v>
      </c>
      <c r="B125" s="3" t="s">
        <v>528</v>
      </c>
      <c r="C125" s="4" t="s">
        <v>432</v>
      </c>
      <c r="D125" s="4" t="s">
        <v>529</v>
      </c>
      <c r="E125" s="4" t="s">
        <v>530</v>
      </c>
      <c r="F125" s="4" t="s">
        <v>531</v>
      </c>
      <c r="G125" s="4" t="s">
        <v>532</v>
      </c>
      <c r="H125" s="4" t="s">
        <v>219</v>
      </c>
      <c r="I125" s="4" t="s">
        <v>26</v>
      </c>
      <c r="J125" s="4"/>
      <c r="K125" s="4" t="s">
        <v>500</v>
      </c>
      <c r="L125" s="4" t="s">
        <v>28</v>
      </c>
      <c r="M125" s="4" t="s">
        <v>29</v>
      </c>
      <c r="N125" s="4" t="s">
        <v>30</v>
      </c>
      <c r="O125" s="4" t="s">
        <v>41</v>
      </c>
      <c r="P125" s="4"/>
      <c r="Q125" s="4"/>
    </row>
    <row r="126" spans="1:17" ht="25.5">
      <c r="A126" s="3">
        <v>122</v>
      </c>
      <c r="B126" s="3" t="s">
        <v>533</v>
      </c>
      <c r="C126" s="4" t="s">
        <v>432</v>
      </c>
      <c r="D126" s="4" t="s">
        <v>529</v>
      </c>
      <c r="E126" s="4" t="s">
        <v>530</v>
      </c>
      <c r="F126" s="4" t="s">
        <v>534</v>
      </c>
      <c r="G126" s="4" t="s">
        <v>535</v>
      </c>
      <c r="H126" s="4" t="s">
        <v>219</v>
      </c>
      <c r="I126" s="4" t="s">
        <v>26</v>
      </c>
      <c r="J126" s="4"/>
      <c r="K126" s="4" t="s">
        <v>500</v>
      </c>
      <c r="L126" s="4" t="s">
        <v>28</v>
      </c>
      <c r="M126" s="4" t="s">
        <v>29</v>
      </c>
      <c r="N126" s="4" t="s">
        <v>30</v>
      </c>
      <c r="O126" s="4" t="s">
        <v>41</v>
      </c>
      <c r="P126" s="4"/>
      <c r="Q126" s="4"/>
    </row>
    <row r="127" spans="1:17" ht="25.5">
      <c r="A127" s="3">
        <v>123</v>
      </c>
      <c r="B127" s="3" t="s">
        <v>536</v>
      </c>
      <c r="C127" s="4" t="s">
        <v>432</v>
      </c>
      <c r="D127" s="4" t="s">
        <v>529</v>
      </c>
      <c r="E127" s="4" t="s">
        <v>537</v>
      </c>
      <c r="F127" s="4" t="s">
        <v>538</v>
      </c>
      <c r="G127" s="4" t="s">
        <v>539</v>
      </c>
      <c r="H127" s="4" t="s">
        <v>540</v>
      </c>
      <c r="I127" s="4" t="s">
        <v>40</v>
      </c>
      <c r="J127" s="4"/>
      <c r="K127" s="4" t="s">
        <v>500</v>
      </c>
      <c r="L127" s="4" t="s">
        <v>28</v>
      </c>
      <c r="M127" s="4" t="s">
        <v>29</v>
      </c>
      <c r="N127" s="4" t="s">
        <v>30</v>
      </c>
      <c r="O127" s="4" t="s">
        <v>41</v>
      </c>
      <c r="P127" s="4"/>
      <c r="Q127" s="4"/>
    </row>
    <row r="128" spans="1:17" ht="25.5">
      <c r="A128" s="3">
        <v>124</v>
      </c>
      <c r="B128" s="3" t="s">
        <v>541</v>
      </c>
      <c r="C128" s="4" t="s">
        <v>432</v>
      </c>
      <c r="D128" s="4" t="s">
        <v>529</v>
      </c>
      <c r="E128" s="4" t="s">
        <v>542</v>
      </c>
      <c r="F128" s="4" t="s">
        <v>543</v>
      </c>
      <c r="G128" s="4" t="s">
        <v>544</v>
      </c>
      <c r="H128" s="4" t="s">
        <v>545</v>
      </c>
      <c r="I128" s="4" t="s">
        <v>113</v>
      </c>
      <c r="J128" s="4" t="s">
        <v>188</v>
      </c>
      <c r="K128" s="4" t="s">
        <v>500</v>
      </c>
      <c r="L128" s="4" t="s">
        <v>71</v>
      </c>
      <c r="M128" s="4" t="s">
        <v>125</v>
      </c>
      <c r="N128" s="4" t="s">
        <v>209</v>
      </c>
      <c r="O128" s="4" t="s">
        <v>546</v>
      </c>
      <c r="P128" s="4"/>
      <c r="Q128" s="4"/>
    </row>
    <row r="129" spans="1:17" ht="25.5">
      <c r="A129" s="3">
        <v>125</v>
      </c>
      <c r="B129" s="3" t="s">
        <v>547</v>
      </c>
      <c r="C129" s="4" t="s">
        <v>548</v>
      </c>
      <c r="D129" s="4" t="s">
        <v>549</v>
      </c>
      <c r="E129" s="4" t="s">
        <v>550</v>
      </c>
      <c r="F129" s="4" t="s">
        <v>551</v>
      </c>
      <c r="G129" s="4" t="s">
        <v>552</v>
      </c>
      <c r="H129" s="4" t="s">
        <v>553</v>
      </c>
      <c r="I129" s="4" t="s">
        <v>52</v>
      </c>
      <c r="J129" s="4" t="s">
        <v>554</v>
      </c>
      <c r="K129" s="4" t="s">
        <v>555</v>
      </c>
      <c r="L129" s="4" t="s">
        <v>28</v>
      </c>
      <c r="M129" s="4" t="s">
        <v>29</v>
      </c>
      <c r="N129" s="4" t="s">
        <v>30</v>
      </c>
      <c r="O129" s="4" t="s">
        <v>242</v>
      </c>
      <c r="P129" s="4" t="s">
        <v>54</v>
      </c>
      <c r="Q129" s="4"/>
    </row>
    <row r="130" spans="1:17" ht="25.5">
      <c r="A130" s="3">
        <v>126</v>
      </c>
      <c r="B130" s="3" t="s">
        <v>556</v>
      </c>
      <c r="C130" s="4" t="s">
        <v>548</v>
      </c>
      <c r="D130" s="4" t="s">
        <v>549</v>
      </c>
      <c r="E130" s="4" t="s">
        <v>550</v>
      </c>
      <c r="F130" s="4" t="s">
        <v>557</v>
      </c>
      <c r="G130" s="4" t="s">
        <v>558</v>
      </c>
      <c r="H130" s="4" t="s">
        <v>553</v>
      </c>
      <c r="I130" s="4" t="s">
        <v>52</v>
      </c>
      <c r="J130" s="4" t="s">
        <v>554</v>
      </c>
      <c r="K130" s="4" t="s">
        <v>555</v>
      </c>
      <c r="L130" s="4" t="s">
        <v>28</v>
      </c>
      <c r="M130" s="4" t="s">
        <v>29</v>
      </c>
      <c r="N130" s="4" t="s">
        <v>30</v>
      </c>
      <c r="O130" s="4" t="s">
        <v>242</v>
      </c>
      <c r="P130" s="4" t="s">
        <v>58</v>
      </c>
      <c r="Q130" s="4"/>
    </row>
    <row r="131" spans="1:17" ht="25.5">
      <c r="A131" s="3">
        <v>127</v>
      </c>
      <c r="B131" s="3" t="s">
        <v>559</v>
      </c>
      <c r="C131" s="4" t="s">
        <v>548</v>
      </c>
      <c r="D131" s="4" t="s">
        <v>549</v>
      </c>
      <c r="E131" s="4" t="s">
        <v>550</v>
      </c>
      <c r="F131" s="4" t="s">
        <v>560</v>
      </c>
      <c r="G131" s="4" t="s">
        <v>561</v>
      </c>
      <c r="H131" s="4" t="s">
        <v>553</v>
      </c>
      <c r="I131" s="4" t="s">
        <v>52</v>
      </c>
      <c r="J131" s="4" t="s">
        <v>554</v>
      </c>
      <c r="K131" s="4" t="s">
        <v>555</v>
      </c>
      <c r="L131" s="4" t="s">
        <v>28</v>
      </c>
      <c r="M131" s="4" t="s">
        <v>29</v>
      </c>
      <c r="N131" s="4" t="s">
        <v>30</v>
      </c>
      <c r="O131" s="4" t="s">
        <v>242</v>
      </c>
      <c r="P131" s="4" t="s">
        <v>62</v>
      </c>
      <c r="Q131" s="4"/>
    </row>
    <row r="132" spans="1:17" ht="25.5">
      <c r="A132" s="3">
        <v>128</v>
      </c>
      <c r="B132" s="3" t="s">
        <v>562</v>
      </c>
      <c r="C132" s="4" t="s">
        <v>548</v>
      </c>
      <c r="D132" s="4" t="s">
        <v>549</v>
      </c>
      <c r="E132" s="4" t="s">
        <v>550</v>
      </c>
      <c r="F132" s="4" t="s">
        <v>563</v>
      </c>
      <c r="G132" s="4" t="s">
        <v>564</v>
      </c>
      <c r="H132" s="4" t="s">
        <v>553</v>
      </c>
      <c r="I132" s="4" t="s">
        <v>52</v>
      </c>
      <c r="J132" s="4" t="s">
        <v>554</v>
      </c>
      <c r="K132" s="4" t="s">
        <v>555</v>
      </c>
      <c r="L132" s="4" t="s">
        <v>28</v>
      </c>
      <c r="M132" s="4" t="s">
        <v>29</v>
      </c>
      <c r="N132" s="4" t="s">
        <v>30</v>
      </c>
      <c r="O132" s="4" t="s">
        <v>242</v>
      </c>
      <c r="P132" s="4" t="s">
        <v>66</v>
      </c>
      <c r="Q132" s="4"/>
    </row>
    <row r="133" spans="1:17" ht="25.5">
      <c r="A133" s="3">
        <v>129</v>
      </c>
      <c r="B133" s="3" t="s">
        <v>565</v>
      </c>
      <c r="C133" s="4" t="s">
        <v>548</v>
      </c>
      <c r="D133" s="4" t="s">
        <v>549</v>
      </c>
      <c r="E133" s="4" t="s">
        <v>550</v>
      </c>
      <c r="F133" s="4" t="s">
        <v>566</v>
      </c>
      <c r="G133" s="4" t="s">
        <v>567</v>
      </c>
      <c r="H133" s="4" t="s">
        <v>70</v>
      </c>
      <c r="I133" s="4" t="s">
        <v>52</v>
      </c>
      <c r="J133" s="4" t="s">
        <v>554</v>
      </c>
      <c r="K133" s="4" t="s">
        <v>555</v>
      </c>
      <c r="L133" s="4" t="s">
        <v>71</v>
      </c>
      <c r="M133" s="4" t="s">
        <v>29</v>
      </c>
      <c r="N133" s="4" t="s">
        <v>30</v>
      </c>
      <c r="O133" s="4" t="s">
        <v>242</v>
      </c>
      <c r="P133" s="4" t="s">
        <v>72</v>
      </c>
      <c r="Q133" s="4"/>
    </row>
    <row r="134" spans="1:17" ht="25.5">
      <c r="A134" s="3">
        <v>130</v>
      </c>
      <c r="B134" s="3" t="s">
        <v>568</v>
      </c>
      <c r="C134" s="4" t="s">
        <v>548</v>
      </c>
      <c r="D134" s="4" t="s">
        <v>549</v>
      </c>
      <c r="E134" s="4" t="s">
        <v>550</v>
      </c>
      <c r="F134" s="4" t="s">
        <v>569</v>
      </c>
      <c r="G134" s="4" t="s">
        <v>570</v>
      </c>
      <c r="H134" s="4" t="s">
        <v>76</v>
      </c>
      <c r="I134" s="4" t="s">
        <v>77</v>
      </c>
      <c r="J134" s="4" t="s">
        <v>554</v>
      </c>
      <c r="K134" s="4" t="s">
        <v>555</v>
      </c>
      <c r="L134" s="4" t="s">
        <v>28</v>
      </c>
      <c r="M134" s="4" t="s">
        <v>29</v>
      </c>
      <c r="N134" s="4" t="s">
        <v>30</v>
      </c>
      <c r="O134" s="4" t="s">
        <v>242</v>
      </c>
      <c r="P134" s="4" t="s">
        <v>78</v>
      </c>
      <c r="Q134" s="4"/>
    </row>
    <row r="135" spans="1:17" ht="25.5">
      <c r="A135" s="3">
        <v>131</v>
      </c>
      <c r="B135" s="3" t="s">
        <v>571</v>
      </c>
      <c r="C135" s="4" t="s">
        <v>548</v>
      </c>
      <c r="D135" s="4" t="s">
        <v>549</v>
      </c>
      <c r="E135" s="4" t="s">
        <v>572</v>
      </c>
      <c r="F135" s="4" t="s">
        <v>573</v>
      </c>
      <c r="G135" s="4" t="s">
        <v>574</v>
      </c>
      <c r="H135" s="4" t="s">
        <v>553</v>
      </c>
      <c r="I135" s="4" t="s">
        <v>52</v>
      </c>
      <c r="J135" s="4" t="s">
        <v>554</v>
      </c>
      <c r="K135" s="4" t="s">
        <v>555</v>
      </c>
      <c r="L135" s="4" t="s">
        <v>28</v>
      </c>
      <c r="M135" s="4" t="s">
        <v>29</v>
      </c>
      <c r="N135" s="4" t="s">
        <v>30</v>
      </c>
      <c r="O135" s="4" t="s">
        <v>575</v>
      </c>
      <c r="P135" s="4"/>
      <c r="Q135" s="4"/>
    </row>
    <row r="136" spans="1:17" ht="25.5">
      <c r="A136" s="3">
        <v>132</v>
      </c>
      <c r="B136" s="3" t="s">
        <v>576</v>
      </c>
      <c r="C136" s="4" t="s">
        <v>548</v>
      </c>
      <c r="D136" s="4" t="s">
        <v>549</v>
      </c>
      <c r="E136" s="4" t="s">
        <v>572</v>
      </c>
      <c r="F136" s="4" t="s">
        <v>577</v>
      </c>
      <c r="G136" s="4" t="s">
        <v>574</v>
      </c>
      <c r="H136" s="4" t="s">
        <v>553</v>
      </c>
      <c r="I136" s="4" t="s">
        <v>52</v>
      </c>
      <c r="J136" s="4" t="s">
        <v>554</v>
      </c>
      <c r="K136" s="4" t="s">
        <v>555</v>
      </c>
      <c r="L136" s="4" t="s">
        <v>28</v>
      </c>
      <c r="M136" s="4" t="s">
        <v>29</v>
      </c>
      <c r="N136" s="4" t="s">
        <v>30</v>
      </c>
      <c r="O136" s="4" t="s">
        <v>575</v>
      </c>
      <c r="P136" s="4"/>
      <c r="Q136" s="4"/>
    </row>
    <row r="137" spans="1:17" ht="25.5">
      <c r="A137" s="3">
        <v>133</v>
      </c>
      <c r="B137" s="3" t="s">
        <v>578</v>
      </c>
      <c r="C137" s="4" t="s">
        <v>548</v>
      </c>
      <c r="D137" s="4" t="s">
        <v>549</v>
      </c>
      <c r="E137" s="4" t="s">
        <v>572</v>
      </c>
      <c r="F137" s="4" t="s">
        <v>579</v>
      </c>
      <c r="G137" s="4" t="s">
        <v>574</v>
      </c>
      <c r="H137" s="4" t="s">
        <v>553</v>
      </c>
      <c r="I137" s="4" t="s">
        <v>52</v>
      </c>
      <c r="J137" s="4" t="s">
        <v>554</v>
      </c>
      <c r="K137" s="4" t="s">
        <v>580</v>
      </c>
      <c r="L137" s="4" t="s">
        <v>28</v>
      </c>
      <c r="M137" s="4" t="s">
        <v>29</v>
      </c>
      <c r="N137" s="4" t="s">
        <v>30</v>
      </c>
      <c r="O137" s="4" t="s">
        <v>575</v>
      </c>
      <c r="P137" s="4"/>
      <c r="Q137" s="4"/>
    </row>
    <row r="138" spans="1:17" ht="25.5">
      <c r="A138" s="3">
        <v>134</v>
      </c>
      <c r="B138" s="3" t="s">
        <v>581</v>
      </c>
      <c r="C138" s="4" t="s">
        <v>548</v>
      </c>
      <c r="D138" s="4" t="s">
        <v>549</v>
      </c>
      <c r="E138" s="4" t="s">
        <v>572</v>
      </c>
      <c r="F138" s="4" t="s">
        <v>582</v>
      </c>
      <c r="G138" s="4" t="s">
        <v>574</v>
      </c>
      <c r="H138" s="4" t="s">
        <v>553</v>
      </c>
      <c r="I138" s="4" t="s">
        <v>52</v>
      </c>
      <c r="J138" s="4" t="s">
        <v>554</v>
      </c>
      <c r="K138" s="4" t="s">
        <v>555</v>
      </c>
      <c r="L138" s="4" t="s">
        <v>28</v>
      </c>
      <c r="M138" s="4" t="s">
        <v>29</v>
      </c>
      <c r="N138" s="4" t="s">
        <v>30</v>
      </c>
      <c r="O138" s="4" t="s">
        <v>575</v>
      </c>
      <c r="P138" s="4"/>
      <c r="Q138" s="4"/>
    </row>
    <row r="139" spans="1:17" ht="25.5">
      <c r="A139" s="3">
        <v>135</v>
      </c>
      <c r="B139" s="3" t="s">
        <v>583</v>
      </c>
      <c r="C139" s="4" t="s">
        <v>548</v>
      </c>
      <c r="D139" s="4" t="s">
        <v>549</v>
      </c>
      <c r="E139" s="4" t="s">
        <v>572</v>
      </c>
      <c r="F139" s="4" t="s">
        <v>584</v>
      </c>
      <c r="G139" s="4" t="s">
        <v>574</v>
      </c>
      <c r="H139" s="4" t="s">
        <v>553</v>
      </c>
      <c r="I139" s="4" t="s">
        <v>52</v>
      </c>
      <c r="J139" s="4" t="s">
        <v>554</v>
      </c>
      <c r="K139" s="4" t="s">
        <v>555</v>
      </c>
      <c r="L139" s="4" t="s">
        <v>28</v>
      </c>
      <c r="M139" s="4" t="s">
        <v>29</v>
      </c>
      <c r="N139" s="4" t="s">
        <v>30</v>
      </c>
      <c r="O139" s="4" t="s">
        <v>575</v>
      </c>
      <c r="P139" s="4"/>
      <c r="Q139" s="4"/>
    </row>
    <row r="140" spans="1:17" ht="25.5">
      <c r="A140" s="3">
        <v>136</v>
      </c>
      <c r="B140" s="3" t="s">
        <v>585</v>
      </c>
      <c r="C140" s="4" t="s">
        <v>548</v>
      </c>
      <c r="D140" s="4" t="s">
        <v>549</v>
      </c>
      <c r="E140" s="4" t="s">
        <v>586</v>
      </c>
      <c r="F140" s="4" t="s">
        <v>587</v>
      </c>
      <c r="G140" s="4" t="s">
        <v>588</v>
      </c>
      <c r="H140" s="4" t="s">
        <v>553</v>
      </c>
      <c r="I140" s="4" t="s">
        <v>52</v>
      </c>
      <c r="J140" s="4" t="s">
        <v>554</v>
      </c>
      <c r="K140" s="4" t="s">
        <v>555</v>
      </c>
      <c r="L140" s="4" t="s">
        <v>28</v>
      </c>
      <c r="M140" s="4" t="s">
        <v>29</v>
      </c>
      <c r="N140" s="4" t="s">
        <v>30</v>
      </c>
      <c r="O140" s="4" t="s">
        <v>41</v>
      </c>
      <c r="P140" s="4"/>
      <c r="Q140" s="4"/>
    </row>
    <row r="141" spans="1:17" ht="25.5">
      <c r="A141" s="3">
        <v>137</v>
      </c>
      <c r="B141" s="3" t="s">
        <v>589</v>
      </c>
      <c r="C141" s="4" t="s">
        <v>548</v>
      </c>
      <c r="D141" s="4" t="s">
        <v>549</v>
      </c>
      <c r="E141" s="4" t="s">
        <v>590</v>
      </c>
      <c r="F141" s="4" t="s">
        <v>591</v>
      </c>
      <c r="G141" s="4" t="s">
        <v>592</v>
      </c>
      <c r="H141" s="4" t="s">
        <v>593</v>
      </c>
      <c r="I141" s="4" t="s">
        <v>52</v>
      </c>
      <c r="J141" s="4" t="s">
        <v>554</v>
      </c>
      <c r="K141" s="4" t="s">
        <v>555</v>
      </c>
      <c r="L141" s="4" t="s">
        <v>28</v>
      </c>
      <c r="M141" s="4" t="s">
        <v>29</v>
      </c>
      <c r="N141" s="4" t="s">
        <v>30</v>
      </c>
      <c r="O141" s="4" t="s">
        <v>41</v>
      </c>
      <c r="P141" s="4"/>
      <c r="Q141" s="4"/>
    </row>
    <row r="142" spans="1:17" ht="25.5">
      <c r="A142" s="3">
        <v>138</v>
      </c>
      <c r="B142" s="3" t="s">
        <v>594</v>
      </c>
      <c r="C142" s="4" t="s">
        <v>548</v>
      </c>
      <c r="D142" s="4" t="s">
        <v>595</v>
      </c>
      <c r="E142" s="4" t="s">
        <v>596</v>
      </c>
      <c r="F142" s="4" t="s">
        <v>597</v>
      </c>
      <c r="G142" s="4" t="s">
        <v>598</v>
      </c>
      <c r="H142" s="4" t="s">
        <v>599</v>
      </c>
      <c r="I142" s="4" t="s">
        <v>52</v>
      </c>
      <c r="J142" s="4" t="s">
        <v>600</v>
      </c>
      <c r="K142" s="4" t="s">
        <v>601</v>
      </c>
      <c r="L142" s="4" t="s">
        <v>28</v>
      </c>
      <c r="M142" s="4" t="s">
        <v>29</v>
      </c>
      <c r="N142" s="4" t="s">
        <v>30</v>
      </c>
      <c r="O142" s="4" t="s">
        <v>41</v>
      </c>
      <c r="P142" s="4"/>
      <c r="Q142" s="4"/>
    </row>
    <row r="143" spans="1:17" ht="38.25">
      <c r="A143" s="3">
        <v>139</v>
      </c>
      <c r="B143" s="3" t="s">
        <v>602</v>
      </c>
      <c r="C143" s="4" t="s">
        <v>548</v>
      </c>
      <c r="D143" s="4" t="s">
        <v>595</v>
      </c>
      <c r="E143" s="4" t="s">
        <v>603</v>
      </c>
      <c r="F143" s="4" t="s">
        <v>604</v>
      </c>
      <c r="G143" s="4" t="s">
        <v>605</v>
      </c>
      <c r="H143" s="4" t="s">
        <v>606</v>
      </c>
      <c r="I143" s="4" t="s">
        <v>52</v>
      </c>
      <c r="J143" s="4" t="s">
        <v>554</v>
      </c>
      <c r="K143" s="4" t="s">
        <v>601</v>
      </c>
      <c r="L143" s="4" t="s">
        <v>28</v>
      </c>
      <c r="M143" s="4" t="s">
        <v>29</v>
      </c>
      <c r="N143" s="4" t="s">
        <v>30</v>
      </c>
      <c r="O143" s="4" t="s">
        <v>607</v>
      </c>
      <c r="P143" s="4"/>
      <c r="Q143" s="4"/>
    </row>
    <row r="144" spans="1:17" ht="25.5">
      <c r="A144" s="3">
        <v>140</v>
      </c>
      <c r="B144" s="3" t="s">
        <v>608</v>
      </c>
      <c r="C144" s="4" t="s">
        <v>548</v>
      </c>
      <c r="D144" s="4" t="s">
        <v>595</v>
      </c>
      <c r="E144" s="4" t="s">
        <v>596</v>
      </c>
      <c r="F144" s="4" t="s">
        <v>609</v>
      </c>
      <c r="G144" s="4" t="s">
        <v>610</v>
      </c>
      <c r="H144" s="4" t="s">
        <v>611</v>
      </c>
      <c r="I144" s="4" t="s">
        <v>52</v>
      </c>
      <c r="J144" s="4" t="s">
        <v>554</v>
      </c>
      <c r="K144" s="4" t="s">
        <v>601</v>
      </c>
      <c r="L144" s="4" t="s">
        <v>28</v>
      </c>
      <c r="M144" s="4" t="s">
        <v>29</v>
      </c>
      <c r="N144" s="4" t="s">
        <v>30</v>
      </c>
      <c r="O144" s="4" t="s">
        <v>607</v>
      </c>
      <c r="P144" s="4"/>
      <c r="Q144" s="4"/>
    </row>
    <row r="145" spans="1:17" ht="25.5">
      <c r="A145" s="3">
        <v>141</v>
      </c>
      <c r="B145" s="3" t="s">
        <v>612</v>
      </c>
      <c r="C145" s="4" t="s">
        <v>548</v>
      </c>
      <c r="D145" s="4" t="s">
        <v>595</v>
      </c>
      <c r="E145" s="4" t="s">
        <v>613</v>
      </c>
      <c r="F145" s="4" t="s">
        <v>614</v>
      </c>
      <c r="G145" s="4" t="s">
        <v>615</v>
      </c>
      <c r="H145" s="4" t="s">
        <v>616</v>
      </c>
      <c r="I145" s="4" t="s">
        <v>52</v>
      </c>
      <c r="J145" s="4" t="s">
        <v>554</v>
      </c>
      <c r="K145" s="4" t="s">
        <v>617</v>
      </c>
      <c r="L145" s="4" t="s">
        <v>28</v>
      </c>
      <c r="M145" s="4" t="s">
        <v>29</v>
      </c>
      <c r="N145" s="4" t="s">
        <v>30</v>
      </c>
      <c r="O145" s="4" t="s">
        <v>618</v>
      </c>
      <c r="P145" s="4"/>
      <c r="Q145" s="4"/>
    </row>
    <row r="146" spans="1:17" ht="25.5">
      <c r="A146" s="3">
        <v>142</v>
      </c>
      <c r="B146" s="3" t="s">
        <v>619</v>
      </c>
      <c r="C146" s="4" t="s">
        <v>548</v>
      </c>
      <c r="D146" s="4" t="s">
        <v>595</v>
      </c>
      <c r="E146" s="4" t="s">
        <v>613</v>
      </c>
      <c r="F146" s="4" t="s">
        <v>620</v>
      </c>
      <c r="G146" s="4" t="s">
        <v>621</v>
      </c>
      <c r="H146" s="4" t="s">
        <v>622</v>
      </c>
      <c r="I146" s="4" t="s">
        <v>52</v>
      </c>
      <c r="J146" s="4" t="s">
        <v>554</v>
      </c>
      <c r="K146" s="4" t="s">
        <v>617</v>
      </c>
      <c r="L146" s="4" t="s">
        <v>28</v>
      </c>
      <c r="M146" s="4" t="s">
        <v>29</v>
      </c>
      <c r="N146" s="4" t="s">
        <v>209</v>
      </c>
      <c r="O146" s="4" t="s">
        <v>623</v>
      </c>
      <c r="P146" s="4"/>
      <c r="Q146" s="4"/>
    </row>
    <row r="147" spans="1:17" ht="25.5">
      <c r="A147" s="3">
        <v>143</v>
      </c>
      <c r="B147" s="3" t="s">
        <v>624</v>
      </c>
      <c r="C147" s="4" t="s">
        <v>548</v>
      </c>
      <c r="D147" s="4" t="s">
        <v>595</v>
      </c>
      <c r="E147" s="4" t="s">
        <v>625</v>
      </c>
      <c r="F147" s="4" t="s">
        <v>626</v>
      </c>
      <c r="G147" s="4" t="s">
        <v>627</v>
      </c>
      <c r="H147" s="4" t="s">
        <v>628</v>
      </c>
      <c r="I147" s="4" t="s">
        <v>52</v>
      </c>
      <c r="J147" s="4" t="s">
        <v>600</v>
      </c>
      <c r="K147" s="4" t="s">
        <v>601</v>
      </c>
      <c r="L147" s="4" t="s">
        <v>28</v>
      </c>
      <c r="M147" s="4" t="s">
        <v>29</v>
      </c>
      <c r="N147" s="4" t="s">
        <v>30</v>
      </c>
      <c r="O147" s="4" t="s">
        <v>41</v>
      </c>
      <c r="P147" s="4"/>
      <c r="Q147" s="4"/>
    </row>
    <row r="148" spans="1:17" ht="25.5">
      <c r="A148" s="3">
        <v>144</v>
      </c>
      <c r="B148" s="3" t="s">
        <v>629</v>
      </c>
      <c r="C148" s="4" t="s">
        <v>548</v>
      </c>
      <c r="D148" s="4" t="s">
        <v>595</v>
      </c>
      <c r="E148" s="4" t="s">
        <v>630</v>
      </c>
      <c r="F148" s="4" t="s">
        <v>631</v>
      </c>
      <c r="G148" s="4" t="s">
        <v>632</v>
      </c>
      <c r="H148" s="4" t="s">
        <v>622</v>
      </c>
      <c r="I148" s="4" t="s">
        <v>52</v>
      </c>
      <c r="J148" s="4" t="s">
        <v>600</v>
      </c>
      <c r="K148" s="4" t="s">
        <v>617</v>
      </c>
      <c r="L148" s="4" t="s">
        <v>28</v>
      </c>
      <c r="M148" s="4" t="s">
        <v>29</v>
      </c>
      <c r="N148" s="4" t="s">
        <v>209</v>
      </c>
      <c r="O148" s="4" t="s">
        <v>278</v>
      </c>
      <c r="P148" s="4"/>
      <c r="Q148" s="4"/>
    </row>
    <row r="149" spans="1:17" ht="25.5">
      <c r="A149" s="3">
        <v>145</v>
      </c>
      <c r="B149" s="3" t="s">
        <v>633</v>
      </c>
      <c r="C149" s="4" t="s">
        <v>548</v>
      </c>
      <c r="D149" s="4" t="s">
        <v>595</v>
      </c>
      <c r="E149" s="4" t="s">
        <v>634</v>
      </c>
      <c r="F149" s="4" t="s">
        <v>635</v>
      </c>
      <c r="G149" s="4" t="s">
        <v>636</v>
      </c>
      <c r="H149" s="4" t="s">
        <v>187</v>
      </c>
      <c r="I149" s="4" t="s">
        <v>52</v>
      </c>
      <c r="J149" s="4"/>
      <c r="K149" s="4" t="s">
        <v>637</v>
      </c>
      <c r="L149" s="4" t="s">
        <v>71</v>
      </c>
      <c r="M149" s="4" t="s">
        <v>125</v>
      </c>
      <c r="N149" s="4" t="s">
        <v>30</v>
      </c>
      <c r="O149" s="4" t="s">
        <v>41</v>
      </c>
      <c r="P149" s="4"/>
      <c r="Q149" s="4"/>
    </row>
    <row r="150" spans="1:17" ht="25.5">
      <c r="A150" s="3">
        <v>146</v>
      </c>
      <c r="B150" s="3" t="s">
        <v>638</v>
      </c>
      <c r="C150" s="4" t="s">
        <v>639</v>
      </c>
      <c r="D150" s="4" t="s">
        <v>640</v>
      </c>
      <c r="E150" s="4" t="s">
        <v>641</v>
      </c>
      <c r="F150" s="4" t="s">
        <v>642</v>
      </c>
      <c r="G150" s="4" t="s">
        <v>643</v>
      </c>
      <c r="H150" s="4" t="s">
        <v>284</v>
      </c>
      <c r="I150" s="4" t="s">
        <v>113</v>
      </c>
      <c r="J150" s="4" t="s">
        <v>644</v>
      </c>
      <c r="K150" s="4" t="s">
        <v>645</v>
      </c>
      <c r="L150" s="4" t="s">
        <v>28</v>
      </c>
      <c r="M150" s="4" t="s">
        <v>125</v>
      </c>
      <c r="N150" s="4" t="s">
        <v>30</v>
      </c>
      <c r="O150" s="4" t="s">
        <v>646</v>
      </c>
      <c r="P150" s="4"/>
      <c r="Q150" s="4"/>
    </row>
    <row r="151" spans="1:17" ht="25.5">
      <c r="A151" s="3">
        <v>147</v>
      </c>
      <c r="B151" s="3" t="s">
        <v>647</v>
      </c>
      <c r="C151" s="4" t="s">
        <v>639</v>
      </c>
      <c r="D151" s="4" t="s">
        <v>640</v>
      </c>
      <c r="E151" s="4" t="s">
        <v>648</v>
      </c>
      <c r="F151" s="4" t="s">
        <v>649</v>
      </c>
      <c r="G151" s="4" t="s">
        <v>650</v>
      </c>
      <c r="H151" s="4" t="s">
        <v>284</v>
      </c>
      <c r="I151" s="4" t="s">
        <v>113</v>
      </c>
      <c r="J151" s="4" t="s">
        <v>644</v>
      </c>
      <c r="K151" s="4" t="s">
        <v>645</v>
      </c>
      <c r="L151" s="4" t="s">
        <v>28</v>
      </c>
      <c r="M151" s="4" t="s">
        <v>125</v>
      </c>
      <c r="N151" s="4" t="s">
        <v>30</v>
      </c>
      <c r="O151" s="4" t="s">
        <v>646</v>
      </c>
      <c r="P151" s="4"/>
      <c r="Q151" s="4"/>
    </row>
    <row r="152" spans="1:17" ht="25.5">
      <c r="A152" s="3">
        <v>148</v>
      </c>
      <c r="B152" s="3" t="s">
        <v>651</v>
      </c>
      <c r="C152" s="4" t="s">
        <v>639</v>
      </c>
      <c r="D152" s="4" t="s">
        <v>640</v>
      </c>
      <c r="E152" s="4" t="s">
        <v>652</v>
      </c>
      <c r="F152" s="4" t="s">
        <v>653</v>
      </c>
      <c r="G152" s="4" t="s">
        <v>654</v>
      </c>
      <c r="H152" s="4" t="s">
        <v>655</v>
      </c>
      <c r="I152" s="4" t="s">
        <v>656</v>
      </c>
      <c r="J152" s="4" t="s">
        <v>657</v>
      </c>
      <c r="K152" s="4" t="s">
        <v>658</v>
      </c>
      <c r="L152" s="4" t="s">
        <v>71</v>
      </c>
      <c r="M152" s="4" t="s">
        <v>125</v>
      </c>
      <c r="N152" s="4" t="s">
        <v>30</v>
      </c>
      <c r="O152" s="4" t="s">
        <v>41</v>
      </c>
      <c r="P152" s="4"/>
      <c r="Q152" s="4"/>
    </row>
    <row r="153" spans="1:17" ht="25.5">
      <c r="A153" s="3">
        <v>149</v>
      </c>
      <c r="B153" s="3" t="s">
        <v>659</v>
      </c>
      <c r="C153" s="4" t="s">
        <v>639</v>
      </c>
      <c r="D153" s="4" t="s">
        <v>660</v>
      </c>
      <c r="E153" s="4" t="s">
        <v>586</v>
      </c>
      <c r="F153" s="4" t="s">
        <v>661</v>
      </c>
      <c r="G153" s="4" t="s">
        <v>662</v>
      </c>
      <c r="H153" s="4" t="s">
        <v>284</v>
      </c>
      <c r="I153" s="4" t="s">
        <v>113</v>
      </c>
      <c r="J153" s="4" t="s">
        <v>663</v>
      </c>
      <c r="K153" s="4" t="s">
        <v>645</v>
      </c>
      <c r="L153" s="4" t="s">
        <v>28</v>
      </c>
      <c r="M153" s="4" t="s">
        <v>125</v>
      </c>
      <c r="N153" s="4" t="s">
        <v>30</v>
      </c>
      <c r="O153" s="4" t="s">
        <v>646</v>
      </c>
      <c r="P153" s="4"/>
      <c r="Q153" s="4"/>
    </row>
    <row r="154" spans="1:17" ht="25.5">
      <c r="A154" s="3">
        <v>150</v>
      </c>
      <c r="B154" s="3" t="s">
        <v>664</v>
      </c>
      <c r="C154" s="4" t="s">
        <v>639</v>
      </c>
      <c r="D154" s="4" t="s">
        <v>660</v>
      </c>
      <c r="E154" s="4" t="s">
        <v>665</v>
      </c>
      <c r="F154" s="4" t="s">
        <v>666</v>
      </c>
      <c r="G154" s="4" t="s">
        <v>667</v>
      </c>
      <c r="H154" s="4" t="s">
        <v>668</v>
      </c>
      <c r="I154" s="4" t="s">
        <v>52</v>
      </c>
      <c r="J154" s="4" t="s">
        <v>657</v>
      </c>
      <c r="K154" s="4" t="s">
        <v>658</v>
      </c>
      <c r="L154" s="4" t="s">
        <v>407</v>
      </c>
      <c r="M154" s="4" t="s">
        <v>408</v>
      </c>
      <c r="N154" s="4" t="s">
        <v>209</v>
      </c>
      <c r="O154" s="4" t="s">
        <v>41</v>
      </c>
      <c r="P154" s="4"/>
      <c r="Q154" s="4"/>
    </row>
    <row r="155" spans="1:17" ht="38.25">
      <c r="A155" s="3">
        <v>151</v>
      </c>
      <c r="B155" s="3" t="s">
        <v>669</v>
      </c>
      <c r="C155" s="4" t="s">
        <v>639</v>
      </c>
      <c r="D155" s="4" t="s">
        <v>670</v>
      </c>
      <c r="E155" s="4" t="s">
        <v>671</v>
      </c>
      <c r="F155" s="4" t="s">
        <v>672</v>
      </c>
      <c r="G155" s="4" t="s">
        <v>673</v>
      </c>
      <c r="H155" s="4" t="s">
        <v>314</v>
      </c>
      <c r="I155" s="4" t="s">
        <v>113</v>
      </c>
      <c r="J155" s="4" t="s">
        <v>674</v>
      </c>
      <c r="K155" s="4" t="s">
        <v>645</v>
      </c>
      <c r="L155" s="4" t="s">
        <v>28</v>
      </c>
      <c r="M155" s="4" t="s">
        <v>125</v>
      </c>
      <c r="N155" s="4" t="s">
        <v>30</v>
      </c>
      <c r="O155" s="4" t="s">
        <v>646</v>
      </c>
      <c r="P155" s="4"/>
      <c r="Q155" s="4"/>
    </row>
    <row r="156" spans="1:17" ht="25.5">
      <c r="A156" s="3">
        <v>152</v>
      </c>
      <c r="B156" s="3" t="s">
        <v>675</v>
      </c>
      <c r="C156" s="4" t="s">
        <v>639</v>
      </c>
      <c r="D156" s="4" t="s">
        <v>670</v>
      </c>
      <c r="E156" s="4" t="s">
        <v>676</v>
      </c>
      <c r="F156" s="4" t="s">
        <v>677</v>
      </c>
      <c r="G156" s="4" t="s">
        <v>678</v>
      </c>
      <c r="H156" s="4" t="s">
        <v>679</v>
      </c>
      <c r="I156" s="4" t="s">
        <v>113</v>
      </c>
      <c r="J156" s="4" t="s">
        <v>657</v>
      </c>
      <c r="K156" s="4" t="s">
        <v>645</v>
      </c>
      <c r="L156" s="4" t="s">
        <v>28</v>
      </c>
      <c r="M156" s="4" t="s">
        <v>125</v>
      </c>
      <c r="N156" s="4" t="s">
        <v>30</v>
      </c>
      <c r="O156" s="4" t="s">
        <v>41</v>
      </c>
      <c r="P156" s="4"/>
      <c r="Q156" s="4"/>
    </row>
    <row r="157" spans="1:17" ht="25.5">
      <c r="A157" s="3">
        <v>153</v>
      </c>
      <c r="B157" s="3" t="s">
        <v>680</v>
      </c>
      <c r="C157" s="4" t="s">
        <v>639</v>
      </c>
      <c r="D157" s="4" t="s">
        <v>681</v>
      </c>
      <c r="E157" s="4" t="s">
        <v>682</v>
      </c>
      <c r="F157" s="4" t="s">
        <v>683</v>
      </c>
      <c r="G157" s="4" t="s">
        <v>684</v>
      </c>
      <c r="H157" s="4" t="s">
        <v>685</v>
      </c>
      <c r="I157" s="4" t="s">
        <v>113</v>
      </c>
      <c r="J157" s="4" t="s">
        <v>686</v>
      </c>
      <c r="K157" s="4" t="s">
        <v>645</v>
      </c>
      <c r="L157" s="4" t="s">
        <v>28</v>
      </c>
      <c r="M157" s="4" t="s">
        <v>125</v>
      </c>
      <c r="N157" s="4" t="s">
        <v>30</v>
      </c>
      <c r="O157" s="4" t="s">
        <v>646</v>
      </c>
      <c r="P157" s="4"/>
      <c r="Q157" s="4"/>
    </row>
    <row r="158" spans="1:17" ht="25.5">
      <c r="A158" s="3">
        <v>154</v>
      </c>
      <c r="B158" s="3" t="s">
        <v>687</v>
      </c>
      <c r="C158" s="4" t="s">
        <v>639</v>
      </c>
      <c r="D158" s="4" t="s">
        <v>688</v>
      </c>
      <c r="E158" s="4" t="s">
        <v>689</v>
      </c>
      <c r="F158" s="4" t="s">
        <v>690</v>
      </c>
      <c r="G158" s="4" t="s">
        <v>691</v>
      </c>
      <c r="H158" s="4" t="s">
        <v>692</v>
      </c>
      <c r="I158" s="4" t="s">
        <v>113</v>
      </c>
      <c r="J158" s="4" t="s">
        <v>693</v>
      </c>
      <c r="K158" s="4" t="s">
        <v>645</v>
      </c>
      <c r="L158" s="4" t="s">
        <v>28</v>
      </c>
      <c r="M158" s="4" t="s">
        <v>125</v>
      </c>
      <c r="N158" s="4" t="s">
        <v>30</v>
      </c>
      <c r="O158" s="4" t="s">
        <v>646</v>
      </c>
      <c r="P158" s="4"/>
      <c r="Q158" s="4"/>
    </row>
    <row r="159" spans="1:17" ht="25.5">
      <c r="A159" s="3">
        <v>155</v>
      </c>
      <c r="B159" s="3" t="s">
        <v>694</v>
      </c>
      <c r="C159" s="4" t="s">
        <v>639</v>
      </c>
      <c r="D159" s="4" t="s">
        <v>695</v>
      </c>
      <c r="E159" s="4" t="s">
        <v>696</v>
      </c>
      <c r="F159" s="4" t="s">
        <v>697</v>
      </c>
      <c r="G159" s="4" t="s">
        <v>698</v>
      </c>
      <c r="H159" s="4" t="s">
        <v>284</v>
      </c>
      <c r="I159" s="4" t="s">
        <v>52</v>
      </c>
      <c r="J159" s="4" t="s">
        <v>699</v>
      </c>
      <c r="K159" s="4" t="s">
        <v>700</v>
      </c>
      <c r="L159" s="4" t="s">
        <v>28</v>
      </c>
      <c r="M159" s="4" t="s">
        <v>29</v>
      </c>
      <c r="N159" s="4" t="s">
        <v>30</v>
      </c>
      <c r="O159" s="4" t="s">
        <v>242</v>
      </c>
      <c r="P159" s="4" t="s">
        <v>54</v>
      </c>
      <c r="Q159" s="4"/>
    </row>
    <row r="160" spans="1:17" ht="25.5">
      <c r="A160" s="3">
        <v>156</v>
      </c>
      <c r="B160" s="3" t="s">
        <v>701</v>
      </c>
      <c r="C160" s="4" t="s">
        <v>639</v>
      </c>
      <c r="D160" s="4" t="s">
        <v>695</v>
      </c>
      <c r="E160" s="4" t="s">
        <v>696</v>
      </c>
      <c r="F160" s="4" t="s">
        <v>702</v>
      </c>
      <c r="G160" s="4" t="s">
        <v>703</v>
      </c>
      <c r="H160" s="4" t="s">
        <v>284</v>
      </c>
      <c r="I160" s="4" t="s">
        <v>52</v>
      </c>
      <c r="J160" s="4" t="s">
        <v>699</v>
      </c>
      <c r="K160" s="4" t="s">
        <v>700</v>
      </c>
      <c r="L160" s="4" t="s">
        <v>28</v>
      </c>
      <c r="M160" s="4" t="s">
        <v>29</v>
      </c>
      <c r="N160" s="4" t="s">
        <v>30</v>
      </c>
      <c r="O160" s="4" t="s">
        <v>242</v>
      </c>
      <c r="P160" s="4" t="s">
        <v>58</v>
      </c>
      <c r="Q160" s="4"/>
    </row>
    <row r="161" spans="1:17" ht="25.5">
      <c r="A161" s="3">
        <v>157</v>
      </c>
      <c r="B161" s="3" t="s">
        <v>704</v>
      </c>
      <c r="C161" s="4" t="s">
        <v>639</v>
      </c>
      <c r="D161" s="4" t="s">
        <v>695</v>
      </c>
      <c r="E161" s="4" t="s">
        <v>696</v>
      </c>
      <c r="F161" s="4" t="s">
        <v>705</v>
      </c>
      <c r="G161" s="4" t="s">
        <v>706</v>
      </c>
      <c r="H161" s="4" t="s">
        <v>284</v>
      </c>
      <c r="I161" s="4" t="s">
        <v>52</v>
      </c>
      <c r="J161" s="4" t="s">
        <v>699</v>
      </c>
      <c r="K161" s="4" t="s">
        <v>700</v>
      </c>
      <c r="L161" s="4" t="s">
        <v>28</v>
      </c>
      <c r="M161" s="4" t="s">
        <v>29</v>
      </c>
      <c r="N161" s="4" t="s">
        <v>30</v>
      </c>
      <c r="O161" s="4" t="s">
        <v>242</v>
      </c>
      <c r="P161" s="4" t="s">
        <v>62</v>
      </c>
      <c r="Q161" s="4"/>
    </row>
    <row r="162" spans="1:17" ht="38.25">
      <c r="A162" s="3">
        <v>158</v>
      </c>
      <c r="B162" s="3" t="s">
        <v>707</v>
      </c>
      <c r="C162" s="4" t="s">
        <v>639</v>
      </c>
      <c r="D162" s="4" t="s">
        <v>695</v>
      </c>
      <c r="E162" s="4" t="s">
        <v>696</v>
      </c>
      <c r="F162" s="4" t="s">
        <v>708</v>
      </c>
      <c r="G162" s="4" t="s">
        <v>709</v>
      </c>
      <c r="H162" s="4" t="s">
        <v>284</v>
      </c>
      <c r="I162" s="4" t="s">
        <v>52</v>
      </c>
      <c r="J162" s="4" t="s">
        <v>699</v>
      </c>
      <c r="K162" s="4" t="s">
        <v>700</v>
      </c>
      <c r="L162" s="4" t="s">
        <v>28</v>
      </c>
      <c r="M162" s="4" t="s">
        <v>29</v>
      </c>
      <c r="N162" s="4" t="s">
        <v>30</v>
      </c>
      <c r="O162" s="4" t="s">
        <v>242</v>
      </c>
      <c r="P162" s="4" t="s">
        <v>66</v>
      </c>
      <c r="Q162" s="4"/>
    </row>
    <row r="163" spans="1:17" ht="25.5">
      <c r="A163" s="3">
        <v>159</v>
      </c>
      <c r="B163" s="3" t="s">
        <v>710</v>
      </c>
      <c r="C163" s="4" t="s">
        <v>639</v>
      </c>
      <c r="D163" s="4" t="s">
        <v>695</v>
      </c>
      <c r="E163" s="4" t="s">
        <v>696</v>
      </c>
      <c r="F163" s="4" t="s">
        <v>711</v>
      </c>
      <c r="G163" s="4" t="s">
        <v>712</v>
      </c>
      <c r="H163" s="4" t="s">
        <v>70</v>
      </c>
      <c r="I163" s="4" t="s">
        <v>52</v>
      </c>
      <c r="J163" s="4" t="s">
        <v>699</v>
      </c>
      <c r="K163" s="4" t="s">
        <v>700</v>
      </c>
      <c r="L163" s="4" t="s">
        <v>71</v>
      </c>
      <c r="M163" s="4" t="s">
        <v>29</v>
      </c>
      <c r="N163" s="4" t="s">
        <v>30</v>
      </c>
      <c r="O163" s="4" t="s">
        <v>242</v>
      </c>
      <c r="P163" s="4" t="s">
        <v>72</v>
      </c>
      <c r="Q163" s="4"/>
    </row>
    <row r="164" spans="1:17" ht="25.5">
      <c r="A164" s="3">
        <v>160</v>
      </c>
      <c r="B164" s="3" t="s">
        <v>713</v>
      </c>
      <c r="C164" s="4" t="s">
        <v>639</v>
      </c>
      <c r="D164" s="4" t="s">
        <v>695</v>
      </c>
      <c r="E164" s="4" t="s">
        <v>696</v>
      </c>
      <c r="F164" s="4" t="s">
        <v>714</v>
      </c>
      <c r="G164" s="4" t="s">
        <v>715</v>
      </c>
      <c r="H164" s="4" t="s">
        <v>258</v>
      </c>
      <c r="I164" s="4" t="s">
        <v>200</v>
      </c>
      <c r="J164" s="4" t="s">
        <v>699</v>
      </c>
      <c r="K164" s="4" t="s">
        <v>700</v>
      </c>
      <c r="L164" s="4" t="s">
        <v>28</v>
      </c>
      <c r="M164" s="4" t="s">
        <v>29</v>
      </c>
      <c r="N164" s="4" t="s">
        <v>30</v>
      </c>
      <c r="O164" s="4" t="s">
        <v>242</v>
      </c>
      <c r="P164" s="4" t="s">
        <v>259</v>
      </c>
      <c r="Q164" s="4"/>
    </row>
    <row r="165" spans="1:17" ht="25.5">
      <c r="A165" s="3">
        <v>161</v>
      </c>
      <c r="B165" s="3" t="s">
        <v>716</v>
      </c>
      <c r="C165" s="4" t="s">
        <v>639</v>
      </c>
      <c r="D165" s="4" t="s">
        <v>695</v>
      </c>
      <c r="E165" s="4" t="s">
        <v>696</v>
      </c>
      <c r="F165" s="4" t="s">
        <v>717</v>
      </c>
      <c r="G165" s="4" t="s">
        <v>718</v>
      </c>
      <c r="H165" s="4" t="s">
        <v>76</v>
      </c>
      <c r="I165" s="4" t="s">
        <v>77</v>
      </c>
      <c r="J165" s="4" t="s">
        <v>699</v>
      </c>
      <c r="K165" s="4" t="s">
        <v>700</v>
      </c>
      <c r="L165" s="4" t="s">
        <v>28</v>
      </c>
      <c r="M165" s="4" t="s">
        <v>29</v>
      </c>
      <c r="N165" s="4" t="s">
        <v>30</v>
      </c>
      <c r="O165" s="4" t="s">
        <v>242</v>
      </c>
      <c r="P165" s="4" t="s">
        <v>78</v>
      </c>
      <c r="Q165" s="4"/>
    </row>
    <row r="166" spans="1:17" ht="38.25">
      <c r="A166" s="3">
        <v>162</v>
      </c>
      <c r="B166" s="3" t="s">
        <v>719</v>
      </c>
      <c r="C166" s="4" t="s">
        <v>639</v>
      </c>
      <c r="D166" s="4" t="s">
        <v>695</v>
      </c>
      <c r="E166" s="4" t="s">
        <v>625</v>
      </c>
      <c r="F166" s="4" t="s">
        <v>720</v>
      </c>
      <c r="G166" s="4" t="s">
        <v>721</v>
      </c>
      <c r="H166" s="4" t="s">
        <v>284</v>
      </c>
      <c r="I166" s="4" t="s">
        <v>656</v>
      </c>
      <c r="J166" s="4" t="s">
        <v>699</v>
      </c>
      <c r="K166" s="4" t="s">
        <v>700</v>
      </c>
      <c r="L166" s="4" t="s">
        <v>28</v>
      </c>
      <c r="M166" s="4" t="s">
        <v>29</v>
      </c>
      <c r="N166" s="4" t="s">
        <v>209</v>
      </c>
      <c r="O166" s="4" t="s">
        <v>242</v>
      </c>
      <c r="P166" s="4"/>
      <c r="Q166" s="4"/>
    </row>
    <row r="167" spans="1:17" ht="25.5">
      <c r="A167" s="3">
        <v>163</v>
      </c>
      <c r="B167" s="3" t="s">
        <v>722</v>
      </c>
      <c r="C167" s="4" t="s">
        <v>723</v>
      </c>
      <c r="D167" s="4" t="s">
        <v>724</v>
      </c>
      <c r="E167" s="4" t="s">
        <v>725</v>
      </c>
      <c r="F167" s="4" t="s">
        <v>726</v>
      </c>
      <c r="G167" s="4" t="s">
        <v>727</v>
      </c>
      <c r="H167" s="4" t="s">
        <v>284</v>
      </c>
      <c r="I167" s="4" t="s">
        <v>52</v>
      </c>
      <c r="J167" s="4" t="s">
        <v>728</v>
      </c>
      <c r="K167" s="4" t="s">
        <v>406</v>
      </c>
      <c r="L167" s="4" t="s">
        <v>28</v>
      </c>
      <c r="M167" s="4" t="s">
        <v>125</v>
      </c>
      <c r="N167" s="4" t="s">
        <v>30</v>
      </c>
      <c r="O167" s="4" t="s">
        <v>242</v>
      </c>
      <c r="P167" s="4" t="s">
        <v>54</v>
      </c>
      <c r="Q167" s="4"/>
    </row>
    <row r="168" spans="1:17" ht="25.5">
      <c r="A168" s="3">
        <v>164</v>
      </c>
      <c r="B168" s="3" t="s">
        <v>729</v>
      </c>
      <c r="C168" s="4" t="s">
        <v>723</v>
      </c>
      <c r="D168" s="4" t="s">
        <v>724</v>
      </c>
      <c r="E168" s="4" t="s">
        <v>725</v>
      </c>
      <c r="F168" s="4" t="s">
        <v>730</v>
      </c>
      <c r="G168" s="4" t="s">
        <v>731</v>
      </c>
      <c r="H168" s="4" t="s">
        <v>284</v>
      </c>
      <c r="I168" s="4" t="s">
        <v>52</v>
      </c>
      <c r="J168" s="4" t="s">
        <v>728</v>
      </c>
      <c r="K168" s="4" t="s">
        <v>406</v>
      </c>
      <c r="L168" s="4" t="s">
        <v>28</v>
      </c>
      <c r="M168" s="4" t="s">
        <v>125</v>
      </c>
      <c r="N168" s="4" t="s">
        <v>30</v>
      </c>
      <c r="O168" s="4" t="s">
        <v>242</v>
      </c>
      <c r="P168" s="4" t="s">
        <v>58</v>
      </c>
      <c r="Q168" s="4"/>
    </row>
    <row r="169" spans="1:17" ht="25.5">
      <c r="A169" s="3">
        <v>165</v>
      </c>
      <c r="B169" s="3" t="s">
        <v>732</v>
      </c>
      <c r="C169" s="4" t="s">
        <v>723</v>
      </c>
      <c r="D169" s="4" t="s">
        <v>724</v>
      </c>
      <c r="E169" s="4" t="s">
        <v>725</v>
      </c>
      <c r="F169" s="4" t="s">
        <v>733</v>
      </c>
      <c r="G169" s="4" t="s">
        <v>734</v>
      </c>
      <c r="H169" s="4" t="s">
        <v>284</v>
      </c>
      <c r="I169" s="4" t="s">
        <v>52</v>
      </c>
      <c r="J169" s="4" t="s">
        <v>728</v>
      </c>
      <c r="K169" s="4" t="s">
        <v>406</v>
      </c>
      <c r="L169" s="4" t="s">
        <v>28</v>
      </c>
      <c r="M169" s="4" t="s">
        <v>125</v>
      </c>
      <c r="N169" s="4" t="s">
        <v>30</v>
      </c>
      <c r="O169" s="4" t="s">
        <v>242</v>
      </c>
      <c r="P169" s="4" t="s">
        <v>62</v>
      </c>
      <c r="Q169" s="4"/>
    </row>
    <row r="170" spans="1:17" ht="38.25">
      <c r="A170" s="3">
        <v>166</v>
      </c>
      <c r="B170" s="3" t="s">
        <v>735</v>
      </c>
      <c r="C170" s="4" t="s">
        <v>723</v>
      </c>
      <c r="D170" s="4" t="s">
        <v>724</v>
      </c>
      <c r="E170" s="4" t="s">
        <v>725</v>
      </c>
      <c r="F170" s="4" t="s">
        <v>736</v>
      </c>
      <c r="G170" s="4" t="s">
        <v>737</v>
      </c>
      <c r="H170" s="4" t="s">
        <v>284</v>
      </c>
      <c r="I170" s="4" t="s">
        <v>52</v>
      </c>
      <c r="J170" s="4" t="s">
        <v>728</v>
      </c>
      <c r="K170" s="4" t="s">
        <v>406</v>
      </c>
      <c r="L170" s="4" t="s">
        <v>28</v>
      </c>
      <c r="M170" s="4" t="s">
        <v>125</v>
      </c>
      <c r="N170" s="4" t="s">
        <v>30</v>
      </c>
      <c r="O170" s="4" t="s">
        <v>242</v>
      </c>
      <c r="P170" s="4" t="s">
        <v>66</v>
      </c>
      <c r="Q170" s="4"/>
    </row>
    <row r="171" spans="1:17" ht="25.5">
      <c r="A171" s="3">
        <v>167</v>
      </c>
      <c r="B171" s="3" t="s">
        <v>738</v>
      </c>
      <c r="C171" s="4" t="s">
        <v>723</v>
      </c>
      <c r="D171" s="4" t="s">
        <v>724</v>
      </c>
      <c r="E171" s="4" t="s">
        <v>725</v>
      </c>
      <c r="F171" s="4" t="s">
        <v>739</v>
      </c>
      <c r="G171" s="4" t="s">
        <v>740</v>
      </c>
      <c r="H171" s="4" t="s">
        <v>70</v>
      </c>
      <c r="I171" s="4" t="s">
        <v>52</v>
      </c>
      <c r="J171" s="4" t="s">
        <v>728</v>
      </c>
      <c r="K171" s="4" t="s">
        <v>406</v>
      </c>
      <c r="L171" s="4" t="s">
        <v>71</v>
      </c>
      <c r="M171" s="4" t="s">
        <v>125</v>
      </c>
      <c r="N171" s="4" t="s">
        <v>30</v>
      </c>
      <c r="O171" s="4" t="s">
        <v>242</v>
      </c>
      <c r="P171" s="4" t="s">
        <v>72</v>
      </c>
      <c r="Q171" s="4"/>
    </row>
    <row r="172" spans="1:17" ht="38.25">
      <c r="A172" s="3">
        <v>168</v>
      </c>
      <c r="B172" s="3" t="s">
        <v>741</v>
      </c>
      <c r="C172" s="4" t="s">
        <v>723</v>
      </c>
      <c r="D172" s="4" t="s">
        <v>724</v>
      </c>
      <c r="E172" s="4" t="s">
        <v>725</v>
      </c>
      <c r="F172" s="4" t="s">
        <v>742</v>
      </c>
      <c r="G172" s="4" t="s">
        <v>743</v>
      </c>
      <c r="H172" s="4" t="s">
        <v>258</v>
      </c>
      <c r="I172" s="4" t="s">
        <v>200</v>
      </c>
      <c r="J172" s="4" t="s">
        <v>728</v>
      </c>
      <c r="K172" s="4" t="s">
        <v>406</v>
      </c>
      <c r="L172" s="4" t="s">
        <v>28</v>
      </c>
      <c r="M172" s="4" t="s">
        <v>125</v>
      </c>
      <c r="N172" s="4" t="s">
        <v>30</v>
      </c>
      <c r="O172" s="4" t="s">
        <v>242</v>
      </c>
      <c r="P172" s="4" t="s">
        <v>259</v>
      </c>
      <c r="Q172" s="4"/>
    </row>
    <row r="173" spans="1:17" ht="25.5">
      <c r="A173" s="3">
        <v>169</v>
      </c>
      <c r="B173" s="3" t="s">
        <v>744</v>
      </c>
      <c r="C173" s="4" t="s">
        <v>723</v>
      </c>
      <c r="D173" s="4" t="s">
        <v>724</v>
      </c>
      <c r="E173" s="4" t="s">
        <v>725</v>
      </c>
      <c r="F173" s="4" t="s">
        <v>745</v>
      </c>
      <c r="G173" s="4" t="s">
        <v>746</v>
      </c>
      <c r="H173" s="4" t="s">
        <v>76</v>
      </c>
      <c r="I173" s="4" t="s">
        <v>77</v>
      </c>
      <c r="J173" s="4" t="s">
        <v>728</v>
      </c>
      <c r="K173" s="4" t="s">
        <v>406</v>
      </c>
      <c r="L173" s="4" t="s">
        <v>28</v>
      </c>
      <c r="M173" s="4" t="s">
        <v>125</v>
      </c>
      <c r="N173" s="4" t="s">
        <v>30</v>
      </c>
      <c r="O173" s="4" t="s">
        <v>242</v>
      </c>
      <c r="P173" s="4" t="s">
        <v>78</v>
      </c>
      <c r="Q173" s="4"/>
    </row>
    <row r="174" spans="1:17" ht="38.25">
      <c r="A174" s="3">
        <v>170</v>
      </c>
      <c r="B174" s="3" t="s">
        <v>747</v>
      </c>
      <c r="C174" s="4" t="s">
        <v>723</v>
      </c>
      <c r="D174" s="4" t="s">
        <v>724</v>
      </c>
      <c r="E174" s="4" t="s">
        <v>748</v>
      </c>
      <c r="F174" s="4" t="s">
        <v>749</v>
      </c>
      <c r="G174" s="4" t="s">
        <v>750</v>
      </c>
      <c r="H174" s="4" t="s">
        <v>284</v>
      </c>
      <c r="I174" s="4" t="s">
        <v>52</v>
      </c>
      <c r="J174" s="4" t="s">
        <v>751</v>
      </c>
      <c r="K174" s="4" t="s">
        <v>406</v>
      </c>
      <c r="L174" s="4" t="s">
        <v>28</v>
      </c>
      <c r="M174" s="4" t="s">
        <v>125</v>
      </c>
      <c r="N174" s="4" t="s">
        <v>30</v>
      </c>
      <c r="O174" s="4" t="s">
        <v>242</v>
      </c>
      <c r="P174" s="4" t="s">
        <v>54</v>
      </c>
      <c r="Q174" s="4"/>
    </row>
    <row r="175" spans="1:17" ht="38.25">
      <c r="A175" s="3">
        <v>171</v>
      </c>
      <c r="B175" s="3" t="s">
        <v>752</v>
      </c>
      <c r="C175" s="4" t="s">
        <v>723</v>
      </c>
      <c r="D175" s="4" t="s">
        <v>724</v>
      </c>
      <c r="E175" s="4" t="s">
        <v>748</v>
      </c>
      <c r="F175" s="4" t="s">
        <v>753</v>
      </c>
      <c r="G175" s="4" t="s">
        <v>754</v>
      </c>
      <c r="H175" s="4" t="s">
        <v>284</v>
      </c>
      <c r="I175" s="4" t="s">
        <v>52</v>
      </c>
      <c r="J175" s="4" t="s">
        <v>751</v>
      </c>
      <c r="K175" s="4" t="s">
        <v>406</v>
      </c>
      <c r="L175" s="4" t="s">
        <v>28</v>
      </c>
      <c r="M175" s="4" t="s">
        <v>125</v>
      </c>
      <c r="N175" s="4" t="s">
        <v>30</v>
      </c>
      <c r="O175" s="4" t="s">
        <v>242</v>
      </c>
      <c r="P175" s="4" t="s">
        <v>58</v>
      </c>
      <c r="Q175" s="4"/>
    </row>
    <row r="176" spans="1:17" ht="38.25">
      <c r="A176" s="3">
        <v>172</v>
      </c>
      <c r="B176" s="3" t="s">
        <v>755</v>
      </c>
      <c r="C176" s="4" t="s">
        <v>723</v>
      </c>
      <c r="D176" s="4" t="s">
        <v>724</v>
      </c>
      <c r="E176" s="4" t="s">
        <v>748</v>
      </c>
      <c r="F176" s="4" t="s">
        <v>756</v>
      </c>
      <c r="G176" s="4" t="s">
        <v>757</v>
      </c>
      <c r="H176" s="4" t="s">
        <v>284</v>
      </c>
      <c r="I176" s="4" t="s">
        <v>52</v>
      </c>
      <c r="J176" s="4" t="s">
        <v>751</v>
      </c>
      <c r="K176" s="4" t="s">
        <v>406</v>
      </c>
      <c r="L176" s="4" t="s">
        <v>28</v>
      </c>
      <c r="M176" s="4" t="s">
        <v>125</v>
      </c>
      <c r="N176" s="4" t="s">
        <v>30</v>
      </c>
      <c r="O176" s="4" t="s">
        <v>242</v>
      </c>
      <c r="P176" s="4" t="s">
        <v>62</v>
      </c>
      <c r="Q176" s="4"/>
    </row>
    <row r="177" spans="1:17" ht="38.25">
      <c r="A177" s="3">
        <v>173</v>
      </c>
      <c r="B177" s="3" t="s">
        <v>758</v>
      </c>
      <c r="C177" s="4" t="s">
        <v>723</v>
      </c>
      <c r="D177" s="4" t="s">
        <v>724</v>
      </c>
      <c r="E177" s="4" t="s">
        <v>748</v>
      </c>
      <c r="F177" s="4" t="s">
        <v>759</v>
      </c>
      <c r="G177" s="4" t="s">
        <v>760</v>
      </c>
      <c r="H177" s="4" t="s">
        <v>284</v>
      </c>
      <c r="I177" s="4" t="s">
        <v>52</v>
      </c>
      <c r="J177" s="4" t="s">
        <v>751</v>
      </c>
      <c r="K177" s="4" t="s">
        <v>406</v>
      </c>
      <c r="L177" s="4" t="s">
        <v>28</v>
      </c>
      <c r="M177" s="4" t="s">
        <v>125</v>
      </c>
      <c r="N177" s="4" t="s">
        <v>30</v>
      </c>
      <c r="O177" s="4" t="s">
        <v>242</v>
      </c>
      <c r="P177" s="4" t="s">
        <v>66</v>
      </c>
      <c r="Q177" s="4"/>
    </row>
    <row r="178" spans="1:17" ht="38.25">
      <c r="A178" s="3">
        <v>174</v>
      </c>
      <c r="B178" s="3" t="s">
        <v>761</v>
      </c>
      <c r="C178" s="4" t="s">
        <v>723</v>
      </c>
      <c r="D178" s="4" t="s">
        <v>724</v>
      </c>
      <c r="E178" s="4" t="s">
        <v>748</v>
      </c>
      <c r="F178" s="4" t="s">
        <v>762</v>
      </c>
      <c r="G178" s="4" t="s">
        <v>763</v>
      </c>
      <c r="H178" s="4" t="s">
        <v>70</v>
      </c>
      <c r="I178" s="4" t="s">
        <v>52</v>
      </c>
      <c r="J178" s="4" t="s">
        <v>751</v>
      </c>
      <c r="K178" s="4" t="s">
        <v>406</v>
      </c>
      <c r="L178" s="4" t="s">
        <v>71</v>
      </c>
      <c r="M178" s="4" t="s">
        <v>125</v>
      </c>
      <c r="N178" s="4" t="s">
        <v>30</v>
      </c>
      <c r="O178" s="4" t="s">
        <v>242</v>
      </c>
      <c r="P178" s="4" t="s">
        <v>72</v>
      </c>
      <c r="Q178" s="4"/>
    </row>
    <row r="179" spans="1:17" ht="38.25">
      <c r="A179" s="3">
        <v>175</v>
      </c>
      <c r="B179" s="3" t="s">
        <v>764</v>
      </c>
      <c r="C179" s="4" t="s">
        <v>723</v>
      </c>
      <c r="D179" s="4" t="s">
        <v>724</v>
      </c>
      <c r="E179" s="4" t="s">
        <v>748</v>
      </c>
      <c r="F179" s="4" t="s">
        <v>765</v>
      </c>
      <c r="G179" s="4" t="s">
        <v>766</v>
      </c>
      <c r="H179" s="4" t="s">
        <v>258</v>
      </c>
      <c r="I179" s="4" t="s">
        <v>200</v>
      </c>
      <c r="J179" s="4" t="s">
        <v>751</v>
      </c>
      <c r="K179" s="4" t="s">
        <v>406</v>
      </c>
      <c r="L179" s="4" t="s">
        <v>28</v>
      </c>
      <c r="M179" s="4" t="s">
        <v>125</v>
      </c>
      <c r="N179" s="4" t="s">
        <v>30</v>
      </c>
      <c r="O179" s="4" t="s">
        <v>242</v>
      </c>
      <c r="P179" s="4" t="s">
        <v>259</v>
      </c>
      <c r="Q179" s="4"/>
    </row>
    <row r="180" spans="1:17" ht="38.25">
      <c r="A180" s="3">
        <v>176</v>
      </c>
      <c r="B180" s="3" t="s">
        <v>767</v>
      </c>
      <c r="C180" s="4" t="s">
        <v>723</v>
      </c>
      <c r="D180" s="4" t="s">
        <v>724</v>
      </c>
      <c r="E180" s="4" t="s">
        <v>748</v>
      </c>
      <c r="F180" s="4" t="s">
        <v>768</v>
      </c>
      <c r="G180" s="4" t="s">
        <v>769</v>
      </c>
      <c r="H180" s="4" t="s">
        <v>76</v>
      </c>
      <c r="I180" s="4" t="s">
        <v>77</v>
      </c>
      <c r="J180" s="4" t="s">
        <v>751</v>
      </c>
      <c r="K180" s="4" t="s">
        <v>406</v>
      </c>
      <c r="L180" s="4" t="s">
        <v>28</v>
      </c>
      <c r="M180" s="4" t="s">
        <v>125</v>
      </c>
      <c r="N180" s="4" t="s">
        <v>30</v>
      </c>
      <c r="O180" s="4" t="s">
        <v>242</v>
      </c>
      <c r="P180" s="4" t="s">
        <v>78</v>
      </c>
      <c r="Q180" s="4"/>
    </row>
    <row r="181" spans="1:17" ht="38.25">
      <c r="A181" s="3">
        <v>177</v>
      </c>
      <c r="B181" s="3" t="s">
        <v>770</v>
      </c>
      <c r="C181" s="4" t="s">
        <v>723</v>
      </c>
      <c r="D181" s="4" t="s">
        <v>724</v>
      </c>
      <c r="E181" s="4" t="s">
        <v>771</v>
      </c>
      <c r="F181" s="4" t="s">
        <v>772</v>
      </c>
      <c r="G181" s="4" t="s">
        <v>773</v>
      </c>
      <c r="H181" s="4" t="s">
        <v>284</v>
      </c>
      <c r="I181" s="4" t="s">
        <v>52</v>
      </c>
      <c r="J181" s="4" t="s">
        <v>774</v>
      </c>
      <c r="K181" s="4" t="s">
        <v>406</v>
      </c>
      <c r="L181" s="4" t="s">
        <v>28</v>
      </c>
      <c r="M181" s="4" t="s">
        <v>125</v>
      </c>
      <c r="N181" s="4" t="s">
        <v>30</v>
      </c>
      <c r="O181" s="4" t="s">
        <v>242</v>
      </c>
      <c r="P181" s="4" t="s">
        <v>54</v>
      </c>
      <c r="Q181" s="4"/>
    </row>
    <row r="182" spans="1:17" ht="38.25">
      <c r="A182" s="3">
        <v>178</v>
      </c>
      <c r="B182" s="3" t="s">
        <v>775</v>
      </c>
      <c r="C182" s="4" t="s">
        <v>723</v>
      </c>
      <c r="D182" s="4" t="s">
        <v>724</v>
      </c>
      <c r="E182" s="4" t="s">
        <v>771</v>
      </c>
      <c r="F182" s="4" t="s">
        <v>776</v>
      </c>
      <c r="G182" s="4" t="s">
        <v>777</v>
      </c>
      <c r="H182" s="4" t="s">
        <v>284</v>
      </c>
      <c r="I182" s="4" t="s">
        <v>52</v>
      </c>
      <c r="J182" s="4" t="s">
        <v>774</v>
      </c>
      <c r="K182" s="4" t="s">
        <v>406</v>
      </c>
      <c r="L182" s="4" t="s">
        <v>28</v>
      </c>
      <c r="M182" s="4" t="s">
        <v>125</v>
      </c>
      <c r="N182" s="4" t="s">
        <v>30</v>
      </c>
      <c r="O182" s="4" t="s">
        <v>242</v>
      </c>
      <c r="P182" s="4" t="s">
        <v>58</v>
      </c>
      <c r="Q182" s="4"/>
    </row>
    <row r="183" spans="1:17" ht="38.25">
      <c r="A183" s="3">
        <v>179</v>
      </c>
      <c r="B183" s="3" t="s">
        <v>778</v>
      </c>
      <c r="C183" s="4" t="s">
        <v>723</v>
      </c>
      <c r="D183" s="4" t="s">
        <v>724</v>
      </c>
      <c r="E183" s="4" t="s">
        <v>771</v>
      </c>
      <c r="F183" s="4" t="s">
        <v>779</v>
      </c>
      <c r="G183" s="4" t="s">
        <v>780</v>
      </c>
      <c r="H183" s="4" t="s">
        <v>284</v>
      </c>
      <c r="I183" s="4" t="s">
        <v>52</v>
      </c>
      <c r="J183" s="4" t="s">
        <v>774</v>
      </c>
      <c r="K183" s="4" t="s">
        <v>406</v>
      </c>
      <c r="L183" s="4" t="s">
        <v>28</v>
      </c>
      <c r="M183" s="4" t="s">
        <v>125</v>
      </c>
      <c r="N183" s="4" t="s">
        <v>30</v>
      </c>
      <c r="O183" s="4" t="s">
        <v>242</v>
      </c>
      <c r="P183" s="4" t="s">
        <v>62</v>
      </c>
      <c r="Q183" s="4"/>
    </row>
    <row r="184" spans="1:17" ht="51">
      <c r="A184" s="3">
        <v>180</v>
      </c>
      <c r="B184" s="3" t="s">
        <v>781</v>
      </c>
      <c r="C184" s="4" t="s">
        <v>723</v>
      </c>
      <c r="D184" s="4" t="s">
        <v>724</v>
      </c>
      <c r="E184" s="4" t="s">
        <v>771</v>
      </c>
      <c r="F184" s="4" t="s">
        <v>782</v>
      </c>
      <c r="G184" s="4" t="s">
        <v>783</v>
      </c>
      <c r="H184" s="4" t="s">
        <v>284</v>
      </c>
      <c r="I184" s="4" t="s">
        <v>52</v>
      </c>
      <c r="J184" s="4" t="s">
        <v>774</v>
      </c>
      <c r="K184" s="4" t="s">
        <v>406</v>
      </c>
      <c r="L184" s="4" t="s">
        <v>28</v>
      </c>
      <c r="M184" s="4" t="s">
        <v>125</v>
      </c>
      <c r="N184" s="4" t="s">
        <v>30</v>
      </c>
      <c r="O184" s="4" t="s">
        <v>242</v>
      </c>
      <c r="P184" s="4" t="s">
        <v>66</v>
      </c>
      <c r="Q184" s="4"/>
    </row>
    <row r="185" spans="1:17" ht="38.25">
      <c r="A185" s="3">
        <v>181</v>
      </c>
      <c r="B185" s="3" t="s">
        <v>784</v>
      </c>
      <c r="C185" s="4" t="s">
        <v>723</v>
      </c>
      <c r="D185" s="4" t="s">
        <v>724</v>
      </c>
      <c r="E185" s="4" t="s">
        <v>771</v>
      </c>
      <c r="F185" s="4" t="s">
        <v>785</v>
      </c>
      <c r="G185" s="4" t="s">
        <v>786</v>
      </c>
      <c r="H185" s="4" t="s">
        <v>70</v>
      </c>
      <c r="I185" s="4" t="s">
        <v>52</v>
      </c>
      <c r="J185" s="4" t="s">
        <v>774</v>
      </c>
      <c r="K185" s="4" t="s">
        <v>406</v>
      </c>
      <c r="L185" s="4" t="s">
        <v>71</v>
      </c>
      <c r="M185" s="4" t="s">
        <v>125</v>
      </c>
      <c r="N185" s="4" t="s">
        <v>30</v>
      </c>
      <c r="O185" s="4" t="s">
        <v>242</v>
      </c>
      <c r="P185" s="4" t="s">
        <v>72</v>
      </c>
      <c r="Q185" s="4"/>
    </row>
    <row r="186" spans="1:17" ht="38.25">
      <c r="A186" s="3">
        <v>182</v>
      </c>
      <c r="B186" s="3" t="s">
        <v>787</v>
      </c>
      <c r="C186" s="4" t="s">
        <v>723</v>
      </c>
      <c r="D186" s="4" t="s">
        <v>724</v>
      </c>
      <c r="E186" s="4" t="s">
        <v>771</v>
      </c>
      <c r="F186" s="4" t="s">
        <v>788</v>
      </c>
      <c r="G186" s="4" t="s">
        <v>789</v>
      </c>
      <c r="H186" s="4" t="s">
        <v>258</v>
      </c>
      <c r="I186" s="4" t="s">
        <v>200</v>
      </c>
      <c r="J186" s="4" t="s">
        <v>774</v>
      </c>
      <c r="K186" s="4" t="s">
        <v>406</v>
      </c>
      <c r="L186" s="4" t="s">
        <v>28</v>
      </c>
      <c r="M186" s="4" t="s">
        <v>125</v>
      </c>
      <c r="N186" s="4" t="s">
        <v>30</v>
      </c>
      <c r="O186" s="4" t="s">
        <v>242</v>
      </c>
      <c r="P186" s="4" t="s">
        <v>259</v>
      </c>
      <c r="Q186" s="4"/>
    </row>
    <row r="187" spans="1:17" ht="38.25">
      <c r="A187" s="3">
        <v>183</v>
      </c>
      <c r="B187" s="3" t="s">
        <v>790</v>
      </c>
      <c r="C187" s="4" t="s">
        <v>723</v>
      </c>
      <c r="D187" s="4" t="s">
        <v>724</v>
      </c>
      <c r="E187" s="4" t="s">
        <v>771</v>
      </c>
      <c r="F187" s="4" t="s">
        <v>791</v>
      </c>
      <c r="G187" s="4" t="s">
        <v>792</v>
      </c>
      <c r="H187" s="4" t="s">
        <v>76</v>
      </c>
      <c r="I187" s="4" t="s">
        <v>77</v>
      </c>
      <c r="J187" s="4" t="s">
        <v>774</v>
      </c>
      <c r="K187" s="4" t="s">
        <v>406</v>
      </c>
      <c r="L187" s="4" t="s">
        <v>28</v>
      </c>
      <c r="M187" s="4" t="s">
        <v>125</v>
      </c>
      <c r="N187" s="4" t="s">
        <v>30</v>
      </c>
      <c r="O187" s="4" t="s">
        <v>242</v>
      </c>
      <c r="P187" s="4" t="s">
        <v>78</v>
      </c>
      <c r="Q187" s="4"/>
    </row>
    <row r="188" spans="1:17" ht="38.25">
      <c r="A188" s="3">
        <v>184</v>
      </c>
      <c r="B188" s="3" t="s">
        <v>793</v>
      </c>
      <c r="C188" s="4" t="s">
        <v>723</v>
      </c>
      <c r="D188" s="4" t="s">
        <v>724</v>
      </c>
      <c r="E188" s="4" t="s">
        <v>794</v>
      </c>
      <c r="F188" s="4" t="s">
        <v>795</v>
      </c>
      <c r="G188" s="4" t="s">
        <v>796</v>
      </c>
      <c r="H188" s="4" t="s">
        <v>284</v>
      </c>
      <c r="I188" s="4" t="s">
        <v>52</v>
      </c>
      <c r="J188" s="4" t="s">
        <v>797</v>
      </c>
      <c r="K188" s="4" t="s">
        <v>406</v>
      </c>
      <c r="L188" s="4" t="s">
        <v>28</v>
      </c>
      <c r="M188" s="4" t="s">
        <v>125</v>
      </c>
      <c r="N188" s="4" t="s">
        <v>30</v>
      </c>
      <c r="O188" s="4" t="s">
        <v>242</v>
      </c>
      <c r="P188" s="4" t="s">
        <v>54</v>
      </c>
      <c r="Q188" s="4"/>
    </row>
    <row r="189" spans="1:17" ht="25.5">
      <c r="A189" s="3">
        <v>185</v>
      </c>
      <c r="B189" s="3" t="s">
        <v>798</v>
      </c>
      <c r="C189" s="4" t="s">
        <v>723</v>
      </c>
      <c r="D189" s="4" t="s">
        <v>724</v>
      </c>
      <c r="E189" s="4" t="s">
        <v>794</v>
      </c>
      <c r="F189" s="4" t="s">
        <v>799</v>
      </c>
      <c r="G189" s="4" t="s">
        <v>800</v>
      </c>
      <c r="H189" s="4" t="s">
        <v>284</v>
      </c>
      <c r="I189" s="4" t="s">
        <v>52</v>
      </c>
      <c r="J189" s="4" t="s">
        <v>797</v>
      </c>
      <c r="K189" s="4" t="s">
        <v>406</v>
      </c>
      <c r="L189" s="4" t="s">
        <v>28</v>
      </c>
      <c r="M189" s="4" t="s">
        <v>125</v>
      </c>
      <c r="N189" s="4" t="s">
        <v>30</v>
      </c>
      <c r="O189" s="4" t="s">
        <v>242</v>
      </c>
      <c r="P189" s="4" t="s">
        <v>58</v>
      </c>
      <c r="Q189" s="4"/>
    </row>
    <row r="190" spans="1:17" ht="38.25">
      <c r="A190" s="3">
        <v>186</v>
      </c>
      <c r="B190" s="3" t="s">
        <v>801</v>
      </c>
      <c r="C190" s="4" t="s">
        <v>723</v>
      </c>
      <c r="D190" s="4" t="s">
        <v>724</v>
      </c>
      <c r="E190" s="4" t="s">
        <v>794</v>
      </c>
      <c r="F190" s="4" t="s">
        <v>802</v>
      </c>
      <c r="G190" s="4" t="s">
        <v>803</v>
      </c>
      <c r="H190" s="4" t="s">
        <v>284</v>
      </c>
      <c r="I190" s="4" t="s">
        <v>52</v>
      </c>
      <c r="J190" s="4" t="s">
        <v>797</v>
      </c>
      <c r="K190" s="4" t="s">
        <v>406</v>
      </c>
      <c r="L190" s="4" t="s">
        <v>28</v>
      </c>
      <c r="M190" s="4" t="s">
        <v>125</v>
      </c>
      <c r="N190" s="4" t="s">
        <v>30</v>
      </c>
      <c r="O190" s="4" t="s">
        <v>242</v>
      </c>
      <c r="P190" s="4" t="s">
        <v>62</v>
      </c>
      <c r="Q190" s="4"/>
    </row>
    <row r="191" spans="1:17" ht="38.25">
      <c r="A191" s="3">
        <v>187</v>
      </c>
      <c r="B191" s="3" t="s">
        <v>804</v>
      </c>
      <c r="C191" s="4" t="s">
        <v>723</v>
      </c>
      <c r="D191" s="4" t="s">
        <v>724</v>
      </c>
      <c r="E191" s="4" t="s">
        <v>794</v>
      </c>
      <c r="F191" s="4" t="s">
        <v>805</v>
      </c>
      <c r="G191" s="4" t="s">
        <v>806</v>
      </c>
      <c r="H191" s="4" t="s">
        <v>284</v>
      </c>
      <c r="I191" s="4" t="s">
        <v>52</v>
      </c>
      <c r="J191" s="4" t="s">
        <v>797</v>
      </c>
      <c r="K191" s="4" t="s">
        <v>406</v>
      </c>
      <c r="L191" s="4" t="s">
        <v>28</v>
      </c>
      <c r="M191" s="4" t="s">
        <v>125</v>
      </c>
      <c r="N191" s="4" t="s">
        <v>30</v>
      </c>
      <c r="O191" s="4" t="s">
        <v>242</v>
      </c>
      <c r="P191" s="4" t="s">
        <v>66</v>
      </c>
      <c r="Q191" s="4"/>
    </row>
    <row r="192" spans="1:17" ht="25.5">
      <c r="A192" s="3">
        <v>188</v>
      </c>
      <c r="B192" s="3" t="s">
        <v>807</v>
      </c>
      <c r="C192" s="4" t="s">
        <v>723</v>
      </c>
      <c r="D192" s="4" t="s">
        <v>724</v>
      </c>
      <c r="E192" s="4" t="s">
        <v>794</v>
      </c>
      <c r="F192" s="4" t="s">
        <v>808</v>
      </c>
      <c r="G192" s="4" t="s">
        <v>809</v>
      </c>
      <c r="H192" s="4" t="s">
        <v>70</v>
      </c>
      <c r="I192" s="4" t="s">
        <v>52</v>
      </c>
      <c r="J192" s="4" t="s">
        <v>797</v>
      </c>
      <c r="K192" s="4" t="s">
        <v>406</v>
      </c>
      <c r="L192" s="4" t="s">
        <v>71</v>
      </c>
      <c r="M192" s="4" t="s">
        <v>125</v>
      </c>
      <c r="N192" s="4" t="s">
        <v>30</v>
      </c>
      <c r="O192" s="4" t="s">
        <v>242</v>
      </c>
      <c r="P192" s="4" t="s">
        <v>72</v>
      </c>
      <c r="Q192" s="4"/>
    </row>
    <row r="193" spans="1:17" ht="38.25">
      <c r="A193" s="3">
        <v>189</v>
      </c>
      <c r="B193" s="3" t="s">
        <v>810</v>
      </c>
      <c r="C193" s="4" t="s">
        <v>723</v>
      </c>
      <c r="D193" s="4" t="s">
        <v>724</v>
      </c>
      <c r="E193" s="4" t="s">
        <v>794</v>
      </c>
      <c r="F193" s="4" t="s">
        <v>811</v>
      </c>
      <c r="G193" s="4" t="s">
        <v>812</v>
      </c>
      <c r="H193" s="4" t="s">
        <v>258</v>
      </c>
      <c r="I193" s="4" t="s">
        <v>200</v>
      </c>
      <c r="J193" s="4" t="s">
        <v>797</v>
      </c>
      <c r="K193" s="4" t="s">
        <v>406</v>
      </c>
      <c r="L193" s="4" t="s">
        <v>28</v>
      </c>
      <c r="M193" s="4" t="s">
        <v>125</v>
      </c>
      <c r="N193" s="4" t="s">
        <v>30</v>
      </c>
      <c r="O193" s="4" t="s">
        <v>242</v>
      </c>
      <c r="P193" s="4" t="s">
        <v>259</v>
      </c>
      <c r="Q193" s="4"/>
    </row>
    <row r="194" spans="1:17" ht="25.5">
      <c r="A194" s="3">
        <v>190</v>
      </c>
      <c r="B194" s="3" t="s">
        <v>813</v>
      </c>
      <c r="C194" s="4" t="s">
        <v>723</v>
      </c>
      <c r="D194" s="4" t="s">
        <v>724</v>
      </c>
      <c r="E194" s="4" t="s">
        <v>794</v>
      </c>
      <c r="F194" s="4" t="s">
        <v>814</v>
      </c>
      <c r="G194" s="4" t="s">
        <v>815</v>
      </c>
      <c r="H194" s="4" t="s">
        <v>76</v>
      </c>
      <c r="I194" s="4" t="s">
        <v>77</v>
      </c>
      <c r="J194" s="4" t="s">
        <v>797</v>
      </c>
      <c r="K194" s="4" t="s">
        <v>406</v>
      </c>
      <c r="L194" s="4" t="s">
        <v>28</v>
      </c>
      <c r="M194" s="4" t="s">
        <v>125</v>
      </c>
      <c r="N194" s="4" t="s">
        <v>30</v>
      </c>
      <c r="O194" s="4" t="s">
        <v>242</v>
      </c>
      <c r="P194" s="4" t="s">
        <v>78</v>
      </c>
      <c r="Q194" s="4"/>
    </row>
    <row r="195" spans="1:17" ht="25.5">
      <c r="A195" s="3">
        <v>191</v>
      </c>
      <c r="B195" s="3" t="s">
        <v>816</v>
      </c>
      <c r="C195" s="4" t="s">
        <v>723</v>
      </c>
      <c r="D195" s="4" t="s">
        <v>724</v>
      </c>
      <c r="E195" s="4" t="s">
        <v>817</v>
      </c>
      <c r="F195" s="4" t="s">
        <v>818</v>
      </c>
      <c r="G195" s="4" t="s">
        <v>819</v>
      </c>
      <c r="H195" s="4" t="s">
        <v>284</v>
      </c>
      <c r="I195" s="4" t="s">
        <v>52</v>
      </c>
      <c r="J195" s="4" t="s">
        <v>820</v>
      </c>
      <c r="K195" s="4" t="s">
        <v>406</v>
      </c>
      <c r="L195" s="4" t="s">
        <v>28</v>
      </c>
      <c r="M195" s="4" t="s">
        <v>125</v>
      </c>
      <c r="N195" s="4" t="s">
        <v>30</v>
      </c>
      <c r="O195" s="4" t="s">
        <v>242</v>
      </c>
      <c r="P195" s="4" t="s">
        <v>54</v>
      </c>
      <c r="Q195" s="4"/>
    </row>
    <row r="196" spans="1:17" ht="25.5">
      <c r="A196" s="3">
        <v>192</v>
      </c>
      <c r="B196" s="3" t="s">
        <v>821</v>
      </c>
      <c r="C196" s="4" t="s">
        <v>723</v>
      </c>
      <c r="D196" s="4" t="s">
        <v>724</v>
      </c>
      <c r="E196" s="4" t="s">
        <v>817</v>
      </c>
      <c r="F196" s="4" t="s">
        <v>822</v>
      </c>
      <c r="G196" s="4" t="s">
        <v>823</v>
      </c>
      <c r="H196" s="4" t="s">
        <v>284</v>
      </c>
      <c r="I196" s="4" t="s">
        <v>52</v>
      </c>
      <c r="J196" s="4" t="s">
        <v>820</v>
      </c>
      <c r="K196" s="4" t="s">
        <v>406</v>
      </c>
      <c r="L196" s="4" t="s">
        <v>28</v>
      </c>
      <c r="M196" s="4" t="s">
        <v>125</v>
      </c>
      <c r="N196" s="4" t="s">
        <v>30</v>
      </c>
      <c r="O196" s="4" t="s">
        <v>242</v>
      </c>
      <c r="P196" s="4" t="s">
        <v>58</v>
      </c>
      <c r="Q196" s="4"/>
    </row>
    <row r="197" spans="1:17" ht="38.25">
      <c r="A197" s="3">
        <v>193</v>
      </c>
      <c r="B197" s="3" t="s">
        <v>824</v>
      </c>
      <c r="C197" s="4" t="s">
        <v>723</v>
      </c>
      <c r="D197" s="4" t="s">
        <v>724</v>
      </c>
      <c r="E197" s="4" t="s">
        <v>817</v>
      </c>
      <c r="F197" s="4" t="s">
        <v>825</v>
      </c>
      <c r="G197" s="4" t="s">
        <v>826</v>
      </c>
      <c r="H197" s="4" t="s">
        <v>284</v>
      </c>
      <c r="I197" s="4" t="s">
        <v>52</v>
      </c>
      <c r="J197" s="4" t="s">
        <v>820</v>
      </c>
      <c r="K197" s="4" t="s">
        <v>406</v>
      </c>
      <c r="L197" s="4" t="s">
        <v>28</v>
      </c>
      <c r="M197" s="4" t="s">
        <v>125</v>
      </c>
      <c r="N197" s="4" t="s">
        <v>30</v>
      </c>
      <c r="O197" s="4" t="s">
        <v>242</v>
      </c>
      <c r="P197" s="4" t="s">
        <v>62</v>
      </c>
      <c r="Q197" s="4"/>
    </row>
    <row r="198" spans="1:17" ht="38.25">
      <c r="A198" s="3">
        <v>194</v>
      </c>
      <c r="B198" s="3" t="s">
        <v>827</v>
      </c>
      <c r="C198" s="4" t="s">
        <v>723</v>
      </c>
      <c r="D198" s="4" t="s">
        <v>724</v>
      </c>
      <c r="E198" s="4" t="s">
        <v>817</v>
      </c>
      <c r="F198" s="4" t="s">
        <v>828</v>
      </c>
      <c r="G198" s="4" t="s">
        <v>829</v>
      </c>
      <c r="H198" s="4" t="s">
        <v>284</v>
      </c>
      <c r="I198" s="4" t="s">
        <v>52</v>
      </c>
      <c r="J198" s="4" t="s">
        <v>820</v>
      </c>
      <c r="K198" s="4" t="s">
        <v>406</v>
      </c>
      <c r="L198" s="4" t="s">
        <v>28</v>
      </c>
      <c r="M198" s="4" t="s">
        <v>125</v>
      </c>
      <c r="N198" s="4" t="s">
        <v>30</v>
      </c>
      <c r="O198" s="4" t="s">
        <v>242</v>
      </c>
      <c r="P198" s="4" t="s">
        <v>66</v>
      </c>
      <c r="Q198" s="4"/>
    </row>
    <row r="199" spans="1:17" ht="25.5">
      <c r="A199" s="3">
        <v>195</v>
      </c>
      <c r="B199" s="3" t="s">
        <v>830</v>
      </c>
      <c r="C199" s="4" t="s">
        <v>723</v>
      </c>
      <c r="D199" s="4" t="s">
        <v>724</v>
      </c>
      <c r="E199" s="4" t="s">
        <v>817</v>
      </c>
      <c r="F199" s="4" t="s">
        <v>831</v>
      </c>
      <c r="G199" s="4" t="s">
        <v>832</v>
      </c>
      <c r="H199" s="4" t="s">
        <v>70</v>
      </c>
      <c r="I199" s="4" t="s">
        <v>52</v>
      </c>
      <c r="J199" s="4" t="s">
        <v>820</v>
      </c>
      <c r="K199" s="4" t="s">
        <v>406</v>
      </c>
      <c r="L199" s="4" t="s">
        <v>71</v>
      </c>
      <c r="M199" s="4" t="s">
        <v>125</v>
      </c>
      <c r="N199" s="4" t="s">
        <v>30</v>
      </c>
      <c r="O199" s="4" t="s">
        <v>242</v>
      </c>
      <c r="P199" s="4" t="s">
        <v>72</v>
      </c>
      <c r="Q199" s="4"/>
    </row>
    <row r="200" spans="1:17" ht="38.25">
      <c r="A200" s="3">
        <v>196</v>
      </c>
      <c r="B200" s="3" t="s">
        <v>833</v>
      </c>
      <c r="C200" s="4" t="s">
        <v>723</v>
      </c>
      <c r="D200" s="4" t="s">
        <v>724</v>
      </c>
      <c r="E200" s="4" t="s">
        <v>817</v>
      </c>
      <c r="F200" s="4" t="s">
        <v>834</v>
      </c>
      <c r="G200" s="4" t="s">
        <v>835</v>
      </c>
      <c r="H200" s="4" t="s">
        <v>258</v>
      </c>
      <c r="I200" s="4" t="s">
        <v>200</v>
      </c>
      <c r="J200" s="4" t="s">
        <v>820</v>
      </c>
      <c r="K200" s="4" t="s">
        <v>406</v>
      </c>
      <c r="L200" s="4" t="s">
        <v>28</v>
      </c>
      <c r="M200" s="4" t="s">
        <v>125</v>
      </c>
      <c r="N200" s="4" t="s">
        <v>30</v>
      </c>
      <c r="O200" s="4" t="s">
        <v>242</v>
      </c>
      <c r="P200" s="4" t="s">
        <v>259</v>
      </c>
      <c r="Q200" s="4"/>
    </row>
    <row r="201" spans="1:17" ht="25.5">
      <c r="A201" s="3">
        <v>197</v>
      </c>
      <c r="B201" s="3" t="s">
        <v>836</v>
      </c>
      <c r="C201" s="4" t="s">
        <v>723</v>
      </c>
      <c r="D201" s="4" t="s">
        <v>724</v>
      </c>
      <c r="E201" s="4" t="s">
        <v>817</v>
      </c>
      <c r="F201" s="4" t="s">
        <v>837</v>
      </c>
      <c r="G201" s="4" t="s">
        <v>838</v>
      </c>
      <c r="H201" s="4" t="s">
        <v>76</v>
      </c>
      <c r="I201" s="4" t="s">
        <v>77</v>
      </c>
      <c r="J201" s="4" t="s">
        <v>820</v>
      </c>
      <c r="K201" s="4" t="s">
        <v>406</v>
      </c>
      <c r="L201" s="4" t="s">
        <v>28</v>
      </c>
      <c r="M201" s="4" t="s">
        <v>125</v>
      </c>
      <c r="N201" s="4" t="s">
        <v>30</v>
      </c>
      <c r="O201" s="4" t="s">
        <v>242</v>
      </c>
      <c r="P201" s="4" t="s">
        <v>78</v>
      </c>
      <c r="Q201" s="4"/>
    </row>
    <row r="202" spans="1:17" ht="25.5">
      <c r="A202" s="3">
        <v>198</v>
      </c>
      <c r="B202" s="3" t="s">
        <v>839</v>
      </c>
      <c r="C202" s="4" t="s">
        <v>723</v>
      </c>
      <c r="D202" s="4" t="s">
        <v>724</v>
      </c>
      <c r="E202" s="4" t="s">
        <v>840</v>
      </c>
      <c r="F202" s="4" t="s">
        <v>841</v>
      </c>
      <c r="G202" s="4" t="s">
        <v>842</v>
      </c>
      <c r="H202" s="4" t="s">
        <v>284</v>
      </c>
      <c r="I202" s="4" t="s">
        <v>52</v>
      </c>
      <c r="J202" s="4" t="s">
        <v>843</v>
      </c>
      <c r="K202" s="4" t="s">
        <v>406</v>
      </c>
      <c r="L202" s="4" t="s">
        <v>28</v>
      </c>
      <c r="M202" s="4" t="s">
        <v>125</v>
      </c>
      <c r="N202" s="4" t="s">
        <v>30</v>
      </c>
      <c r="O202" s="4" t="s">
        <v>242</v>
      </c>
      <c r="P202" s="4" t="s">
        <v>54</v>
      </c>
      <c r="Q202" s="4"/>
    </row>
    <row r="203" spans="1:17" ht="25.5">
      <c r="A203" s="3">
        <v>199</v>
      </c>
      <c r="B203" s="3" t="s">
        <v>844</v>
      </c>
      <c r="C203" s="4" t="s">
        <v>723</v>
      </c>
      <c r="D203" s="4" t="s">
        <v>724</v>
      </c>
      <c r="E203" s="4" t="s">
        <v>840</v>
      </c>
      <c r="F203" s="4" t="s">
        <v>845</v>
      </c>
      <c r="G203" s="4" t="s">
        <v>846</v>
      </c>
      <c r="H203" s="4" t="s">
        <v>284</v>
      </c>
      <c r="I203" s="4" t="s">
        <v>52</v>
      </c>
      <c r="J203" s="4" t="s">
        <v>843</v>
      </c>
      <c r="K203" s="4" t="s">
        <v>406</v>
      </c>
      <c r="L203" s="4" t="s">
        <v>28</v>
      </c>
      <c r="M203" s="4" t="s">
        <v>125</v>
      </c>
      <c r="N203" s="4" t="s">
        <v>30</v>
      </c>
      <c r="O203" s="4" t="s">
        <v>242</v>
      </c>
      <c r="P203" s="4" t="s">
        <v>58</v>
      </c>
      <c r="Q203" s="4"/>
    </row>
    <row r="204" spans="1:17" ht="38.25">
      <c r="A204" s="3">
        <v>200</v>
      </c>
      <c r="B204" s="3" t="s">
        <v>847</v>
      </c>
      <c r="C204" s="4" t="s">
        <v>723</v>
      </c>
      <c r="D204" s="4" t="s">
        <v>724</v>
      </c>
      <c r="E204" s="4" t="s">
        <v>840</v>
      </c>
      <c r="F204" s="4" t="s">
        <v>848</v>
      </c>
      <c r="G204" s="4" t="s">
        <v>849</v>
      </c>
      <c r="H204" s="4" t="s">
        <v>284</v>
      </c>
      <c r="I204" s="4" t="s">
        <v>52</v>
      </c>
      <c r="J204" s="4" t="s">
        <v>843</v>
      </c>
      <c r="K204" s="4" t="s">
        <v>406</v>
      </c>
      <c r="L204" s="4" t="s">
        <v>28</v>
      </c>
      <c r="M204" s="4" t="s">
        <v>125</v>
      </c>
      <c r="N204" s="4" t="s">
        <v>30</v>
      </c>
      <c r="O204" s="4" t="s">
        <v>242</v>
      </c>
      <c r="P204" s="4" t="s">
        <v>62</v>
      </c>
      <c r="Q204" s="4"/>
    </row>
    <row r="205" spans="1:17" ht="38.25">
      <c r="A205" s="3">
        <v>201</v>
      </c>
      <c r="B205" s="3" t="s">
        <v>850</v>
      </c>
      <c r="C205" s="4" t="s">
        <v>723</v>
      </c>
      <c r="D205" s="4" t="s">
        <v>724</v>
      </c>
      <c r="E205" s="4" t="s">
        <v>840</v>
      </c>
      <c r="F205" s="4" t="s">
        <v>851</v>
      </c>
      <c r="G205" s="4" t="s">
        <v>852</v>
      </c>
      <c r="H205" s="4" t="s">
        <v>284</v>
      </c>
      <c r="I205" s="4" t="s">
        <v>52</v>
      </c>
      <c r="J205" s="4" t="s">
        <v>843</v>
      </c>
      <c r="K205" s="4" t="s">
        <v>406</v>
      </c>
      <c r="L205" s="4" t="s">
        <v>28</v>
      </c>
      <c r="M205" s="4" t="s">
        <v>125</v>
      </c>
      <c r="N205" s="4" t="s">
        <v>30</v>
      </c>
      <c r="O205" s="4" t="s">
        <v>242</v>
      </c>
      <c r="P205" s="4" t="s">
        <v>66</v>
      </c>
      <c r="Q205" s="4"/>
    </row>
    <row r="206" spans="1:17" ht="25.5">
      <c r="A206" s="3">
        <v>202</v>
      </c>
      <c r="B206" s="3" t="s">
        <v>853</v>
      </c>
      <c r="C206" s="4" t="s">
        <v>723</v>
      </c>
      <c r="D206" s="4" t="s">
        <v>724</v>
      </c>
      <c r="E206" s="4" t="s">
        <v>840</v>
      </c>
      <c r="F206" s="4" t="s">
        <v>854</v>
      </c>
      <c r="G206" s="4" t="s">
        <v>855</v>
      </c>
      <c r="H206" s="4" t="s">
        <v>70</v>
      </c>
      <c r="I206" s="4" t="s">
        <v>52</v>
      </c>
      <c r="J206" s="4" t="s">
        <v>843</v>
      </c>
      <c r="K206" s="4" t="s">
        <v>406</v>
      </c>
      <c r="L206" s="4" t="s">
        <v>71</v>
      </c>
      <c r="M206" s="4" t="s">
        <v>125</v>
      </c>
      <c r="N206" s="4" t="s">
        <v>30</v>
      </c>
      <c r="O206" s="4" t="s">
        <v>242</v>
      </c>
      <c r="P206" s="4" t="s">
        <v>72</v>
      </c>
      <c r="Q206" s="4"/>
    </row>
    <row r="207" spans="1:17" ht="38.25">
      <c r="A207" s="3">
        <v>203</v>
      </c>
      <c r="B207" s="3" t="s">
        <v>856</v>
      </c>
      <c r="C207" s="4" t="s">
        <v>723</v>
      </c>
      <c r="D207" s="4" t="s">
        <v>724</v>
      </c>
      <c r="E207" s="4" t="s">
        <v>840</v>
      </c>
      <c r="F207" s="4" t="s">
        <v>857</v>
      </c>
      <c r="G207" s="4" t="s">
        <v>858</v>
      </c>
      <c r="H207" s="4" t="s">
        <v>258</v>
      </c>
      <c r="I207" s="4" t="s">
        <v>200</v>
      </c>
      <c r="J207" s="4" t="s">
        <v>843</v>
      </c>
      <c r="K207" s="4" t="s">
        <v>406</v>
      </c>
      <c r="L207" s="4" t="s">
        <v>28</v>
      </c>
      <c r="M207" s="4" t="s">
        <v>125</v>
      </c>
      <c r="N207" s="4" t="s">
        <v>30</v>
      </c>
      <c r="O207" s="4" t="s">
        <v>242</v>
      </c>
      <c r="P207" s="4" t="s">
        <v>259</v>
      </c>
      <c r="Q207" s="4"/>
    </row>
    <row r="208" spans="1:17" ht="25.5">
      <c r="A208" s="3">
        <v>204</v>
      </c>
      <c r="B208" s="3" t="s">
        <v>859</v>
      </c>
      <c r="C208" s="4" t="s">
        <v>723</v>
      </c>
      <c r="D208" s="4" t="s">
        <v>724</v>
      </c>
      <c r="E208" s="4" t="s">
        <v>840</v>
      </c>
      <c r="F208" s="4" t="s">
        <v>860</v>
      </c>
      <c r="G208" s="4" t="s">
        <v>861</v>
      </c>
      <c r="H208" s="4" t="s">
        <v>76</v>
      </c>
      <c r="I208" s="4" t="s">
        <v>77</v>
      </c>
      <c r="J208" s="4" t="s">
        <v>843</v>
      </c>
      <c r="K208" s="4" t="s">
        <v>406</v>
      </c>
      <c r="L208" s="4" t="s">
        <v>28</v>
      </c>
      <c r="M208" s="4" t="s">
        <v>125</v>
      </c>
      <c r="N208" s="4" t="s">
        <v>30</v>
      </c>
      <c r="O208" s="4" t="s">
        <v>242</v>
      </c>
      <c r="P208" s="4" t="s">
        <v>78</v>
      </c>
      <c r="Q208" s="4"/>
    </row>
    <row r="209" spans="1:17" ht="38.25">
      <c r="A209" s="3">
        <v>205</v>
      </c>
      <c r="B209" s="3" t="s">
        <v>862</v>
      </c>
      <c r="C209" s="4" t="s">
        <v>723</v>
      </c>
      <c r="D209" s="4" t="s">
        <v>724</v>
      </c>
      <c r="E209" s="4" t="s">
        <v>863</v>
      </c>
      <c r="F209" s="4" t="s">
        <v>864</v>
      </c>
      <c r="G209" s="4" t="s">
        <v>865</v>
      </c>
      <c r="H209" s="4" t="s">
        <v>284</v>
      </c>
      <c r="I209" s="4" t="s">
        <v>52</v>
      </c>
      <c r="J209" s="4" t="s">
        <v>866</v>
      </c>
      <c r="K209" s="4" t="s">
        <v>406</v>
      </c>
      <c r="L209" s="4" t="s">
        <v>28</v>
      </c>
      <c r="M209" s="4" t="s">
        <v>125</v>
      </c>
      <c r="N209" s="4" t="s">
        <v>30</v>
      </c>
      <c r="O209" s="4" t="s">
        <v>242</v>
      </c>
      <c r="P209" s="4" t="s">
        <v>54</v>
      </c>
      <c r="Q209" s="4"/>
    </row>
    <row r="210" spans="1:17" ht="38.25">
      <c r="A210" s="3">
        <v>206</v>
      </c>
      <c r="B210" s="3" t="s">
        <v>867</v>
      </c>
      <c r="C210" s="4" t="s">
        <v>723</v>
      </c>
      <c r="D210" s="4" t="s">
        <v>724</v>
      </c>
      <c r="E210" s="4" t="s">
        <v>863</v>
      </c>
      <c r="F210" s="4" t="s">
        <v>868</v>
      </c>
      <c r="G210" s="4" t="s">
        <v>869</v>
      </c>
      <c r="H210" s="4" t="s">
        <v>284</v>
      </c>
      <c r="I210" s="4" t="s">
        <v>52</v>
      </c>
      <c r="J210" s="4" t="s">
        <v>866</v>
      </c>
      <c r="K210" s="4" t="s">
        <v>406</v>
      </c>
      <c r="L210" s="4" t="s">
        <v>28</v>
      </c>
      <c r="M210" s="4" t="s">
        <v>125</v>
      </c>
      <c r="N210" s="4" t="s">
        <v>30</v>
      </c>
      <c r="O210" s="4" t="s">
        <v>242</v>
      </c>
      <c r="P210" s="4" t="s">
        <v>58</v>
      </c>
      <c r="Q210" s="4"/>
    </row>
    <row r="211" spans="1:17" ht="38.25">
      <c r="A211" s="3">
        <v>207</v>
      </c>
      <c r="B211" s="3" t="s">
        <v>870</v>
      </c>
      <c r="C211" s="4" t="s">
        <v>723</v>
      </c>
      <c r="D211" s="4" t="s">
        <v>724</v>
      </c>
      <c r="E211" s="4" t="s">
        <v>863</v>
      </c>
      <c r="F211" s="4" t="s">
        <v>871</v>
      </c>
      <c r="G211" s="4" t="s">
        <v>872</v>
      </c>
      <c r="H211" s="4" t="s">
        <v>284</v>
      </c>
      <c r="I211" s="4" t="s">
        <v>52</v>
      </c>
      <c r="J211" s="4" t="s">
        <v>866</v>
      </c>
      <c r="K211" s="4" t="s">
        <v>406</v>
      </c>
      <c r="L211" s="4" t="s">
        <v>28</v>
      </c>
      <c r="M211" s="4" t="s">
        <v>125</v>
      </c>
      <c r="N211" s="4" t="s">
        <v>30</v>
      </c>
      <c r="O211" s="4" t="s">
        <v>242</v>
      </c>
      <c r="P211" s="4" t="s">
        <v>62</v>
      </c>
      <c r="Q211" s="4"/>
    </row>
    <row r="212" spans="1:17" ht="38.25">
      <c r="A212" s="3">
        <v>208</v>
      </c>
      <c r="B212" s="3" t="s">
        <v>873</v>
      </c>
      <c r="C212" s="4" t="s">
        <v>723</v>
      </c>
      <c r="D212" s="4" t="s">
        <v>724</v>
      </c>
      <c r="E212" s="4" t="s">
        <v>863</v>
      </c>
      <c r="F212" s="4" t="s">
        <v>874</v>
      </c>
      <c r="G212" s="4" t="s">
        <v>875</v>
      </c>
      <c r="H212" s="4" t="s">
        <v>284</v>
      </c>
      <c r="I212" s="4" t="s">
        <v>52</v>
      </c>
      <c r="J212" s="4" t="s">
        <v>866</v>
      </c>
      <c r="K212" s="4" t="s">
        <v>406</v>
      </c>
      <c r="L212" s="4" t="s">
        <v>28</v>
      </c>
      <c r="M212" s="4" t="s">
        <v>125</v>
      </c>
      <c r="N212" s="4" t="s">
        <v>30</v>
      </c>
      <c r="O212" s="4" t="s">
        <v>242</v>
      </c>
      <c r="P212" s="4" t="s">
        <v>66</v>
      </c>
      <c r="Q212" s="4"/>
    </row>
    <row r="213" spans="1:17" ht="38.25">
      <c r="A213" s="3">
        <v>209</v>
      </c>
      <c r="B213" s="3" t="s">
        <v>876</v>
      </c>
      <c r="C213" s="4" t="s">
        <v>723</v>
      </c>
      <c r="D213" s="4" t="s">
        <v>724</v>
      </c>
      <c r="E213" s="4" t="s">
        <v>863</v>
      </c>
      <c r="F213" s="4" t="s">
        <v>877</v>
      </c>
      <c r="G213" s="4" t="s">
        <v>878</v>
      </c>
      <c r="H213" s="4" t="s">
        <v>70</v>
      </c>
      <c r="I213" s="4" t="s">
        <v>52</v>
      </c>
      <c r="J213" s="4" t="s">
        <v>866</v>
      </c>
      <c r="K213" s="4" t="s">
        <v>406</v>
      </c>
      <c r="L213" s="4" t="s">
        <v>71</v>
      </c>
      <c r="M213" s="4" t="s">
        <v>125</v>
      </c>
      <c r="N213" s="4" t="s">
        <v>30</v>
      </c>
      <c r="O213" s="4" t="s">
        <v>242</v>
      </c>
      <c r="P213" s="4" t="s">
        <v>72</v>
      </c>
      <c r="Q213" s="4"/>
    </row>
    <row r="214" spans="1:17" ht="38.25">
      <c r="A214" s="3">
        <v>210</v>
      </c>
      <c r="B214" s="3" t="s">
        <v>879</v>
      </c>
      <c r="C214" s="4" t="s">
        <v>723</v>
      </c>
      <c r="D214" s="4" t="s">
        <v>724</v>
      </c>
      <c r="E214" s="4" t="s">
        <v>863</v>
      </c>
      <c r="F214" s="4" t="s">
        <v>880</v>
      </c>
      <c r="G214" s="4" t="s">
        <v>881</v>
      </c>
      <c r="H214" s="4" t="s">
        <v>258</v>
      </c>
      <c r="I214" s="4" t="s">
        <v>200</v>
      </c>
      <c r="J214" s="4" t="s">
        <v>866</v>
      </c>
      <c r="K214" s="4" t="s">
        <v>406</v>
      </c>
      <c r="L214" s="4" t="s">
        <v>28</v>
      </c>
      <c r="M214" s="4" t="s">
        <v>125</v>
      </c>
      <c r="N214" s="4" t="s">
        <v>30</v>
      </c>
      <c r="O214" s="4" t="s">
        <v>242</v>
      </c>
      <c r="P214" s="4" t="s">
        <v>259</v>
      </c>
      <c r="Q214" s="4"/>
    </row>
    <row r="215" spans="1:17" ht="38.25">
      <c r="A215" s="3">
        <v>211</v>
      </c>
      <c r="B215" s="3" t="s">
        <v>882</v>
      </c>
      <c r="C215" s="4" t="s">
        <v>723</v>
      </c>
      <c r="D215" s="4" t="s">
        <v>724</v>
      </c>
      <c r="E215" s="4" t="s">
        <v>863</v>
      </c>
      <c r="F215" s="4" t="s">
        <v>883</v>
      </c>
      <c r="G215" s="4" t="s">
        <v>884</v>
      </c>
      <c r="H215" s="4" t="s">
        <v>76</v>
      </c>
      <c r="I215" s="4" t="s">
        <v>77</v>
      </c>
      <c r="J215" s="4" t="s">
        <v>866</v>
      </c>
      <c r="K215" s="4" t="s">
        <v>406</v>
      </c>
      <c r="L215" s="4" t="s">
        <v>28</v>
      </c>
      <c r="M215" s="4" t="s">
        <v>125</v>
      </c>
      <c r="N215" s="4" t="s">
        <v>30</v>
      </c>
      <c r="O215" s="4" t="s">
        <v>242</v>
      </c>
      <c r="P215" s="4" t="s">
        <v>78</v>
      </c>
      <c r="Q215" s="4"/>
    </row>
    <row r="216" spans="1:17" ht="51">
      <c r="A216" s="3">
        <v>212</v>
      </c>
      <c r="B216" s="3" t="s">
        <v>885</v>
      </c>
      <c r="C216" s="4" t="s">
        <v>723</v>
      </c>
      <c r="D216" s="4" t="s">
        <v>724</v>
      </c>
      <c r="E216" s="4" t="s">
        <v>886</v>
      </c>
      <c r="F216" s="4" t="s">
        <v>887</v>
      </c>
      <c r="G216" s="4" t="s">
        <v>888</v>
      </c>
      <c r="H216" s="4" t="s">
        <v>284</v>
      </c>
      <c r="I216" s="4" t="s">
        <v>52</v>
      </c>
      <c r="J216" s="4" t="s">
        <v>889</v>
      </c>
      <c r="K216" s="4" t="s">
        <v>406</v>
      </c>
      <c r="L216" s="4" t="s">
        <v>28</v>
      </c>
      <c r="M216" s="4" t="s">
        <v>125</v>
      </c>
      <c r="N216" s="4" t="s">
        <v>30</v>
      </c>
      <c r="O216" s="4" t="s">
        <v>242</v>
      </c>
      <c r="P216" s="4" t="s">
        <v>54</v>
      </c>
      <c r="Q216" s="4"/>
    </row>
    <row r="217" spans="1:17" ht="51">
      <c r="A217" s="3">
        <v>213</v>
      </c>
      <c r="B217" s="3" t="s">
        <v>890</v>
      </c>
      <c r="C217" s="4" t="s">
        <v>723</v>
      </c>
      <c r="D217" s="4" t="s">
        <v>724</v>
      </c>
      <c r="E217" s="4" t="s">
        <v>886</v>
      </c>
      <c r="F217" s="4" t="s">
        <v>891</v>
      </c>
      <c r="G217" s="4" t="s">
        <v>892</v>
      </c>
      <c r="H217" s="4" t="s">
        <v>284</v>
      </c>
      <c r="I217" s="4" t="s">
        <v>52</v>
      </c>
      <c r="J217" s="4" t="s">
        <v>889</v>
      </c>
      <c r="K217" s="4" t="s">
        <v>406</v>
      </c>
      <c r="L217" s="4" t="s">
        <v>28</v>
      </c>
      <c r="M217" s="4" t="s">
        <v>125</v>
      </c>
      <c r="N217" s="4" t="s">
        <v>30</v>
      </c>
      <c r="O217" s="4" t="s">
        <v>242</v>
      </c>
      <c r="P217" s="4" t="s">
        <v>58</v>
      </c>
      <c r="Q217" s="4"/>
    </row>
    <row r="218" spans="1:17" ht="51">
      <c r="A218" s="3">
        <v>214</v>
      </c>
      <c r="B218" s="3" t="s">
        <v>893</v>
      </c>
      <c r="C218" s="4" t="s">
        <v>723</v>
      </c>
      <c r="D218" s="4" t="s">
        <v>724</v>
      </c>
      <c r="E218" s="4" t="s">
        <v>886</v>
      </c>
      <c r="F218" s="4" t="s">
        <v>894</v>
      </c>
      <c r="G218" s="4" t="s">
        <v>895</v>
      </c>
      <c r="H218" s="4" t="s">
        <v>284</v>
      </c>
      <c r="I218" s="4" t="s">
        <v>52</v>
      </c>
      <c r="J218" s="4" t="s">
        <v>889</v>
      </c>
      <c r="K218" s="4" t="s">
        <v>406</v>
      </c>
      <c r="L218" s="4" t="s">
        <v>28</v>
      </c>
      <c r="M218" s="4" t="s">
        <v>125</v>
      </c>
      <c r="N218" s="4" t="s">
        <v>30</v>
      </c>
      <c r="O218" s="4" t="s">
        <v>242</v>
      </c>
      <c r="P218" s="4" t="s">
        <v>62</v>
      </c>
      <c r="Q218" s="4"/>
    </row>
    <row r="219" spans="1:17" ht="51">
      <c r="A219" s="3">
        <v>215</v>
      </c>
      <c r="B219" s="3" t="s">
        <v>896</v>
      </c>
      <c r="C219" s="4" t="s">
        <v>723</v>
      </c>
      <c r="D219" s="4" t="s">
        <v>724</v>
      </c>
      <c r="E219" s="4" t="s">
        <v>886</v>
      </c>
      <c r="F219" s="4" t="s">
        <v>897</v>
      </c>
      <c r="G219" s="4" t="s">
        <v>898</v>
      </c>
      <c r="H219" s="4" t="s">
        <v>284</v>
      </c>
      <c r="I219" s="4" t="s">
        <v>52</v>
      </c>
      <c r="J219" s="4" t="s">
        <v>889</v>
      </c>
      <c r="K219" s="4" t="s">
        <v>406</v>
      </c>
      <c r="L219" s="4" t="s">
        <v>28</v>
      </c>
      <c r="M219" s="4" t="s">
        <v>125</v>
      </c>
      <c r="N219" s="4" t="s">
        <v>30</v>
      </c>
      <c r="O219" s="4" t="s">
        <v>242</v>
      </c>
      <c r="P219" s="4" t="s">
        <v>66</v>
      </c>
      <c r="Q219" s="4"/>
    </row>
    <row r="220" spans="1:17" ht="51">
      <c r="A220" s="3">
        <v>216</v>
      </c>
      <c r="B220" s="3" t="s">
        <v>899</v>
      </c>
      <c r="C220" s="4" t="s">
        <v>723</v>
      </c>
      <c r="D220" s="4" t="s">
        <v>724</v>
      </c>
      <c r="E220" s="4" t="s">
        <v>886</v>
      </c>
      <c r="F220" s="4" t="s">
        <v>900</v>
      </c>
      <c r="G220" s="4" t="s">
        <v>901</v>
      </c>
      <c r="H220" s="4" t="s">
        <v>70</v>
      </c>
      <c r="I220" s="4" t="s">
        <v>52</v>
      </c>
      <c r="J220" s="4" t="s">
        <v>889</v>
      </c>
      <c r="K220" s="4" t="s">
        <v>406</v>
      </c>
      <c r="L220" s="4" t="s">
        <v>71</v>
      </c>
      <c r="M220" s="4" t="s">
        <v>125</v>
      </c>
      <c r="N220" s="4" t="s">
        <v>30</v>
      </c>
      <c r="O220" s="4" t="s">
        <v>242</v>
      </c>
      <c r="P220" s="4" t="s">
        <v>72</v>
      </c>
      <c r="Q220" s="4"/>
    </row>
    <row r="221" spans="1:17" ht="51">
      <c r="A221" s="3">
        <v>217</v>
      </c>
      <c r="B221" s="3" t="s">
        <v>902</v>
      </c>
      <c r="C221" s="4" t="s">
        <v>723</v>
      </c>
      <c r="D221" s="4" t="s">
        <v>724</v>
      </c>
      <c r="E221" s="4" t="s">
        <v>886</v>
      </c>
      <c r="F221" s="4" t="s">
        <v>903</v>
      </c>
      <c r="G221" s="4" t="s">
        <v>904</v>
      </c>
      <c r="H221" s="4" t="s">
        <v>258</v>
      </c>
      <c r="I221" s="4" t="s">
        <v>200</v>
      </c>
      <c r="J221" s="4" t="s">
        <v>889</v>
      </c>
      <c r="K221" s="4" t="s">
        <v>406</v>
      </c>
      <c r="L221" s="4" t="s">
        <v>28</v>
      </c>
      <c r="M221" s="4" t="s">
        <v>125</v>
      </c>
      <c r="N221" s="4" t="s">
        <v>30</v>
      </c>
      <c r="O221" s="4" t="s">
        <v>242</v>
      </c>
      <c r="P221" s="4" t="s">
        <v>259</v>
      </c>
      <c r="Q221" s="4"/>
    </row>
    <row r="222" spans="1:17" ht="51">
      <c r="A222" s="3">
        <v>218</v>
      </c>
      <c r="B222" s="3" t="s">
        <v>905</v>
      </c>
      <c r="C222" s="4" t="s">
        <v>723</v>
      </c>
      <c r="D222" s="4" t="s">
        <v>724</v>
      </c>
      <c r="E222" s="4" t="s">
        <v>886</v>
      </c>
      <c r="F222" s="4" t="s">
        <v>906</v>
      </c>
      <c r="G222" s="4" t="s">
        <v>907</v>
      </c>
      <c r="H222" s="4" t="s">
        <v>76</v>
      </c>
      <c r="I222" s="4" t="s">
        <v>77</v>
      </c>
      <c r="J222" s="4" t="s">
        <v>889</v>
      </c>
      <c r="K222" s="4" t="s">
        <v>406</v>
      </c>
      <c r="L222" s="4" t="s">
        <v>28</v>
      </c>
      <c r="M222" s="4" t="s">
        <v>125</v>
      </c>
      <c r="N222" s="4" t="s">
        <v>30</v>
      </c>
      <c r="O222" s="4" t="s">
        <v>242</v>
      </c>
      <c r="P222" s="4" t="s">
        <v>78</v>
      </c>
      <c r="Q222" s="4"/>
    </row>
    <row r="223" spans="1:17" ht="38.25">
      <c r="A223" s="3">
        <v>219</v>
      </c>
      <c r="B223" s="3" t="s">
        <v>908</v>
      </c>
      <c r="C223" s="4" t="s">
        <v>723</v>
      </c>
      <c r="D223" s="4" t="s">
        <v>724</v>
      </c>
      <c r="E223" s="4" t="s">
        <v>909</v>
      </c>
      <c r="F223" s="4" t="s">
        <v>910</v>
      </c>
      <c r="G223" s="4" t="s">
        <v>911</v>
      </c>
      <c r="H223" s="4" t="s">
        <v>284</v>
      </c>
      <c r="I223" s="4" t="s">
        <v>52</v>
      </c>
      <c r="J223" s="4" t="s">
        <v>912</v>
      </c>
      <c r="K223" s="4" t="s">
        <v>406</v>
      </c>
      <c r="L223" s="4" t="s">
        <v>28</v>
      </c>
      <c r="M223" s="4" t="s">
        <v>125</v>
      </c>
      <c r="N223" s="4" t="s">
        <v>30</v>
      </c>
      <c r="O223" s="4" t="s">
        <v>242</v>
      </c>
      <c r="P223" s="4" t="s">
        <v>54</v>
      </c>
      <c r="Q223" s="4"/>
    </row>
    <row r="224" spans="1:17" ht="25.5">
      <c r="A224" s="3">
        <v>220</v>
      </c>
      <c r="B224" s="3" t="s">
        <v>913</v>
      </c>
      <c r="C224" s="4" t="s">
        <v>723</v>
      </c>
      <c r="D224" s="4" t="s">
        <v>724</v>
      </c>
      <c r="E224" s="4" t="s">
        <v>909</v>
      </c>
      <c r="F224" s="4" t="s">
        <v>914</v>
      </c>
      <c r="G224" s="4" t="s">
        <v>915</v>
      </c>
      <c r="H224" s="4" t="s">
        <v>284</v>
      </c>
      <c r="I224" s="4" t="s">
        <v>52</v>
      </c>
      <c r="J224" s="4" t="s">
        <v>912</v>
      </c>
      <c r="K224" s="4" t="s">
        <v>406</v>
      </c>
      <c r="L224" s="4" t="s">
        <v>28</v>
      </c>
      <c r="M224" s="4" t="s">
        <v>125</v>
      </c>
      <c r="N224" s="4" t="s">
        <v>30</v>
      </c>
      <c r="O224" s="4" t="s">
        <v>242</v>
      </c>
      <c r="P224" s="4" t="s">
        <v>58</v>
      </c>
      <c r="Q224" s="4"/>
    </row>
    <row r="225" spans="1:17" ht="38.25">
      <c r="A225" s="3">
        <v>221</v>
      </c>
      <c r="B225" s="3" t="s">
        <v>916</v>
      </c>
      <c r="C225" s="4" t="s">
        <v>723</v>
      </c>
      <c r="D225" s="4" t="s">
        <v>724</v>
      </c>
      <c r="E225" s="4" t="s">
        <v>909</v>
      </c>
      <c r="F225" s="4" t="s">
        <v>917</v>
      </c>
      <c r="G225" s="4" t="s">
        <v>918</v>
      </c>
      <c r="H225" s="4" t="s">
        <v>284</v>
      </c>
      <c r="I225" s="4" t="s">
        <v>52</v>
      </c>
      <c r="J225" s="4" t="s">
        <v>912</v>
      </c>
      <c r="K225" s="4" t="s">
        <v>406</v>
      </c>
      <c r="L225" s="4" t="s">
        <v>28</v>
      </c>
      <c r="M225" s="4" t="s">
        <v>125</v>
      </c>
      <c r="N225" s="4" t="s">
        <v>30</v>
      </c>
      <c r="O225" s="4" t="s">
        <v>242</v>
      </c>
      <c r="P225" s="4" t="s">
        <v>62</v>
      </c>
      <c r="Q225" s="4"/>
    </row>
    <row r="226" spans="1:17" ht="38.25">
      <c r="A226" s="3">
        <v>222</v>
      </c>
      <c r="B226" s="3" t="s">
        <v>919</v>
      </c>
      <c r="C226" s="4" t="s">
        <v>723</v>
      </c>
      <c r="D226" s="4" t="s">
        <v>724</v>
      </c>
      <c r="E226" s="4" t="s">
        <v>909</v>
      </c>
      <c r="F226" s="4" t="s">
        <v>920</v>
      </c>
      <c r="G226" s="4" t="s">
        <v>921</v>
      </c>
      <c r="H226" s="4" t="s">
        <v>284</v>
      </c>
      <c r="I226" s="4" t="s">
        <v>52</v>
      </c>
      <c r="J226" s="4" t="s">
        <v>912</v>
      </c>
      <c r="K226" s="4" t="s">
        <v>406</v>
      </c>
      <c r="L226" s="4" t="s">
        <v>28</v>
      </c>
      <c r="M226" s="4" t="s">
        <v>125</v>
      </c>
      <c r="N226" s="4" t="s">
        <v>30</v>
      </c>
      <c r="O226" s="4" t="s">
        <v>242</v>
      </c>
      <c r="P226" s="4" t="s">
        <v>66</v>
      </c>
      <c r="Q226" s="4"/>
    </row>
    <row r="227" spans="1:17" ht="25.5">
      <c r="A227" s="3">
        <v>223</v>
      </c>
      <c r="B227" s="3" t="s">
        <v>922</v>
      </c>
      <c r="C227" s="4" t="s">
        <v>723</v>
      </c>
      <c r="D227" s="4" t="s">
        <v>724</v>
      </c>
      <c r="E227" s="4" t="s">
        <v>909</v>
      </c>
      <c r="F227" s="4" t="s">
        <v>923</v>
      </c>
      <c r="G227" s="4" t="s">
        <v>924</v>
      </c>
      <c r="H227" s="4" t="s">
        <v>70</v>
      </c>
      <c r="I227" s="4" t="s">
        <v>52</v>
      </c>
      <c r="J227" s="4" t="s">
        <v>912</v>
      </c>
      <c r="K227" s="4" t="s">
        <v>406</v>
      </c>
      <c r="L227" s="4" t="s">
        <v>71</v>
      </c>
      <c r="M227" s="4" t="s">
        <v>125</v>
      </c>
      <c r="N227" s="4" t="s">
        <v>30</v>
      </c>
      <c r="O227" s="4" t="s">
        <v>242</v>
      </c>
      <c r="P227" s="4" t="s">
        <v>72</v>
      </c>
      <c r="Q227" s="4"/>
    </row>
    <row r="228" spans="1:17" ht="38.25">
      <c r="A228" s="3">
        <v>224</v>
      </c>
      <c r="B228" s="3" t="s">
        <v>925</v>
      </c>
      <c r="C228" s="4" t="s">
        <v>723</v>
      </c>
      <c r="D228" s="4" t="s">
        <v>724</v>
      </c>
      <c r="E228" s="4" t="s">
        <v>909</v>
      </c>
      <c r="F228" s="4" t="s">
        <v>926</v>
      </c>
      <c r="G228" s="4" t="s">
        <v>927</v>
      </c>
      <c r="H228" s="4" t="s">
        <v>258</v>
      </c>
      <c r="I228" s="4" t="s">
        <v>200</v>
      </c>
      <c r="J228" s="4" t="s">
        <v>912</v>
      </c>
      <c r="K228" s="4" t="s">
        <v>406</v>
      </c>
      <c r="L228" s="4" t="s">
        <v>28</v>
      </c>
      <c r="M228" s="4" t="s">
        <v>125</v>
      </c>
      <c r="N228" s="4" t="s">
        <v>30</v>
      </c>
      <c r="O228" s="4" t="s">
        <v>242</v>
      </c>
      <c r="P228" s="4" t="s">
        <v>259</v>
      </c>
      <c r="Q228" s="4"/>
    </row>
    <row r="229" spans="1:17" ht="38.25">
      <c r="A229" s="3">
        <v>225</v>
      </c>
      <c r="B229" s="3" t="s">
        <v>928</v>
      </c>
      <c r="C229" s="4" t="s">
        <v>723</v>
      </c>
      <c r="D229" s="4" t="s">
        <v>724</v>
      </c>
      <c r="E229" s="4" t="s">
        <v>909</v>
      </c>
      <c r="F229" s="4" t="s">
        <v>929</v>
      </c>
      <c r="G229" s="4" t="s">
        <v>930</v>
      </c>
      <c r="H229" s="4" t="s">
        <v>76</v>
      </c>
      <c r="I229" s="4" t="s">
        <v>77</v>
      </c>
      <c r="J229" s="4" t="s">
        <v>912</v>
      </c>
      <c r="K229" s="4" t="s">
        <v>406</v>
      </c>
      <c r="L229" s="4" t="s">
        <v>28</v>
      </c>
      <c r="M229" s="4" t="s">
        <v>125</v>
      </c>
      <c r="N229" s="4" t="s">
        <v>30</v>
      </c>
      <c r="O229" s="4" t="s">
        <v>242</v>
      </c>
      <c r="P229" s="4" t="s">
        <v>78</v>
      </c>
      <c r="Q229" s="4"/>
    </row>
    <row r="230" spans="1:17" ht="38.25">
      <c r="A230" s="3">
        <v>226</v>
      </c>
      <c r="B230" s="3" t="s">
        <v>931</v>
      </c>
      <c r="C230" s="4" t="s">
        <v>723</v>
      </c>
      <c r="D230" s="4" t="s">
        <v>724</v>
      </c>
      <c r="E230" s="4" t="s">
        <v>932</v>
      </c>
      <c r="F230" s="4" t="s">
        <v>933</v>
      </c>
      <c r="G230" s="4" t="s">
        <v>934</v>
      </c>
      <c r="H230" s="4" t="s">
        <v>284</v>
      </c>
      <c r="I230" s="4" t="s">
        <v>52</v>
      </c>
      <c r="J230" s="4" t="s">
        <v>935</v>
      </c>
      <c r="K230" s="4" t="s">
        <v>406</v>
      </c>
      <c r="L230" s="4" t="s">
        <v>28</v>
      </c>
      <c r="M230" s="4" t="s">
        <v>125</v>
      </c>
      <c r="N230" s="4" t="s">
        <v>30</v>
      </c>
      <c r="O230" s="4" t="s">
        <v>242</v>
      </c>
      <c r="P230" s="4" t="s">
        <v>54</v>
      </c>
      <c r="Q230" s="4"/>
    </row>
    <row r="231" spans="1:17" ht="25.5">
      <c r="A231" s="3">
        <v>227</v>
      </c>
      <c r="B231" s="3" t="s">
        <v>936</v>
      </c>
      <c r="C231" s="4" t="s">
        <v>723</v>
      </c>
      <c r="D231" s="4" t="s">
        <v>724</v>
      </c>
      <c r="E231" s="4" t="s">
        <v>932</v>
      </c>
      <c r="F231" s="4" t="s">
        <v>937</v>
      </c>
      <c r="G231" s="4" t="s">
        <v>938</v>
      </c>
      <c r="H231" s="4" t="s">
        <v>284</v>
      </c>
      <c r="I231" s="4" t="s">
        <v>52</v>
      </c>
      <c r="J231" s="4" t="s">
        <v>935</v>
      </c>
      <c r="K231" s="4" t="s">
        <v>406</v>
      </c>
      <c r="L231" s="4" t="s">
        <v>28</v>
      </c>
      <c r="M231" s="4" t="s">
        <v>125</v>
      </c>
      <c r="N231" s="4" t="s">
        <v>30</v>
      </c>
      <c r="O231" s="4" t="s">
        <v>242</v>
      </c>
      <c r="P231" s="4" t="s">
        <v>58</v>
      </c>
      <c r="Q231" s="4"/>
    </row>
    <row r="232" spans="1:17" ht="38.25">
      <c r="A232" s="3">
        <v>228</v>
      </c>
      <c r="B232" s="3" t="s">
        <v>939</v>
      </c>
      <c r="C232" s="4" t="s">
        <v>723</v>
      </c>
      <c r="D232" s="4" t="s">
        <v>724</v>
      </c>
      <c r="E232" s="4" t="s">
        <v>932</v>
      </c>
      <c r="F232" s="4" t="s">
        <v>940</v>
      </c>
      <c r="G232" s="4" t="s">
        <v>941</v>
      </c>
      <c r="H232" s="4" t="s">
        <v>284</v>
      </c>
      <c r="I232" s="4" t="s">
        <v>52</v>
      </c>
      <c r="J232" s="4" t="s">
        <v>935</v>
      </c>
      <c r="K232" s="4" t="s">
        <v>406</v>
      </c>
      <c r="L232" s="4" t="s">
        <v>28</v>
      </c>
      <c r="M232" s="4" t="s">
        <v>125</v>
      </c>
      <c r="N232" s="4" t="s">
        <v>30</v>
      </c>
      <c r="O232" s="4" t="s">
        <v>242</v>
      </c>
      <c r="P232" s="4" t="s">
        <v>62</v>
      </c>
      <c r="Q232" s="4"/>
    </row>
    <row r="233" spans="1:17" ht="38.25">
      <c r="A233" s="3">
        <v>229</v>
      </c>
      <c r="B233" s="3" t="s">
        <v>942</v>
      </c>
      <c r="C233" s="4" t="s">
        <v>723</v>
      </c>
      <c r="D233" s="4" t="s">
        <v>724</v>
      </c>
      <c r="E233" s="4" t="s">
        <v>932</v>
      </c>
      <c r="F233" s="4" t="s">
        <v>943</v>
      </c>
      <c r="G233" s="4" t="s">
        <v>944</v>
      </c>
      <c r="H233" s="4" t="s">
        <v>284</v>
      </c>
      <c r="I233" s="4" t="s">
        <v>52</v>
      </c>
      <c r="J233" s="4" t="s">
        <v>935</v>
      </c>
      <c r="K233" s="4" t="s">
        <v>406</v>
      </c>
      <c r="L233" s="4" t="s">
        <v>28</v>
      </c>
      <c r="M233" s="4" t="s">
        <v>125</v>
      </c>
      <c r="N233" s="4" t="s">
        <v>30</v>
      </c>
      <c r="O233" s="4" t="s">
        <v>242</v>
      </c>
      <c r="P233" s="4" t="s">
        <v>66</v>
      </c>
      <c r="Q233" s="4"/>
    </row>
    <row r="234" spans="1:17" ht="25.5">
      <c r="A234" s="3">
        <v>230</v>
      </c>
      <c r="B234" s="3" t="s">
        <v>945</v>
      </c>
      <c r="C234" s="4" t="s">
        <v>723</v>
      </c>
      <c r="D234" s="4" t="s">
        <v>724</v>
      </c>
      <c r="E234" s="4" t="s">
        <v>932</v>
      </c>
      <c r="F234" s="4" t="s">
        <v>946</v>
      </c>
      <c r="G234" s="4" t="s">
        <v>947</v>
      </c>
      <c r="H234" s="4" t="s">
        <v>70</v>
      </c>
      <c r="I234" s="4" t="s">
        <v>52</v>
      </c>
      <c r="J234" s="4" t="s">
        <v>935</v>
      </c>
      <c r="K234" s="4" t="s">
        <v>406</v>
      </c>
      <c r="L234" s="4" t="s">
        <v>71</v>
      </c>
      <c r="M234" s="4" t="s">
        <v>125</v>
      </c>
      <c r="N234" s="4" t="s">
        <v>30</v>
      </c>
      <c r="O234" s="4" t="s">
        <v>242</v>
      </c>
      <c r="P234" s="4" t="s">
        <v>72</v>
      </c>
      <c r="Q234" s="4"/>
    </row>
    <row r="235" spans="1:17" ht="38.25">
      <c r="A235" s="3">
        <v>231</v>
      </c>
      <c r="B235" s="3" t="s">
        <v>948</v>
      </c>
      <c r="C235" s="4" t="s">
        <v>723</v>
      </c>
      <c r="D235" s="4" t="s">
        <v>724</v>
      </c>
      <c r="E235" s="4" t="s">
        <v>932</v>
      </c>
      <c r="F235" s="4" t="s">
        <v>949</v>
      </c>
      <c r="G235" s="4" t="s">
        <v>950</v>
      </c>
      <c r="H235" s="4" t="s">
        <v>258</v>
      </c>
      <c r="I235" s="4" t="s">
        <v>200</v>
      </c>
      <c r="J235" s="4" t="s">
        <v>935</v>
      </c>
      <c r="K235" s="4" t="s">
        <v>406</v>
      </c>
      <c r="L235" s="4" t="s">
        <v>28</v>
      </c>
      <c r="M235" s="4" t="s">
        <v>125</v>
      </c>
      <c r="N235" s="4" t="s">
        <v>30</v>
      </c>
      <c r="O235" s="4" t="s">
        <v>242</v>
      </c>
      <c r="P235" s="4" t="s">
        <v>259</v>
      </c>
      <c r="Q235" s="4"/>
    </row>
    <row r="236" spans="1:17" ht="25.5">
      <c r="A236" s="3">
        <v>232</v>
      </c>
      <c r="B236" s="3" t="s">
        <v>951</v>
      </c>
      <c r="C236" s="4" t="s">
        <v>723</v>
      </c>
      <c r="D236" s="4" t="s">
        <v>724</v>
      </c>
      <c r="E236" s="4" t="s">
        <v>932</v>
      </c>
      <c r="F236" s="4" t="s">
        <v>952</v>
      </c>
      <c r="G236" s="4" t="s">
        <v>953</v>
      </c>
      <c r="H236" s="4" t="s">
        <v>76</v>
      </c>
      <c r="I236" s="4" t="s">
        <v>77</v>
      </c>
      <c r="J236" s="4" t="s">
        <v>935</v>
      </c>
      <c r="K236" s="4" t="s">
        <v>406</v>
      </c>
      <c r="L236" s="4" t="s">
        <v>28</v>
      </c>
      <c r="M236" s="4" t="s">
        <v>125</v>
      </c>
      <c r="N236" s="4" t="s">
        <v>30</v>
      </c>
      <c r="O236" s="4" t="s">
        <v>242</v>
      </c>
      <c r="P236" s="4" t="s">
        <v>78</v>
      </c>
      <c r="Q236" s="4"/>
    </row>
    <row r="237" spans="1:17" ht="25.5">
      <c r="A237" s="3">
        <v>233</v>
      </c>
      <c r="B237" s="3" t="s">
        <v>954</v>
      </c>
      <c r="C237" s="4" t="s">
        <v>723</v>
      </c>
      <c r="D237" s="4" t="s">
        <v>724</v>
      </c>
      <c r="E237" s="4" t="s">
        <v>955</v>
      </c>
      <c r="F237" s="4" t="s">
        <v>956</v>
      </c>
      <c r="G237" s="4" t="s">
        <v>957</v>
      </c>
      <c r="H237" s="4" t="s">
        <v>958</v>
      </c>
      <c r="I237" s="4" t="s">
        <v>52</v>
      </c>
      <c r="J237" s="4" t="s">
        <v>959</v>
      </c>
      <c r="K237" s="4" t="s">
        <v>406</v>
      </c>
      <c r="L237" s="4" t="s">
        <v>28</v>
      </c>
      <c r="M237" s="4" t="s">
        <v>125</v>
      </c>
      <c r="N237" s="4" t="s">
        <v>30</v>
      </c>
      <c r="O237" s="4" t="s">
        <v>41</v>
      </c>
      <c r="P237" s="4"/>
      <c r="Q237" s="4"/>
    </row>
    <row r="238" spans="1:17" ht="25.5">
      <c r="A238" s="3">
        <v>234</v>
      </c>
      <c r="B238" s="3" t="s">
        <v>960</v>
      </c>
      <c r="C238" s="4" t="s">
        <v>723</v>
      </c>
      <c r="D238" s="4" t="s">
        <v>724</v>
      </c>
      <c r="E238" s="4" t="s">
        <v>961</v>
      </c>
      <c r="F238" s="4" t="s">
        <v>962</v>
      </c>
      <c r="G238" s="4" t="s">
        <v>963</v>
      </c>
      <c r="H238" s="4" t="s">
        <v>187</v>
      </c>
      <c r="I238" s="4" t="s">
        <v>200</v>
      </c>
      <c r="J238" s="4" t="s">
        <v>959</v>
      </c>
      <c r="K238" s="4" t="s">
        <v>406</v>
      </c>
      <c r="L238" s="4" t="s">
        <v>28</v>
      </c>
      <c r="M238" s="4" t="s">
        <v>125</v>
      </c>
      <c r="N238" s="4" t="s">
        <v>30</v>
      </c>
      <c r="O238" s="4" t="s">
        <v>41</v>
      </c>
      <c r="P238" s="4"/>
      <c r="Q238" s="4"/>
    </row>
    <row r="239" spans="1:17" ht="25.5">
      <c r="A239" s="3">
        <v>235</v>
      </c>
      <c r="B239" s="3" t="s">
        <v>964</v>
      </c>
      <c r="C239" s="4" t="s">
        <v>965</v>
      </c>
      <c r="D239" s="4" t="s">
        <v>966</v>
      </c>
      <c r="E239" s="4" t="s">
        <v>967</v>
      </c>
      <c r="F239" s="4" t="s">
        <v>968</v>
      </c>
      <c r="G239" s="4" t="s">
        <v>969</v>
      </c>
      <c r="H239" s="4" t="s">
        <v>284</v>
      </c>
      <c r="I239" s="4" t="s">
        <v>52</v>
      </c>
      <c r="J239" s="4" t="s">
        <v>970</v>
      </c>
      <c r="K239" s="4" t="s">
        <v>241</v>
      </c>
      <c r="L239" s="4" t="s">
        <v>28</v>
      </c>
      <c r="M239" s="4" t="s">
        <v>29</v>
      </c>
      <c r="N239" s="4" t="s">
        <v>30</v>
      </c>
      <c r="O239" s="4" t="s">
        <v>242</v>
      </c>
      <c r="P239" s="4" t="s">
        <v>54</v>
      </c>
      <c r="Q239" s="4"/>
    </row>
    <row r="240" spans="1:17" ht="25.5">
      <c r="A240" s="3">
        <v>236</v>
      </c>
      <c r="B240" s="3" t="s">
        <v>971</v>
      </c>
      <c r="C240" s="4" t="s">
        <v>965</v>
      </c>
      <c r="D240" s="4" t="s">
        <v>966</v>
      </c>
      <c r="E240" s="4" t="s">
        <v>967</v>
      </c>
      <c r="F240" s="4" t="s">
        <v>972</v>
      </c>
      <c r="G240" s="4" t="s">
        <v>973</v>
      </c>
      <c r="H240" s="4" t="s">
        <v>284</v>
      </c>
      <c r="I240" s="4" t="s">
        <v>52</v>
      </c>
      <c r="J240" s="4" t="s">
        <v>970</v>
      </c>
      <c r="K240" s="4" t="s">
        <v>241</v>
      </c>
      <c r="L240" s="4" t="s">
        <v>28</v>
      </c>
      <c r="M240" s="4" t="s">
        <v>29</v>
      </c>
      <c r="N240" s="4" t="s">
        <v>30</v>
      </c>
      <c r="O240" s="4" t="s">
        <v>242</v>
      </c>
      <c r="P240" s="4" t="s">
        <v>58</v>
      </c>
      <c r="Q240" s="4"/>
    </row>
    <row r="241" spans="1:17" ht="25.5">
      <c r="A241" s="3">
        <v>237</v>
      </c>
      <c r="B241" s="3" t="s">
        <v>974</v>
      </c>
      <c r="C241" s="4" t="s">
        <v>965</v>
      </c>
      <c r="D241" s="4" t="s">
        <v>966</v>
      </c>
      <c r="E241" s="4" t="s">
        <v>967</v>
      </c>
      <c r="F241" s="4" t="s">
        <v>975</v>
      </c>
      <c r="G241" s="4" t="s">
        <v>976</v>
      </c>
      <c r="H241" s="4" t="s">
        <v>284</v>
      </c>
      <c r="I241" s="4" t="s">
        <v>52</v>
      </c>
      <c r="J241" s="4" t="s">
        <v>970</v>
      </c>
      <c r="K241" s="4" t="s">
        <v>241</v>
      </c>
      <c r="L241" s="4" t="s">
        <v>28</v>
      </c>
      <c r="M241" s="4" t="s">
        <v>29</v>
      </c>
      <c r="N241" s="4" t="s">
        <v>30</v>
      </c>
      <c r="O241" s="4" t="s">
        <v>242</v>
      </c>
      <c r="P241" s="4" t="s">
        <v>62</v>
      </c>
      <c r="Q241" s="4"/>
    </row>
    <row r="242" spans="1:17" ht="25.5">
      <c r="A242" s="3">
        <v>238</v>
      </c>
      <c r="B242" s="3" t="s">
        <v>977</v>
      </c>
      <c r="C242" s="4" t="s">
        <v>965</v>
      </c>
      <c r="D242" s="4" t="s">
        <v>966</v>
      </c>
      <c r="E242" s="4" t="s">
        <v>967</v>
      </c>
      <c r="F242" s="4" t="s">
        <v>978</v>
      </c>
      <c r="G242" s="4" t="s">
        <v>979</v>
      </c>
      <c r="H242" s="4" t="s">
        <v>284</v>
      </c>
      <c r="I242" s="4" t="s">
        <v>52</v>
      </c>
      <c r="J242" s="4" t="s">
        <v>970</v>
      </c>
      <c r="K242" s="4" t="s">
        <v>241</v>
      </c>
      <c r="L242" s="4" t="s">
        <v>28</v>
      </c>
      <c r="M242" s="4" t="s">
        <v>29</v>
      </c>
      <c r="N242" s="4" t="s">
        <v>30</v>
      </c>
      <c r="O242" s="4" t="s">
        <v>242</v>
      </c>
      <c r="P242" s="4" t="s">
        <v>66</v>
      </c>
      <c r="Q242" s="4"/>
    </row>
    <row r="243" spans="1:17" ht="25.5">
      <c r="A243" s="3">
        <v>239</v>
      </c>
      <c r="B243" s="3" t="s">
        <v>980</v>
      </c>
      <c r="C243" s="4" t="s">
        <v>965</v>
      </c>
      <c r="D243" s="4" t="s">
        <v>966</v>
      </c>
      <c r="E243" s="4" t="s">
        <v>967</v>
      </c>
      <c r="F243" s="4" t="s">
        <v>981</v>
      </c>
      <c r="G243" s="4" t="s">
        <v>982</v>
      </c>
      <c r="H243" s="4" t="s">
        <v>70</v>
      </c>
      <c r="I243" s="4" t="s">
        <v>52</v>
      </c>
      <c r="J243" s="4" t="s">
        <v>970</v>
      </c>
      <c r="K243" s="4" t="s">
        <v>241</v>
      </c>
      <c r="L243" s="4" t="s">
        <v>71</v>
      </c>
      <c r="M243" s="4" t="s">
        <v>29</v>
      </c>
      <c r="N243" s="4" t="s">
        <v>30</v>
      </c>
      <c r="O243" s="4" t="s">
        <v>242</v>
      </c>
      <c r="P243" s="4" t="s">
        <v>72</v>
      </c>
      <c r="Q243" s="4"/>
    </row>
    <row r="244" spans="1:17" ht="25.5">
      <c r="A244" s="3">
        <v>240</v>
      </c>
      <c r="B244" s="3" t="s">
        <v>983</v>
      </c>
      <c r="C244" s="4" t="s">
        <v>965</v>
      </c>
      <c r="D244" s="4" t="s">
        <v>966</v>
      </c>
      <c r="E244" s="4" t="s">
        <v>967</v>
      </c>
      <c r="F244" s="4" t="s">
        <v>984</v>
      </c>
      <c r="G244" s="4" t="s">
        <v>985</v>
      </c>
      <c r="H244" s="4" t="s">
        <v>258</v>
      </c>
      <c r="I244" s="4" t="s">
        <v>200</v>
      </c>
      <c r="J244" s="4" t="s">
        <v>970</v>
      </c>
      <c r="K244" s="4" t="s">
        <v>241</v>
      </c>
      <c r="L244" s="4" t="s">
        <v>28</v>
      </c>
      <c r="M244" s="4" t="s">
        <v>29</v>
      </c>
      <c r="N244" s="4" t="s">
        <v>30</v>
      </c>
      <c r="O244" s="4" t="s">
        <v>242</v>
      </c>
      <c r="P244" s="4" t="s">
        <v>259</v>
      </c>
      <c r="Q244" s="4"/>
    </row>
    <row r="245" spans="1:17" ht="25.5">
      <c r="A245" s="3">
        <v>241</v>
      </c>
      <c r="B245" s="3" t="s">
        <v>986</v>
      </c>
      <c r="C245" s="4" t="s">
        <v>965</v>
      </c>
      <c r="D245" s="4" t="s">
        <v>966</v>
      </c>
      <c r="E245" s="4" t="s">
        <v>967</v>
      </c>
      <c r="F245" s="4" t="s">
        <v>987</v>
      </c>
      <c r="G245" s="4" t="s">
        <v>988</v>
      </c>
      <c r="H245" s="4" t="s">
        <v>76</v>
      </c>
      <c r="I245" s="4" t="s">
        <v>77</v>
      </c>
      <c r="J245" s="4" t="s">
        <v>970</v>
      </c>
      <c r="K245" s="4" t="s">
        <v>241</v>
      </c>
      <c r="L245" s="4" t="s">
        <v>28</v>
      </c>
      <c r="M245" s="4" t="s">
        <v>29</v>
      </c>
      <c r="N245" s="4" t="s">
        <v>30</v>
      </c>
      <c r="O245" s="4" t="s">
        <v>242</v>
      </c>
      <c r="P245" s="4" t="s">
        <v>78</v>
      </c>
      <c r="Q245" s="4"/>
    </row>
    <row r="246" spans="1:17" ht="25.5">
      <c r="A246" s="3">
        <v>242</v>
      </c>
      <c r="B246" s="3" t="s">
        <v>989</v>
      </c>
      <c r="C246" s="4" t="s">
        <v>965</v>
      </c>
      <c r="D246" s="4" t="s">
        <v>966</v>
      </c>
      <c r="E246" s="4" t="s">
        <v>990</v>
      </c>
      <c r="F246" s="4" t="s">
        <v>991</v>
      </c>
      <c r="G246" s="4" t="s">
        <v>992</v>
      </c>
      <c r="H246" s="4" t="s">
        <v>284</v>
      </c>
      <c r="I246" s="4" t="s">
        <v>52</v>
      </c>
      <c r="J246" s="4" t="s">
        <v>970</v>
      </c>
      <c r="K246" s="4" t="s">
        <v>241</v>
      </c>
      <c r="L246" s="4" t="s">
        <v>28</v>
      </c>
      <c r="M246" s="4" t="s">
        <v>29</v>
      </c>
      <c r="N246" s="4" t="s">
        <v>30</v>
      </c>
      <c r="O246" s="4" t="s">
        <v>41</v>
      </c>
      <c r="P246" s="4"/>
      <c r="Q246" s="4"/>
    </row>
    <row r="247" spans="1:17" ht="25.5">
      <c r="A247" s="3">
        <v>243</v>
      </c>
      <c r="B247" s="3" t="s">
        <v>993</v>
      </c>
      <c r="C247" s="4" t="s">
        <v>965</v>
      </c>
      <c r="D247" s="4" t="s">
        <v>966</v>
      </c>
      <c r="E247" s="4" t="s">
        <v>994</v>
      </c>
      <c r="F247" s="4" t="s">
        <v>995</v>
      </c>
      <c r="G247" s="4" t="s">
        <v>996</v>
      </c>
      <c r="H247" s="4" t="s">
        <v>997</v>
      </c>
      <c r="I247" s="4" t="s">
        <v>52</v>
      </c>
      <c r="J247" s="4" t="s">
        <v>970</v>
      </c>
      <c r="K247" s="4" t="s">
        <v>241</v>
      </c>
      <c r="L247" s="4" t="s">
        <v>28</v>
      </c>
      <c r="M247" s="4" t="s">
        <v>29</v>
      </c>
      <c r="N247" s="4" t="s">
        <v>30</v>
      </c>
      <c r="O247" s="4" t="s">
        <v>41</v>
      </c>
      <c r="P247" s="4"/>
      <c r="Q247" s="4"/>
    </row>
    <row r="248" spans="1:17" ht="25.5">
      <c r="A248" s="3">
        <v>244</v>
      </c>
      <c r="B248" s="3" t="s">
        <v>998</v>
      </c>
      <c r="C248" s="4" t="s">
        <v>965</v>
      </c>
      <c r="D248" s="4" t="s">
        <v>966</v>
      </c>
      <c r="E248" s="4" t="s">
        <v>999</v>
      </c>
      <c r="F248" s="4" t="s">
        <v>1000</v>
      </c>
      <c r="G248" s="4" t="s">
        <v>1001</v>
      </c>
      <c r="H248" s="4" t="s">
        <v>1002</v>
      </c>
      <c r="I248" s="4" t="s">
        <v>200</v>
      </c>
      <c r="J248" s="4" t="s">
        <v>970</v>
      </c>
      <c r="K248" s="4" t="s">
        <v>241</v>
      </c>
      <c r="L248" s="4" t="s">
        <v>28</v>
      </c>
      <c r="M248" s="4" t="s">
        <v>29</v>
      </c>
      <c r="N248" s="4" t="s">
        <v>30</v>
      </c>
      <c r="O248" s="4" t="s">
        <v>41</v>
      </c>
      <c r="P248" s="4"/>
      <c r="Q248" s="4"/>
    </row>
    <row r="249" spans="1:17" ht="25.5">
      <c r="A249" s="3">
        <v>245</v>
      </c>
      <c r="B249" s="3" t="s">
        <v>1003</v>
      </c>
      <c r="C249" s="4" t="s">
        <v>965</v>
      </c>
      <c r="D249" s="4" t="s">
        <v>966</v>
      </c>
      <c r="E249" s="4" t="s">
        <v>1004</v>
      </c>
      <c r="F249" s="4" t="s">
        <v>1005</v>
      </c>
      <c r="G249" s="4" t="s">
        <v>1006</v>
      </c>
      <c r="H249" s="4" t="s">
        <v>284</v>
      </c>
      <c r="I249" s="4" t="s">
        <v>52</v>
      </c>
      <c r="J249" s="4" t="s">
        <v>970</v>
      </c>
      <c r="K249" s="4" t="s">
        <v>241</v>
      </c>
      <c r="L249" s="4" t="s">
        <v>71</v>
      </c>
      <c r="M249" s="4" t="s">
        <v>29</v>
      </c>
      <c r="N249" s="4" t="s">
        <v>30</v>
      </c>
      <c r="O249" s="4" t="s">
        <v>41</v>
      </c>
      <c r="P249" s="4"/>
      <c r="Q249" s="4"/>
    </row>
    <row r="250" spans="1:17" ht="25.5">
      <c r="A250" s="3">
        <v>246</v>
      </c>
      <c r="B250" s="3" t="s">
        <v>1007</v>
      </c>
      <c r="C250" s="4" t="s">
        <v>1008</v>
      </c>
      <c r="D250" s="4" t="s">
        <v>1009</v>
      </c>
      <c r="E250" s="4" t="s">
        <v>1010</v>
      </c>
      <c r="F250" s="4" t="s">
        <v>1011</v>
      </c>
      <c r="G250" s="4" t="s">
        <v>1012</v>
      </c>
      <c r="H250" s="4" t="s">
        <v>314</v>
      </c>
      <c r="I250" s="4" t="s">
        <v>52</v>
      </c>
      <c r="J250" s="4" t="s">
        <v>1013</v>
      </c>
      <c r="K250" s="4" t="s">
        <v>241</v>
      </c>
      <c r="L250" s="4" t="s">
        <v>28</v>
      </c>
      <c r="M250" s="4" t="s">
        <v>29</v>
      </c>
      <c r="N250" s="4" t="s">
        <v>30</v>
      </c>
      <c r="O250" s="4" t="s">
        <v>242</v>
      </c>
      <c r="P250" s="4" t="s">
        <v>54</v>
      </c>
      <c r="Q250" s="4"/>
    </row>
    <row r="251" spans="1:17" ht="25.5">
      <c r="A251" s="3">
        <v>247</v>
      </c>
      <c r="B251" s="3" t="s">
        <v>1014</v>
      </c>
      <c r="C251" s="4" t="s">
        <v>1008</v>
      </c>
      <c r="D251" s="4" t="s">
        <v>1009</v>
      </c>
      <c r="E251" s="4" t="s">
        <v>1010</v>
      </c>
      <c r="F251" s="4" t="s">
        <v>1015</v>
      </c>
      <c r="G251" s="4" t="s">
        <v>1016</v>
      </c>
      <c r="H251" s="4" t="s">
        <v>314</v>
      </c>
      <c r="I251" s="4" t="s">
        <v>52</v>
      </c>
      <c r="J251" s="4" t="s">
        <v>1013</v>
      </c>
      <c r="K251" s="4" t="s">
        <v>241</v>
      </c>
      <c r="L251" s="4" t="s">
        <v>28</v>
      </c>
      <c r="M251" s="4" t="s">
        <v>29</v>
      </c>
      <c r="N251" s="4" t="s">
        <v>30</v>
      </c>
      <c r="O251" s="4" t="s">
        <v>242</v>
      </c>
      <c r="P251" s="4" t="s">
        <v>58</v>
      </c>
      <c r="Q251" s="4"/>
    </row>
    <row r="252" spans="1:17" ht="25.5">
      <c r="A252" s="3">
        <v>248</v>
      </c>
      <c r="B252" s="3" t="s">
        <v>1017</v>
      </c>
      <c r="C252" s="4" t="s">
        <v>1008</v>
      </c>
      <c r="D252" s="4" t="s">
        <v>1009</v>
      </c>
      <c r="E252" s="4" t="s">
        <v>1010</v>
      </c>
      <c r="F252" s="4" t="s">
        <v>1018</v>
      </c>
      <c r="G252" s="4" t="s">
        <v>1019</v>
      </c>
      <c r="H252" s="4" t="s">
        <v>314</v>
      </c>
      <c r="I252" s="4" t="s">
        <v>52</v>
      </c>
      <c r="J252" s="4" t="s">
        <v>1013</v>
      </c>
      <c r="K252" s="4" t="s">
        <v>241</v>
      </c>
      <c r="L252" s="4" t="s">
        <v>28</v>
      </c>
      <c r="M252" s="4" t="s">
        <v>29</v>
      </c>
      <c r="N252" s="4" t="s">
        <v>30</v>
      </c>
      <c r="O252" s="4" t="s">
        <v>242</v>
      </c>
      <c r="P252" s="4" t="s">
        <v>62</v>
      </c>
      <c r="Q252" s="4"/>
    </row>
    <row r="253" spans="1:17" ht="25.5">
      <c r="A253" s="3">
        <v>249</v>
      </c>
      <c r="B253" s="3" t="s">
        <v>1020</v>
      </c>
      <c r="C253" s="4" t="s">
        <v>1008</v>
      </c>
      <c r="D253" s="4" t="s">
        <v>1009</v>
      </c>
      <c r="E253" s="4" t="s">
        <v>1010</v>
      </c>
      <c r="F253" s="4" t="s">
        <v>1021</v>
      </c>
      <c r="G253" s="4" t="s">
        <v>1022</v>
      </c>
      <c r="H253" s="4" t="s">
        <v>314</v>
      </c>
      <c r="I253" s="4" t="s">
        <v>52</v>
      </c>
      <c r="J253" s="4" t="s">
        <v>1013</v>
      </c>
      <c r="K253" s="4" t="s">
        <v>241</v>
      </c>
      <c r="L253" s="4" t="s">
        <v>28</v>
      </c>
      <c r="M253" s="4" t="s">
        <v>29</v>
      </c>
      <c r="N253" s="4" t="s">
        <v>30</v>
      </c>
      <c r="O253" s="4" t="s">
        <v>242</v>
      </c>
      <c r="P253" s="4" t="s">
        <v>66</v>
      </c>
      <c r="Q253" s="4"/>
    </row>
    <row r="254" spans="1:17" ht="25.5">
      <c r="A254" s="3">
        <v>250</v>
      </c>
      <c r="B254" s="3" t="s">
        <v>1023</v>
      </c>
      <c r="C254" s="4" t="s">
        <v>1008</v>
      </c>
      <c r="D254" s="4" t="s">
        <v>1009</v>
      </c>
      <c r="E254" s="4" t="s">
        <v>1010</v>
      </c>
      <c r="F254" s="4" t="s">
        <v>1024</v>
      </c>
      <c r="G254" s="4" t="s">
        <v>1025</v>
      </c>
      <c r="H254" s="4" t="s">
        <v>70</v>
      </c>
      <c r="I254" s="4" t="s">
        <v>52</v>
      </c>
      <c r="J254" s="4" t="s">
        <v>1013</v>
      </c>
      <c r="K254" s="4" t="s">
        <v>241</v>
      </c>
      <c r="L254" s="4" t="s">
        <v>71</v>
      </c>
      <c r="M254" s="4" t="s">
        <v>29</v>
      </c>
      <c r="N254" s="4" t="s">
        <v>30</v>
      </c>
      <c r="O254" s="4" t="s">
        <v>242</v>
      </c>
      <c r="P254" s="4" t="s">
        <v>72</v>
      </c>
      <c r="Q254" s="4"/>
    </row>
    <row r="255" spans="1:17" ht="25.5">
      <c r="A255" s="3">
        <v>251</v>
      </c>
      <c r="B255" s="3" t="s">
        <v>1026</v>
      </c>
      <c r="C255" s="4" t="s">
        <v>1008</v>
      </c>
      <c r="D255" s="4" t="s">
        <v>1009</v>
      </c>
      <c r="E255" s="4" t="s">
        <v>1010</v>
      </c>
      <c r="F255" s="4" t="s">
        <v>1027</v>
      </c>
      <c r="G255" s="4" t="s">
        <v>1028</v>
      </c>
      <c r="H255" s="4" t="s">
        <v>258</v>
      </c>
      <c r="I255" s="4" t="s">
        <v>200</v>
      </c>
      <c r="J255" s="4" t="s">
        <v>1013</v>
      </c>
      <c r="K255" s="4" t="s">
        <v>241</v>
      </c>
      <c r="L255" s="4" t="s">
        <v>28</v>
      </c>
      <c r="M255" s="4" t="s">
        <v>29</v>
      </c>
      <c r="N255" s="4" t="s">
        <v>30</v>
      </c>
      <c r="O255" s="4" t="s">
        <v>242</v>
      </c>
      <c r="P255" s="4" t="s">
        <v>259</v>
      </c>
      <c r="Q255" s="4"/>
    </row>
    <row r="256" spans="1:17" ht="25.5">
      <c r="A256" s="3">
        <v>252</v>
      </c>
      <c r="B256" s="3" t="s">
        <v>1029</v>
      </c>
      <c r="C256" s="4" t="s">
        <v>1008</v>
      </c>
      <c r="D256" s="4" t="s">
        <v>1009</v>
      </c>
      <c r="E256" s="4" t="s">
        <v>1010</v>
      </c>
      <c r="F256" s="4" t="s">
        <v>1030</v>
      </c>
      <c r="G256" s="4" t="s">
        <v>1031</v>
      </c>
      <c r="H256" s="4" t="s">
        <v>76</v>
      </c>
      <c r="I256" s="4" t="s">
        <v>77</v>
      </c>
      <c r="J256" s="4" t="s">
        <v>1013</v>
      </c>
      <c r="K256" s="4" t="s">
        <v>241</v>
      </c>
      <c r="L256" s="4" t="s">
        <v>28</v>
      </c>
      <c r="M256" s="4" t="s">
        <v>29</v>
      </c>
      <c r="N256" s="4" t="s">
        <v>30</v>
      </c>
      <c r="O256" s="4" t="s">
        <v>242</v>
      </c>
      <c r="P256" s="4" t="s">
        <v>78</v>
      </c>
      <c r="Q256" s="4"/>
    </row>
    <row r="257" spans="1:17" ht="25.5">
      <c r="A257" s="3">
        <v>253</v>
      </c>
      <c r="B257" s="3" t="s">
        <v>1032</v>
      </c>
      <c r="C257" s="4" t="s">
        <v>1008</v>
      </c>
      <c r="D257" s="4" t="s">
        <v>1009</v>
      </c>
      <c r="E257" s="4" t="s">
        <v>1033</v>
      </c>
      <c r="F257" s="4" t="s">
        <v>1034</v>
      </c>
      <c r="G257" s="4" t="s">
        <v>1035</v>
      </c>
      <c r="H257" s="4" t="s">
        <v>679</v>
      </c>
      <c r="I257" s="4" t="s">
        <v>52</v>
      </c>
      <c r="J257" s="4" t="s">
        <v>1013</v>
      </c>
      <c r="K257" s="4" t="s">
        <v>241</v>
      </c>
      <c r="L257" s="4" t="s">
        <v>28</v>
      </c>
      <c r="M257" s="4" t="s">
        <v>29</v>
      </c>
      <c r="N257" s="4" t="s">
        <v>30</v>
      </c>
      <c r="O257" s="4" t="s">
        <v>41</v>
      </c>
      <c r="P257" s="4"/>
      <c r="Q257" s="4"/>
    </row>
    <row r="258" spans="1:17" ht="25.5">
      <c r="A258" s="3">
        <v>254</v>
      </c>
      <c r="B258" s="3" t="s">
        <v>1036</v>
      </c>
      <c r="C258" s="4" t="s">
        <v>1008</v>
      </c>
      <c r="D258" s="4" t="s">
        <v>1009</v>
      </c>
      <c r="E258" s="4" t="s">
        <v>1037</v>
      </c>
      <c r="F258" s="4" t="s">
        <v>1038</v>
      </c>
      <c r="G258" s="4" t="s">
        <v>1039</v>
      </c>
      <c r="H258" s="4" t="s">
        <v>679</v>
      </c>
      <c r="I258" s="4" t="s">
        <v>113</v>
      </c>
      <c r="J258" s="4" t="s">
        <v>1013</v>
      </c>
      <c r="K258" s="4" t="s">
        <v>241</v>
      </c>
      <c r="L258" s="4" t="s">
        <v>28</v>
      </c>
      <c r="M258" s="4" t="s">
        <v>29</v>
      </c>
      <c r="N258" s="4" t="s">
        <v>30</v>
      </c>
      <c r="O258" s="4" t="s">
        <v>41</v>
      </c>
      <c r="P258" s="4"/>
      <c r="Q258" s="4"/>
    </row>
    <row r="259" spans="1:17" ht="25.5">
      <c r="A259" s="3">
        <v>255</v>
      </c>
      <c r="B259" s="3" t="s">
        <v>1040</v>
      </c>
      <c r="C259" s="4" t="s">
        <v>1008</v>
      </c>
      <c r="D259" s="4" t="s">
        <v>1009</v>
      </c>
      <c r="E259" s="4" t="s">
        <v>1041</v>
      </c>
      <c r="F259" s="4" t="s">
        <v>1042</v>
      </c>
      <c r="G259" s="4" t="s">
        <v>1043</v>
      </c>
      <c r="H259" s="4" t="s">
        <v>1044</v>
      </c>
      <c r="I259" s="4" t="s">
        <v>113</v>
      </c>
      <c r="J259" s="4" t="s">
        <v>1013</v>
      </c>
      <c r="K259" s="4" t="s">
        <v>241</v>
      </c>
      <c r="L259" s="4" t="s">
        <v>28</v>
      </c>
      <c r="M259" s="4" t="s">
        <v>29</v>
      </c>
      <c r="N259" s="4" t="s">
        <v>30</v>
      </c>
      <c r="O259" s="4" t="s">
        <v>41</v>
      </c>
      <c r="P259" s="4"/>
      <c r="Q259" s="4"/>
    </row>
    <row r="260" spans="1:17" ht="25.5">
      <c r="A260" s="3">
        <v>256</v>
      </c>
      <c r="B260" s="3" t="s">
        <v>1045</v>
      </c>
      <c r="C260" s="4" t="s">
        <v>1008</v>
      </c>
      <c r="D260" s="4" t="s">
        <v>1009</v>
      </c>
      <c r="E260" s="4" t="s">
        <v>274</v>
      </c>
      <c r="F260" s="4" t="s">
        <v>1046</v>
      </c>
      <c r="G260" s="4" t="s">
        <v>1047</v>
      </c>
      <c r="H260" s="4" t="s">
        <v>1048</v>
      </c>
      <c r="I260" s="4" t="s">
        <v>200</v>
      </c>
      <c r="J260" s="4" t="s">
        <v>1013</v>
      </c>
      <c r="K260" s="4" t="s">
        <v>241</v>
      </c>
      <c r="L260" s="4" t="s">
        <v>28</v>
      </c>
      <c r="M260" s="4" t="s">
        <v>29</v>
      </c>
      <c r="N260" s="4" t="s">
        <v>30</v>
      </c>
      <c r="O260" s="4" t="s">
        <v>41</v>
      </c>
      <c r="P260" s="4"/>
      <c r="Q260" s="4"/>
    </row>
    <row r="261" spans="1:17" ht="25.5">
      <c r="A261" s="3">
        <v>257</v>
      </c>
      <c r="B261" s="3" t="s">
        <v>1049</v>
      </c>
      <c r="C261" s="4" t="s">
        <v>1050</v>
      </c>
      <c r="D261" s="4" t="s">
        <v>1051</v>
      </c>
      <c r="E261" s="4" t="s">
        <v>1051</v>
      </c>
      <c r="F261" s="4" t="s">
        <v>1052</v>
      </c>
      <c r="G261" s="4" t="s">
        <v>1053</v>
      </c>
      <c r="H261" s="4" t="s">
        <v>284</v>
      </c>
      <c r="I261" s="4" t="s">
        <v>52</v>
      </c>
      <c r="J261" s="4" t="s">
        <v>1054</v>
      </c>
      <c r="K261" s="4" t="s">
        <v>437</v>
      </c>
      <c r="L261" s="4" t="s">
        <v>28</v>
      </c>
      <c r="M261" s="4" t="s">
        <v>125</v>
      </c>
      <c r="N261" s="4" t="s">
        <v>30</v>
      </c>
      <c r="O261" s="4" t="s">
        <v>1055</v>
      </c>
      <c r="P261" s="4" t="s">
        <v>54</v>
      </c>
      <c r="Q261" s="4"/>
    </row>
    <row r="262" spans="1:17" ht="25.5">
      <c r="A262" s="3">
        <v>258</v>
      </c>
      <c r="B262" s="3" t="s">
        <v>1056</v>
      </c>
      <c r="C262" s="4" t="s">
        <v>1050</v>
      </c>
      <c r="D262" s="4" t="s">
        <v>1051</v>
      </c>
      <c r="E262" s="4" t="s">
        <v>1051</v>
      </c>
      <c r="F262" s="4" t="s">
        <v>1057</v>
      </c>
      <c r="G262" s="4" t="s">
        <v>1058</v>
      </c>
      <c r="H262" s="4" t="s">
        <v>284</v>
      </c>
      <c r="I262" s="4" t="s">
        <v>52</v>
      </c>
      <c r="J262" s="4" t="s">
        <v>1054</v>
      </c>
      <c r="K262" s="4" t="s">
        <v>437</v>
      </c>
      <c r="L262" s="4" t="s">
        <v>28</v>
      </c>
      <c r="M262" s="4" t="s">
        <v>125</v>
      </c>
      <c r="N262" s="4" t="s">
        <v>30</v>
      </c>
      <c r="O262" s="4" t="s">
        <v>1055</v>
      </c>
      <c r="P262" s="4" t="s">
        <v>58</v>
      </c>
      <c r="Q262" s="4"/>
    </row>
    <row r="263" spans="1:17" ht="25.5">
      <c r="A263" s="3">
        <v>259</v>
      </c>
      <c r="B263" s="3" t="s">
        <v>1059</v>
      </c>
      <c r="C263" s="4" t="s">
        <v>1050</v>
      </c>
      <c r="D263" s="4" t="s">
        <v>1051</v>
      </c>
      <c r="E263" s="4" t="s">
        <v>1051</v>
      </c>
      <c r="F263" s="4" t="s">
        <v>1060</v>
      </c>
      <c r="G263" s="4" t="s">
        <v>1061</v>
      </c>
      <c r="H263" s="4" t="s">
        <v>284</v>
      </c>
      <c r="I263" s="4" t="s">
        <v>52</v>
      </c>
      <c r="J263" s="4" t="s">
        <v>1054</v>
      </c>
      <c r="K263" s="4" t="s">
        <v>437</v>
      </c>
      <c r="L263" s="4" t="s">
        <v>28</v>
      </c>
      <c r="M263" s="4" t="s">
        <v>125</v>
      </c>
      <c r="N263" s="4" t="s">
        <v>30</v>
      </c>
      <c r="O263" s="4" t="s">
        <v>1055</v>
      </c>
      <c r="P263" s="4" t="s">
        <v>62</v>
      </c>
      <c r="Q263" s="4"/>
    </row>
    <row r="264" spans="1:17" ht="25.5">
      <c r="A264" s="3">
        <v>260</v>
      </c>
      <c r="B264" s="3" t="s">
        <v>1062</v>
      </c>
      <c r="C264" s="4" t="s">
        <v>1050</v>
      </c>
      <c r="D264" s="4" t="s">
        <v>1051</v>
      </c>
      <c r="E264" s="4" t="s">
        <v>1051</v>
      </c>
      <c r="F264" s="4" t="s">
        <v>1063</v>
      </c>
      <c r="G264" s="4" t="s">
        <v>1064</v>
      </c>
      <c r="H264" s="4" t="s">
        <v>284</v>
      </c>
      <c r="I264" s="4" t="s">
        <v>52</v>
      </c>
      <c r="J264" s="4" t="s">
        <v>1054</v>
      </c>
      <c r="K264" s="4" t="s">
        <v>437</v>
      </c>
      <c r="L264" s="4" t="s">
        <v>28</v>
      </c>
      <c r="M264" s="4" t="s">
        <v>125</v>
      </c>
      <c r="N264" s="4" t="s">
        <v>30</v>
      </c>
      <c r="O264" s="4" t="s">
        <v>1055</v>
      </c>
      <c r="P264" s="4" t="s">
        <v>66</v>
      </c>
      <c r="Q264" s="4"/>
    </row>
    <row r="265" spans="1:17" ht="25.5">
      <c r="A265" s="3">
        <v>261</v>
      </c>
      <c r="B265" s="3" t="s">
        <v>1065</v>
      </c>
      <c r="C265" s="4" t="s">
        <v>1050</v>
      </c>
      <c r="D265" s="4" t="s">
        <v>1051</v>
      </c>
      <c r="E265" s="4" t="s">
        <v>1051</v>
      </c>
      <c r="F265" s="4" t="s">
        <v>1066</v>
      </c>
      <c r="G265" s="4" t="s">
        <v>1067</v>
      </c>
      <c r="H265" s="4" t="s">
        <v>70</v>
      </c>
      <c r="I265" s="4" t="s">
        <v>52</v>
      </c>
      <c r="J265" s="4" t="s">
        <v>1054</v>
      </c>
      <c r="K265" s="4" t="s">
        <v>437</v>
      </c>
      <c r="L265" s="4" t="s">
        <v>71</v>
      </c>
      <c r="M265" s="4" t="s">
        <v>125</v>
      </c>
      <c r="N265" s="4" t="s">
        <v>30</v>
      </c>
      <c r="O265" s="4" t="s">
        <v>1055</v>
      </c>
      <c r="P265" s="4" t="s">
        <v>72</v>
      </c>
      <c r="Q265" s="4"/>
    </row>
    <row r="266" spans="1:17" ht="25.5">
      <c r="A266" s="3">
        <v>262</v>
      </c>
      <c r="B266" s="3" t="s">
        <v>1068</v>
      </c>
      <c r="C266" s="4" t="s">
        <v>1050</v>
      </c>
      <c r="D266" s="4" t="s">
        <v>1051</v>
      </c>
      <c r="E266" s="4" t="s">
        <v>1051</v>
      </c>
      <c r="F266" s="4" t="s">
        <v>1069</v>
      </c>
      <c r="G266" s="4" t="s">
        <v>1070</v>
      </c>
      <c r="H266" s="4" t="s">
        <v>76</v>
      </c>
      <c r="I266" s="4" t="s">
        <v>77</v>
      </c>
      <c r="J266" s="4" t="s">
        <v>1054</v>
      </c>
      <c r="K266" s="4" t="s">
        <v>437</v>
      </c>
      <c r="L266" s="4" t="s">
        <v>28</v>
      </c>
      <c r="M266" s="4" t="s">
        <v>125</v>
      </c>
      <c r="N266" s="4" t="s">
        <v>30</v>
      </c>
      <c r="O266" s="4" t="s">
        <v>1055</v>
      </c>
      <c r="P266" s="4" t="s">
        <v>78</v>
      </c>
      <c r="Q266" s="4"/>
    </row>
    <row r="267" spans="1:17" ht="25.5">
      <c r="A267" s="3">
        <v>263</v>
      </c>
      <c r="B267" s="3" t="s">
        <v>1071</v>
      </c>
      <c r="C267" s="4" t="s">
        <v>1050</v>
      </c>
      <c r="D267" s="4" t="s">
        <v>1051</v>
      </c>
      <c r="E267" s="4" t="s">
        <v>1072</v>
      </c>
      <c r="F267" s="4" t="s">
        <v>1073</v>
      </c>
      <c r="G267" s="4" t="s">
        <v>1074</v>
      </c>
      <c r="H267" s="4" t="s">
        <v>284</v>
      </c>
      <c r="I267" s="4" t="s">
        <v>52</v>
      </c>
      <c r="J267" s="4" t="s">
        <v>1054</v>
      </c>
      <c r="K267" s="4" t="s">
        <v>437</v>
      </c>
      <c r="L267" s="4" t="s">
        <v>28</v>
      </c>
      <c r="M267" s="4" t="s">
        <v>125</v>
      </c>
      <c r="N267" s="4" t="s">
        <v>30</v>
      </c>
      <c r="O267" s="4" t="s">
        <v>41</v>
      </c>
      <c r="P267" s="4"/>
      <c r="Q267" s="4"/>
    </row>
    <row r="268" spans="1:17" ht="25.5">
      <c r="A268" s="3">
        <v>264</v>
      </c>
      <c r="B268" s="3" t="s">
        <v>1075</v>
      </c>
      <c r="C268" s="4" t="s">
        <v>1050</v>
      </c>
      <c r="D268" s="4" t="s">
        <v>1076</v>
      </c>
      <c r="E268" s="4" t="s">
        <v>1077</v>
      </c>
      <c r="F268" s="4" t="s">
        <v>1078</v>
      </c>
      <c r="G268" s="4" t="s">
        <v>1079</v>
      </c>
      <c r="H268" s="4" t="s">
        <v>1080</v>
      </c>
      <c r="I268" s="4" t="s">
        <v>52</v>
      </c>
      <c r="J268" s="4" t="s">
        <v>1081</v>
      </c>
      <c r="K268" s="4" t="s">
        <v>437</v>
      </c>
      <c r="L268" s="4" t="s">
        <v>28</v>
      </c>
      <c r="M268" s="4" t="s">
        <v>29</v>
      </c>
      <c r="N268" s="4" t="s">
        <v>30</v>
      </c>
      <c r="O268" s="4" t="s">
        <v>242</v>
      </c>
      <c r="P268" s="4" t="s">
        <v>54</v>
      </c>
      <c r="Q268" s="4"/>
    </row>
    <row r="269" spans="1:17" ht="25.5">
      <c r="A269" s="3">
        <v>265</v>
      </c>
      <c r="B269" s="3" t="s">
        <v>1082</v>
      </c>
      <c r="C269" s="4" t="s">
        <v>1050</v>
      </c>
      <c r="D269" s="4" t="s">
        <v>1076</v>
      </c>
      <c r="E269" s="4" t="s">
        <v>1077</v>
      </c>
      <c r="F269" s="4" t="s">
        <v>1083</v>
      </c>
      <c r="G269" s="4" t="s">
        <v>1084</v>
      </c>
      <c r="H269" s="4" t="s">
        <v>1080</v>
      </c>
      <c r="I269" s="4" t="s">
        <v>52</v>
      </c>
      <c r="J269" s="4" t="s">
        <v>1081</v>
      </c>
      <c r="K269" s="4" t="s">
        <v>437</v>
      </c>
      <c r="L269" s="4" t="s">
        <v>28</v>
      </c>
      <c r="M269" s="4" t="s">
        <v>29</v>
      </c>
      <c r="N269" s="4" t="s">
        <v>30</v>
      </c>
      <c r="O269" s="4" t="s">
        <v>242</v>
      </c>
      <c r="P269" s="4" t="s">
        <v>58</v>
      </c>
      <c r="Q269" s="4"/>
    </row>
    <row r="270" spans="1:17" ht="25.5">
      <c r="A270" s="3">
        <v>266</v>
      </c>
      <c r="B270" s="3" t="s">
        <v>1085</v>
      </c>
      <c r="C270" s="4" t="s">
        <v>1050</v>
      </c>
      <c r="D270" s="4" t="s">
        <v>1076</v>
      </c>
      <c r="E270" s="4" t="s">
        <v>1077</v>
      </c>
      <c r="F270" s="4" t="s">
        <v>1086</v>
      </c>
      <c r="G270" s="4" t="s">
        <v>1087</v>
      </c>
      <c r="H270" s="4" t="s">
        <v>1080</v>
      </c>
      <c r="I270" s="4" t="s">
        <v>52</v>
      </c>
      <c r="J270" s="4" t="s">
        <v>1081</v>
      </c>
      <c r="K270" s="4" t="s">
        <v>437</v>
      </c>
      <c r="L270" s="4" t="s">
        <v>28</v>
      </c>
      <c r="M270" s="4" t="s">
        <v>29</v>
      </c>
      <c r="N270" s="4" t="s">
        <v>30</v>
      </c>
      <c r="O270" s="4" t="s">
        <v>242</v>
      </c>
      <c r="P270" s="4" t="s">
        <v>62</v>
      </c>
      <c r="Q270" s="4"/>
    </row>
    <row r="271" spans="1:17" ht="25.5">
      <c r="A271" s="3">
        <v>267</v>
      </c>
      <c r="B271" s="3" t="s">
        <v>1088</v>
      </c>
      <c r="C271" s="4" t="s">
        <v>1050</v>
      </c>
      <c r="D271" s="4" t="s">
        <v>1076</v>
      </c>
      <c r="E271" s="4" t="s">
        <v>1077</v>
      </c>
      <c r="F271" s="4" t="s">
        <v>1089</v>
      </c>
      <c r="G271" s="4" t="s">
        <v>1090</v>
      </c>
      <c r="H271" s="4" t="s">
        <v>1080</v>
      </c>
      <c r="I271" s="4" t="s">
        <v>52</v>
      </c>
      <c r="J271" s="4" t="s">
        <v>1081</v>
      </c>
      <c r="K271" s="4" t="s">
        <v>437</v>
      </c>
      <c r="L271" s="4" t="s">
        <v>28</v>
      </c>
      <c r="M271" s="4" t="s">
        <v>29</v>
      </c>
      <c r="N271" s="4" t="s">
        <v>30</v>
      </c>
      <c r="O271" s="4" t="s">
        <v>242</v>
      </c>
      <c r="P271" s="4" t="s">
        <v>66</v>
      </c>
      <c r="Q271" s="4"/>
    </row>
    <row r="272" spans="1:17" ht="25.5">
      <c r="A272" s="3">
        <v>268</v>
      </c>
      <c r="B272" s="3" t="s">
        <v>1091</v>
      </c>
      <c r="C272" s="4" t="s">
        <v>1050</v>
      </c>
      <c r="D272" s="4" t="s">
        <v>1076</v>
      </c>
      <c r="E272" s="4" t="s">
        <v>1077</v>
      </c>
      <c r="F272" s="4" t="s">
        <v>1092</v>
      </c>
      <c r="G272" s="4" t="s">
        <v>1093</v>
      </c>
      <c r="H272" s="4" t="s">
        <v>70</v>
      </c>
      <c r="I272" s="4" t="s">
        <v>52</v>
      </c>
      <c r="J272" s="4" t="s">
        <v>1081</v>
      </c>
      <c r="K272" s="4" t="s">
        <v>437</v>
      </c>
      <c r="L272" s="4" t="s">
        <v>71</v>
      </c>
      <c r="M272" s="4" t="s">
        <v>29</v>
      </c>
      <c r="N272" s="4" t="s">
        <v>30</v>
      </c>
      <c r="O272" s="4" t="s">
        <v>242</v>
      </c>
      <c r="P272" s="4" t="s">
        <v>72</v>
      </c>
      <c r="Q272" s="4"/>
    </row>
    <row r="273" spans="1:17" ht="25.5">
      <c r="A273" s="3">
        <v>269</v>
      </c>
      <c r="B273" s="3" t="s">
        <v>1094</v>
      </c>
      <c r="C273" s="4" t="s">
        <v>1050</v>
      </c>
      <c r="D273" s="4" t="s">
        <v>1076</v>
      </c>
      <c r="E273" s="4" t="s">
        <v>1077</v>
      </c>
      <c r="F273" s="4" t="s">
        <v>1095</v>
      </c>
      <c r="G273" s="4" t="s">
        <v>1096</v>
      </c>
      <c r="H273" s="4" t="s">
        <v>258</v>
      </c>
      <c r="I273" s="4" t="s">
        <v>200</v>
      </c>
      <c r="J273" s="4" t="s">
        <v>1081</v>
      </c>
      <c r="K273" s="4" t="s">
        <v>437</v>
      </c>
      <c r="L273" s="4" t="s">
        <v>28</v>
      </c>
      <c r="M273" s="4" t="s">
        <v>29</v>
      </c>
      <c r="N273" s="4" t="s">
        <v>30</v>
      </c>
      <c r="O273" s="4" t="s">
        <v>242</v>
      </c>
      <c r="P273" s="4" t="s">
        <v>259</v>
      </c>
      <c r="Q273" s="4"/>
    </row>
    <row r="274" spans="1:17" ht="25.5">
      <c r="A274" s="3">
        <v>270</v>
      </c>
      <c r="B274" s="3" t="s">
        <v>1097</v>
      </c>
      <c r="C274" s="4" t="s">
        <v>1050</v>
      </c>
      <c r="D274" s="4" t="s">
        <v>1076</v>
      </c>
      <c r="E274" s="4" t="s">
        <v>1077</v>
      </c>
      <c r="F274" s="4" t="s">
        <v>1098</v>
      </c>
      <c r="G274" s="4" t="s">
        <v>1099</v>
      </c>
      <c r="H274" s="4" t="s">
        <v>76</v>
      </c>
      <c r="I274" s="4" t="s">
        <v>77</v>
      </c>
      <c r="J274" s="4" t="s">
        <v>1081</v>
      </c>
      <c r="K274" s="4" t="s">
        <v>437</v>
      </c>
      <c r="L274" s="4" t="s">
        <v>28</v>
      </c>
      <c r="M274" s="4" t="s">
        <v>29</v>
      </c>
      <c r="N274" s="4" t="s">
        <v>30</v>
      </c>
      <c r="O274" s="4" t="s">
        <v>242</v>
      </c>
      <c r="P274" s="4" t="s">
        <v>78</v>
      </c>
      <c r="Q274" s="4"/>
    </row>
    <row r="275" spans="1:17" ht="25.5">
      <c r="A275" s="3">
        <v>271</v>
      </c>
      <c r="B275" s="3" t="s">
        <v>1100</v>
      </c>
      <c r="C275" s="4" t="s">
        <v>1050</v>
      </c>
      <c r="D275" s="4" t="s">
        <v>1076</v>
      </c>
      <c r="E275" s="4" t="s">
        <v>1101</v>
      </c>
      <c r="F275" s="4" t="s">
        <v>1102</v>
      </c>
      <c r="G275" s="4" t="s">
        <v>1103</v>
      </c>
      <c r="H275" s="4" t="s">
        <v>1104</v>
      </c>
      <c r="I275" s="4" t="s">
        <v>52</v>
      </c>
      <c r="J275" s="4" t="s">
        <v>1081</v>
      </c>
      <c r="K275" s="4" t="s">
        <v>437</v>
      </c>
      <c r="L275" s="4" t="s">
        <v>28</v>
      </c>
      <c r="M275" s="4" t="s">
        <v>29</v>
      </c>
      <c r="N275" s="4" t="s">
        <v>209</v>
      </c>
      <c r="O275" s="4" t="s">
        <v>1105</v>
      </c>
      <c r="P275" s="4"/>
      <c r="Q275" s="4"/>
    </row>
    <row r="276" spans="1:17" ht="25.5">
      <c r="A276" s="3">
        <v>272</v>
      </c>
      <c r="B276" s="3" t="s">
        <v>1106</v>
      </c>
      <c r="C276" s="4" t="s">
        <v>1050</v>
      </c>
      <c r="D276" s="4" t="s">
        <v>1076</v>
      </c>
      <c r="E276" s="4" t="s">
        <v>1107</v>
      </c>
      <c r="F276" s="4" t="s">
        <v>1108</v>
      </c>
      <c r="G276" s="4" t="s">
        <v>1109</v>
      </c>
      <c r="H276" s="4" t="s">
        <v>1104</v>
      </c>
      <c r="I276" s="4" t="s">
        <v>52</v>
      </c>
      <c r="J276" s="4" t="s">
        <v>1081</v>
      </c>
      <c r="K276" s="4" t="s">
        <v>437</v>
      </c>
      <c r="L276" s="4" t="s">
        <v>28</v>
      </c>
      <c r="M276" s="4" t="s">
        <v>29</v>
      </c>
      <c r="N276" s="4" t="s">
        <v>209</v>
      </c>
      <c r="O276" s="4" t="s">
        <v>1105</v>
      </c>
      <c r="P276" s="4"/>
      <c r="Q276" s="4"/>
    </row>
    <row r="277" spans="1:17" ht="38.25">
      <c r="A277" s="3">
        <v>273</v>
      </c>
      <c r="B277" s="3" t="s">
        <v>1110</v>
      </c>
      <c r="C277" s="4" t="s">
        <v>1050</v>
      </c>
      <c r="D277" s="4" t="s">
        <v>1111</v>
      </c>
      <c r="E277" s="4" t="s">
        <v>1112</v>
      </c>
      <c r="F277" s="4" t="s">
        <v>1113</v>
      </c>
      <c r="G277" s="4" t="s">
        <v>1114</v>
      </c>
      <c r="H277" s="4" t="s">
        <v>284</v>
      </c>
      <c r="I277" s="4" t="s">
        <v>52</v>
      </c>
      <c r="J277" s="4" t="s">
        <v>1115</v>
      </c>
      <c r="K277" s="4" t="s">
        <v>437</v>
      </c>
      <c r="L277" s="4" t="s">
        <v>71</v>
      </c>
      <c r="M277" s="4" t="s">
        <v>408</v>
      </c>
      <c r="N277" s="4" t="s">
        <v>30</v>
      </c>
      <c r="O277" s="4" t="s">
        <v>1055</v>
      </c>
      <c r="P277" s="4" t="s">
        <v>54</v>
      </c>
      <c r="Q277" s="4"/>
    </row>
    <row r="278" spans="1:17" ht="25.5">
      <c r="A278" s="3">
        <v>274</v>
      </c>
      <c r="B278" s="3" t="s">
        <v>1116</v>
      </c>
      <c r="C278" s="4" t="s">
        <v>1050</v>
      </c>
      <c r="D278" s="4" t="s">
        <v>1111</v>
      </c>
      <c r="E278" s="4" t="s">
        <v>1112</v>
      </c>
      <c r="F278" s="4" t="s">
        <v>1117</v>
      </c>
      <c r="G278" s="4" t="s">
        <v>1118</v>
      </c>
      <c r="H278" s="4" t="s">
        <v>284</v>
      </c>
      <c r="I278" s="4" t="s">
        <v>52</v>
      </c>
      <c r="J278" s="4" t="s">
        <v>1115</v>
      </c>
      <c r="K278" s="4" t="s">
        <v>437</v>
      </c>
      <c r="L278" s="4" t="s">
        <v>71</v>
      </c>
      <c r="M278" s="4" t="s">
        <v>408</v>
      </c>
      <c r="N278" s="4" t="s">
        <v>30</v>
      </c>
      <c r="O278" s="4" t="s">
        <v>1055</v>
      </c>
      <c r="P278" s="4" t="s">
        <v>58</v>
      </c>
      <c r="Q278" s="4"/>
    </row>
    <row r="279" spans="1:17" ht="38.25">
      <c r="A279" s="3">
        <v>275</v>
      </c>
      <c r="B279" s="3" t="s">
        <v>1119</v>
      </c>
      <c r="C279" s="4" t="s">
        <v>1050</v>
      </c>
      <c r="D279" s="4" t="s">
        <v>1111</v>
      </c>
      <c r="E279" s="4" t="s">
        <v>1112</v>
      </c>
      <c r="F279" s="4" t="s">
        <v>1120</v>
      </c>
      <c r="G279" s="4" t="s">
        <v>1121</v>
      </c>
      <c r="H279" s="4" t="s">
        <v>284</v>
      </c>
      <c r="I279" s="4" t="s">
        <v>52</v>
      </c>
      <c r="J279" s="4" t="s">
        <v>1115</v>
      </c>
      <c r="K279" s="4" t="s">
        <v>437</v>
      </c>
      <c r="L279" s="4" t="s">
        <v>71</v>
      </c>
      <c r="M279" s="4" t="s">
        <v>408</v>
      </c>
      <c r="N279" s="4" t="s">
        <v>30</v>
      </c>
      <c r="O279" s="4" t="s">
        <v>1055</v>
      </c>
      <c r="P279" s="4" t="s">
        <v>62</v>
      </c>
      <c r="Q279" s="4"/>
    </row>
    <row r="280" spans="1:17" ht="38.25">
      <c r="A280" s="3">
        <v>276</v>
      </c>
      <c r="B280" s="3" t="s">
        <v>1122</v>
      </c>
      <c r="C280" s="4" t="s">
        <v>1050</v>
      </c>
      <c r="D280" s="4" t="s">
        <v>1111</v>
      </c>
      <c r="E280" s="4" t="s">
        <v>1112</v>
      </c>
      <c r="F280" s="4" t="s">
        <v>1123</v>
      </c>
      <c r="G280" s="4" t="s">
        <v>1124</v>
      </c>
      <c r="H280" s="4" t="s">
        <v>284</v>
      </c>
      <c r="I280" s="4" t="s">
        <v>52</v>
      </c>
      <c r="J280" s="4" t="s">
        <v>1115</v>
      </c>
      <c r="K280" s="4" t="s">
        <v>437</v>
      </c>
      <c r="L280" s="4" t="s">
        <v>71</v>
      </c>
      <c r="M280" s="4" t="s">
        <v>408</v>
      </c>
      <c r="N280" s="4" t="s">
        <v>30</v>
      </c>
      <c r="O280" s="4" t="s">
        <v>1055</v>
      </c>
      <c r="P280" s="4" t="s">
        <v>66</v>
      </c>
      <c r="Q280" s="4"/>
    </row>
    <row r="281" spans="1:17" ht="25.5">
      <c r="A281" s="3">
        <v>277</v>
      </c>
      <c r="B281" s="3" t="s">
        <v>1125</v>
      </c>
      <c r="C281" s="4" t="s">
        <v>1050</v>
      </c>
      <c r="D281" s="4" t="s">
        <v>1111</v>
      </c>
      <c r="E281" s="4" t="s">
        <v>1112</v>
      </c>
      <c r="F281" s="4" t="s">
        <v>1126</v>
      </c>
      <c r="G281" s="4" t="s">
        <v>1127</v>
      </c>
      <c r="H281" s="4" t="s">
        <v>70</v>
      </c>
      <c r="I281" s="4" t="s">
        <v>52</v>
      </c>
      <c r="J281" s="4" t="s">
        <v>1115</v>
      </c>
      <c r="K281" s="4" t="s">
        <v>437</v>
      </c>
      <c r="L281" s="4" t="s">
        <v>71</v>
      </c>
      <c r="M281" s="4" t="s">
        <v>408</v>
      </c>
      <c r="N281" s="4" t="s">
        <v>30</v>
      </c>
      <c r="O281" s="4" t="s">
        <v>1055</v>
      </c>
      <c r="P281" s="4" t="s">
        <v>72</v>
      </c>
      <c r="Q281" s="4"/>
    </row>
    <row r="282" spans="1:17" ht="25.5">
      <c r="A282" s="3">
        <v>278</v>
      </c>
      <c r="B282" s="3" t="s">
        <v>1128</v>
      </c>
      <c r="C282" s="4" t="s">
        <v>1050</v>
      </c>
      <c r="D282" s="4" t="s">
        <v>1111</v>
      </c>
      <c r="E282" s="4" t="s">
        <v>1112</v>
      </c>
      <c r="F282" s="4" t="s">
        <v>1129</v>
      </c>
      <c r="G282" s="4" t="s">
        <v>1130</v>
      </c>
      <c r="H282" s="4" t="s">
        <v>76</v>
      </c>
      <c r="I282" s="4" t="s">
        <v>77</v>
      </c>
      <c r="J282" s="4" t="s">
        <v>1115</v>
      </c>
      <c r="K282" s="4" t="s">
        <v>437</v>
      </c>
      <c r="L282" s="4" t="s">
        <v>28</v>
      </c>
      <c r="M282" s="4" t="s">
        <v>408</v>
      </c>
      <c r="N282" s="4" t="s">
        <v>30</v>
      </c>
      <c r="O282" s="4" t="s">
        <v>1055</v>
      </c>
      <c r="P282" s="4" t="s">
        <v>78</v>
      </c>
      <c r="Q282" s="4"/>
    </row>
    <row r="283" spans="1:17" ht="25.5">
      <c r="A283" s="3">
        <v>279</v>
      </c>
      <c r="B283" s="3" t="s">
        <v>1131</v>
      </c>
      <c r="C283" s="4" t="s">
        <v>1050</v>
      </c>
      <c r="D283" s="4" t="s">
        <v>1132</v>
      </c>
      <c r="E283" s="4" t="s">
        <v>1133</v>
      </c>
      <c r="F283" s="4" t="s">
        <v>1134</v>
      </c>
      <c r="G283" s="4" t="s">
        <v>1135</v>
      </c>
      <c r="H283" s="4" t="s">
        <v>284</v>
      </c>
      <c r="I283" s="4" t="s">
        <v>52</v>
      </c>
      <c r="J283" s="4" t="s">
        <v>1054</v>
      </c>
      <c r="K283" s="4" t="s">
        <v>437</v>
      </c>
      <c r="L283" s="4" t="s">
        <v>407</v>
      </c>
      <c r="M283" s="4" t="s">
        <v>408</v>
      </c>
      <c r="N283" s="4" t="s">
        <v>30</v>
      </c>
      <c r="O283" s="4" t="s">
        <v>41</v>
      </c>
      <c r="P283" s="4"/>
      <c r="Q283" s="4"/>
    </row>
    <row r="284" spans="1:17" ht="25.5">
      <c r="A284" s="3">
        <v>280</v>
      </c>
      <c r="B284" s="3" t="s">
        <v>1136</v>
      </c>
      <c r="C284" s="4" t="s">
        <v>1137</v>
      </c>
      <c r="D284" s="4" t="s">
        <v>1138</v>
      </c>
      <c r="E284" s="4" t="s">
        <v>1139</v>
      </c>
      <c r="F284" s="4" t="s">
        <v>1140</v>
      </c>
      <c r="G284" s="4" t="s">
        <v>1141</v>
      </c>
      <c r="H284" s="4" t="s">
        <v>545</v>
      </c>
      <c r="I284" s="4" t="s">
        <v>656</v>
      </c>
      <c r="J284" s="4" t="s">
        <v>1142</v>
      </c>
      <c r="K284" s="4" t="s">
        <v>1143</v>
      </c>
      <c r="L284" s="4" t="s">
        <v>28</v>
      </c>
      <c r="M284" s="4" t="s">
        <v>125</v>
      </c>
      <c r="N284" s="4" t="s">
        <v>30</v>
      </c>
      <c r="O284" s="4" t="s">
        <v>31</v>
      </c>
      <c r="P284" s="4"/>
      <c r="Q284" s="4"/>
    </row>
    <row r="285" spans="1:17" ht="25.5">
      <c r="A285" s="3">
        <v>281</v>
      </c>
      <c r="B285" s="3" t="s">
        <v>1144</v>
      </c>
      <c r="C285" s="4" t="s">
        <v>1137</v>
      </c>
      <c r="D285" s="4" t="s">
        <v>1138</v>
      </c>
      <c r="E285" s="4" t="s">
        <v>1145</v>
      </c>
      <c r="F285" s="4" t="s">
        <v>1146</v>
      </c>
      <c r="G285" s="4" t="s">
        <v>1147</v>
      </c>
      <c r="H285" s="4" t="s">
        <v>545</v>
      </c>
      <c r="I285" s="4" t="s">
        <v>656</v>
      </c>
      <c r="J285" s="4" t="s">
        <v>1142</v>
      </c>
      <c r="K285" s="4" t="s">
        <v>1143</v>
      </c>
      <c r="L285" s="4" t="s">
        <v>71</v>
      </c>
      <c r="M285" s="4" t="s">
        <v>125</v>
      </c>
      <c r="N285" s="4" t="s">
        <v>30</v>
      </c>
      <c r="O285" s="4" t="s">
        <v>41</v>
      </c>
      <c r="P285" s="4"/>
      <c r="Q285" s="4"/>
    </row>
    <row r="286" spans="1:17" ht="25.5">
      <c r="A286" s="3">
        <v>282</v>
      </c>
      <c r="B286" s="3" t="s">
        <v>1148</v>
      </c>
      <c r="C286" s="4" t="s">
        <v>1137</v>
      </c>
      <c r="D286" s="4" t="s">
        <v>1138</v>
      </c>
      <c r="E286" s="4" t="s">
        <v>1145</v>
      </c>
      <c r="F286" s="4" t="s">
        <v>1149</v>
      </c>
      <c r="G286" s="4" t="s">
        <v>1150</v>
      </c>
      <c r="H286" s="4" t="s">
        <v>545</v>
      </c>
      <c r="I286" s="4" t="s">
        <v>656</v>
      </c>
      <c r="J286" s="4" t="s">
        <v>1142</v>
      </c>
      <c r="K286" s="4" t="s">
        <v>1143</v>
      </c>
      <c r="L286" s="4" t="s">
        <v>71</v>
      </c>
      <c r="M286" s="4" t="s">
        <v>125</v>
      </c>
      <c r="N286" s="4" t="s">
        <v>30</v>
      </c>
      <c r="O286" s="4" t="s">
        <v>41</v>
      </c>
      <c r="P286" s="4"/>
      <c r="Q286" s="4"/>
    </row>
    <row r="287" spans="1:17">
      <c r="A287" s="3">
        <v>283</v>
      </c>
      <c r="B287" s="3" t="s">
        <v>1151</v>
      </c>
      <c r="C287" s="4" t="s">
        <v>1137</v>
      </c>
      <c r="D287" s="4" t="s">
        <v>1138</v>
      </c>
      <c r="E287" s="4" t="s">
        <v>1145</v>
      </c>
      <c r="F287" s="4" t="s">
        <v>1152</v>
      </c>
      <c r="G287" s="4" t="s">
        <v>1153</v>
      </c>
      <c r="H287" s="4" t="s">
        <v>545</v>
      </c>
      <c r="I287" s="4" t="s">
        <v>656</v>
      </c>
      <c r="J287" s="4" t="s">
        <v>1142</v>
      </c>
      <c r="K287" s="4" t="s">
        <v>1143</v>
      </c>
      <c r="L287" s="4" t="s">
        <v>71</v>
      </c>
      <c r="M287" s="4" t="s">
        <v>125</v>
      </c>
      <c r="N287" s="4" t="s">
        <v>30</v>
      </c>
      <c r="O287" s="4" t="s">
        <v>41</v>
      </c>
      <c r="P287" s="4"/>
      <c r="Q287" s="4"/>
    </row>
    <row r="288" spans="1:17" ht="25.5">
      <c r="A288" s="3">
        <v>284</v>
      </c>
      <c r="B288" s="3" t="s">
        <v>1154</v>
      </c>
      <c r="C288" s="4" t="s">
        <v>1137</v>
      </c>
      <c r="D288" s="4" t="s">
        <v>1138</v>
      </c>
      <c r="E288" s="4" t="s">
        <v>1145</v>
      </c>
      <c r="F288" s="4" t="s">
        <v>1155</v>
      </c>
      <c r="G288" s="4" t="s">
        <v>1156</v>
      </c>
      <c r="H288" s="4" t="s">
        <v>545</v>
      </c>
      <c r="I288" s="4" t="s">
        <v>656</v>
      </c>
      <c r="J288" s="4" t="s">
        <v>1142</v>
      </c>
      <c r="K288" s="4" t="s">
        <v>1143</v>
      </c>
      <c r="L288" s="4" t="s">
        <v>71</v>
      </c>
      <c r="M288" s="4" t="s">
        <v>125</v>
      </c>
      <c r="N288" s="4" t="s">
        <v>30</v>
      </c>
      <c r="O288" s="4" t="s">
        <v>41</v>
      </c>
      <c r="P288" s="4"/>
      <c r="Q288" s="4"/>
    </row>
    <row r="289" spans="1:17" ht="25.5">
      <c r="A289" s="3">
        <v>285</v>
      </c>
      <c r="B289" s="3" t="s">
        <v>1157</v>
      </c>
      <c r="C289" s="4" t="s">
        <v>1137</v>
      </c>
      <c r="D289" s="4" t="s">
        <v>1138</v>
      </c>
      <c r="E289" s="4" t="s">
        <v>1145</v>
      </c>
      <c r="F289" s="4" t="s">
        <v>1158</v>
      </c>
      <c r="G289" s="4" t="s">
        <v>1159</v>
      </c>
      <c r="H289" s="4" t="s">
        <v>545</v>
      </c>
      <c r="I289" s="4" t="s">
        <v>656</v>
      </c>
      <c r="J289" s="4" t="s">
        <v>1142</v>
      </c>
      <c r="K289" s="4" t="s">
        <v>1143</v>
      </c>
      <c r="L289" s="4" t="s">
        <v>71</v>
      </c>
      <c r="M289" s="4" t="s">
        <v>125</v>
      </c>
      <c r="N289" s="4" t="s">
        <v>30</v>
      </c>
      <c r="O289" s="4" t="s">
        <v>41</v>
      </c>
      <c r="P289" s="4"/>
      <c r="Q289" s="4"/>
    </row>
    <row r="290" spans="1:17" ht="25.5">
      <c r="A290" s="3">
        <v>286</v>
      </c>
      <c r="B290" s="3" t="s">
        <v>1160</v>
      </c>
      <c r="C290" s="4" t="s">
        <v>1137</v>
      </c>
      <c r="D290" s="4" t="s">
        <v>1138</v>
      </c>
      <c r="E290" s="4" t="s">
        <v>1145</v>
      </c>
      <c r="F290" s="4" t="s">
        <v>1161</v>
      </c>
      <c r="G290" s="4" t="s">
        <v>1162</v>
      </c>
      <c r="H290" s="4" t="s">
        <v>545</v>
      </c>
      <c r="I290" s="4" t="s">
        <v>656</v>
      </c>
      <c r="J290" s="4" t="s">
        <v>1142</v>
      </c>
      <c r="K290" s="4" t="s">
        <v>1163</v>
      </c>
      <c r="L290" s="4" t="s">
        <v>71</v>
      </c>
      <c r="M290" s="4" t="s">
        <v>125</v>
      </c>
      <c r="N290" s="4" t="s">
        <v>30</v>
      </c>
      <c r="O290" s="4" t="s">
        <v>41</v>
      </c>
      <c r="P290" s="4"/>
      <c r="Q290" s="4"/>
    </row>
    <row r="291" spans="1:17" ht="25.5">
      <c r="A291" s="3">
        <v>287</v>
      </c>
      <c r="B291" s="3" t="s">
        <v>1164</v>
      </c>
      <c r="C291" s="4" t="s">
        <v>1137</v>
      </c>
      <c r="D291" s="4" t="s">
        <v>1165</v>
      </c>
      <c r="E291" s="4" t="s">
        <v>1166</v>
      </c>
      <c r="F291" s="4" t="s">
        <v>1167</v>
      </c>
      <c r="G291" s="4" t="s">
        <v>1168</v>
      </c>
      <c r="H291" s="4" t="s">
        <v>277</v>
      </c>
      <c r="I291" s="4" t="s">
        <v>656</v>
      </c>
      <c r="J291" s="4" t="s">
        <v>1142</v>
      </c>
      <c r="K291" s="4" t="s">
        <v>1143</v>
      </c>
      <c r="L291" s="4" t="s">
        <v>28</v>
      </c>
      <c r="M291" s="4" t="s">
        <v>125</v>
      </c>
      <c r="N291" s="4" t="s">
        <v>30</v>
      </c>
      <c r="O291" s="4" t="s">
        <v>41</v>
      </c>
      <c r="P291" s="4"/>
      <c r="Q291" s="4"/>
    </row>
    <row r="292" spans="1:17" ht="25.5">
      <c r="A292" s="3">
        <v>288</v>
      </c>
      <c r="B292" s="3" t="s">
        <v>1169</v>
      </c>
      <c r="C292" s="4" t="s">
        <v>1137</v>
      </c>
      <c r="D292" s="4" t="s">
        <v>1165</v>
      </c>
      <c r="E292" s="4" t="s">
        <v>1170</v>
      </c>
      <c r="F292" s="4" t="s">
        <v>1171</v>
      </c>
      <c r="G292" s="4" t="s">
        <v>1172</v>
      </c>
      <c r="H292" s="4" t="s">
        <v>1173</v>
      </c>
      <c r="I292" s="4" t="s">
        <v>656</v>
      </c>
      <c r="J292" s="4" t="s">
        <v>1142</v>
      </c>
      <c r="K292" s="4" t="s">
        <v>1143</v>
      </c>
      <c r="L292" s="4" t="s">
        <v>28</v>
      </c>
      <c r="M292" s="4" t="s">
        <v>125</v>
      </c>
      <c r="N292" s="4" t="s">
        <v>30</v>
      </c>
      <c r="O292" s="4" t="s">
        <v>41</v>
      </c>
      <c r="P292" s="4"/>
      <c r="Q292" s="4"/>
    </row>
    <row r="293" spans="1:17" ht="25.5">
      <c r="A293" s="3">
        <v>289</v>
      </c>
      <c r="B293" s="3" t="s">
        <v>1174</v>
      </c>
      <c r="C293" s="4" t="s">
        <v>1137</v>
      </c>
      <c r="D293" s="4" t="s">
        <v>1165</v>
      </c>
      <c r="E293" s="4" t="s">
        <v>1175</v>
      </c>
      <c r="F293" s="4" t="s">
        <v>1176</v>
      </c>
      <c r="G293" s="4" t="s">
        <v>1177</v>
      </c>
      <c r="H293" s="4" t="s">
        <v>1173</v>
      </c>
      <c r="I293" s="4" t="s">
        <v>656</v>
      </c>
      <c r="J293" s="4" t="s">
        <v>1142</v>
      </c>
      <c r="K293" s="4" t="s">
        <v>1143</v>
      </c>
      <c r="L293" s="4" t="s">
        <v>71</v>
      </c>
      <c r="M293" s="4" t="s">
        <v>125</v>
      </c>
      <c r="N293" s="4" t="s">
        <v>30</v>
      </c>
      <c r="O293" s="4" t="s">
        <v>41</v>
      </c>
      <c r="P293" s="4"/>
      <c r="Q293" s="4"/>
    </row>
    <row r="294" spans="1:17" ht="25.5">
      <c r="A294" s="3">
        <v>290</v>
      </c>
      <c r="B294" s="3" t="s">
        <v>1178</v>
      </c>
      <c r="C294" s="4" t="s">
        <v>1179</v>
      </c>
      <c r="D294" s="4" t="s">
        <v>1180</v>
      </c>
      <c r="E294" s="4" t="s">
        <v>1180</v>
      </c>
      <c r="F294" s="4" t="s">
        <v>1181</v>
      </c>
      <c r="G294" s="4" t="s">
        <v>1182</v>
      </c>
      <c r="H294" s="4" t="s">
        <v>1183</v>
      </c>
      <c r="I294" s="4" t="s">
        <v>52</v>
      </c>
      <c r="J294" s="4" t="s">
        <v>1184</v>
      </c>
      <c r="K294" s="4" t="s">
        <v>500</v>
      </c>
      <c r="L294" s="4" t="s">
        <v>28</v>
      </c>
      <c r="M294" s="4" t="s">
        <v>29</v>
      </c>
      <c r="N294" s="4" t="s">
        <v>30</v>
      </c>
      <c r="O294" s="4" t="s">
        <v>242</v>
      </c>
      <c r="P294" s="4" t="s">
        <v>54</v>
      </c>
      <c r="Q294" s="4"/>
    </row>
    <row r="295" spans="1:17" ht="25.5">
      <c r="A295" s="3">
        <v>291</v>
      </c>
      <c r="B295" s="3" t="s">
        <v>1185</v>
      </c>
      <c r="C295" s="4" t="s">
        <v>1179</v>
      </c>
      <c r="D295" s="4" t="s">
        <v>1180</v>
      </c>
      <c r="E295" s="4" t="s">
        <v>1180</v>
      </c>
      <c r="F295" s="4" t="s">
        <v>1186</v>
      </c>
      <c r="G295" s="4" t="s">
        <v>1187</v>
      </c>
      <c r="H295" s="4" t="s">
        <v>1183</v>
      </c>
      <c r="I295" s="4" t="s">
        <v>52</v>
      </c>
      <c r="J295" s="4" t="s">
        <v>1184</v>
      </c>
      <c r="K295" s="4" t="s">
        <v>500</v>
      </c>
      <c r="L295" s="4" t="s">
        <v>28</v>
      </c>
      <c r="M295" s="4" t="s">
        <v>29</v>
      </c>
      <c r="N295" s="4" t="s">
        <v>30</v>
      </c>
      <c r="O295" s="4" t="s">
        <v>242</v>
      </c>
      <c r="P295" s="4" t="s">
        <v>58</v>
      </c>
      <c r="Q295" s="4"/>
    </row>
    <row r="296" spans="1:17" ht="25.5">
      <c r="A296" s="3">
        <v>292</v>
      </c>
      <c r="B296" s="3" t="s">
        <v>1188</v>
      </c>
      <c r="C296" s="4" t="s">
        <v>1179</v>
      </c>
      <c r="D296" s="4" t="s">
        <v>1180</v>
      </c>
      <c r="E296" s="4" t="s">
        <v>1180</v>
      </c>
      <c r="F296" s="4" t="s">
        <v>1189</v>
      </c>
      <c r="G296" s="4" t="s">
        <v>1190</v>
      </c>
      <c r="H296" s="4" t="s">
        <v>1183</v>
      </c>
      <c r="I296" s="4" t="s">
        <v>52</v>
      </c>
      <c r="J296" s="4" t="s">
        <v>1184</v>
      </c>
      <c r="K296" s="4" t="s">
        <v>500</v>
      </c>
      <c r="L296" s="4" t="s">
        <v>28</v>
      </c>
      <c r="M296" s="4" t="s">
        <v>29</v>
      </c>
      <c r="N296" s="4" t="s">
        <v>30</v>
      </c>
      <c r="O296" s="4" t="s">
        <v>242</v>
      </c>
      <c r="P296" s="4" t="s">
        <v>62</v>
      </c>
      <c r="Q296" s="4"/>
    </row>
    <row r="297" spans="1:17" ht="25.5">
      <c r="A297" s="3">
        <v>293</v>
      </c>
      <c r="B297" s="3" t="s">
        <v>1191</v>
      </c>
      <c r="C297" s="4" t="s">
        <v>1179</v>
      </c>
      <c r="D297" s="4" t="s">
        <v>1180</v>
      </c>
      <c r="E297" s="4" t="s">
        <v>1180</v>
      </c>
      <c r="F297" s="4" t="s">
        <v>1192</v>
      </c>
      <c r="G297" s="4" t="s">
        <v>1193</v>
      </c>
      <c r="H297" s="4" t="s">
        <v>1183</v>
      </c>
      <c r="I297" s="4" t="s">
        <v>52</v>
      </c>
      <c r="J297" s="4" t="s">
        <v>1184</v>
      </c>
      <c r="K297" s="4" t="s">
        <v>500</v>
      </c>
      <c r="L297" s="4" t="s">
        <v>28</v>
      </c>
      <c r="M297" s="4" t="s">
        <v>29</v>
      </c>
      <c r="N297" s="4" t="s">
        <v>30</v>
      </c>
      <c r="O297" s="4" t="s">
        <v>242</v>
      </c>
      <c r="P297" s="4" t="s">
        <v>66</v>
      </c>
      <c r="Q297" s="4"/>
    </row>
    <row r="298" spans="1:17" ht="25.5">
      <c r="A298" s="3">
        <v>294</v>
      </c>
      <c r="B298" s="3" t="s">
        <v>1194</v>
      </c>
      <c r="C298" s="4" t="s">
        <v>1179</v>
      </c>
      <c r="D298" s="4" t="s">
        <v>1180</v>
      </c>
      <c r="E298" s="4" t="s">
        <v>1180</v>
      </c>
      <c r="F298" s="4" t="s">
        <v>1195</v>
      </c>
      <c r="G298" s="4" t="s">
        <v>1196</v>
      </c>
      <c r="H298" s="4" t="s">
        <v>70</v>
      </c>
      <c r="I298" s="4" t="s">
        <v>52</v>
      </c>
      <c r="J298" s="4" t="s">
        <v>1184</v>
      </c>
      <c r="K298" s="4" t="s">
        <v>500</v>
      </c>
      <c r="L298" s="4" t="s">
        <v>71</v>
      </c>
      <c r="M298" s="4" t="s">
        <v>29</v>
      </c>
      <c r="N298" s="4" t="s">
        <v>30</v>
      </c>
      <c r="O298" s="4" t="s">
        <v>242</v>
      </c>
      <c r="P298" s="4" t="s">
        <v>72</v>
      </c>
      <c r="Q298" s="4"/>
    </row>
    <row r="299" spans="1:17" ht="25.5">
      <c r="A299" s="3">
        <v>295</v>
      </c>
      <c r="B299" s="3" t="s">
        <v>1197</v>
      </c>
      <c r="C299" s="4" t="s">
        <v>1179</v>
      </c>
      <c r="D299" s="4" t="s">
        <v>1180</v>
      </c>
      <c r="E299" s="4" t="s">
        <v>1180</v>
      </c>
      <c r="F299" s="4" t="s">
        <v>1198</v>
      </c>
      <c r="G299" s="4" t="s">
        <v>1199</v>
      </c>
      <c r="H299" s="4" t="s">
        <v>258</v>
      </c>
      <c r="I299" s="4" t="s">
        <v>200</v>
      </c>
      <c r="J299" s="4" t="s">
        <v>1184</v>
      </c>
      <c r="K299" s="4" t="s">
        <v>500</v>
      </c>
      <c r="L299" s="4" t="s">
        <v>28</v>
      </c>
      <c r="M299" s="4" t="s">
        <v>29</v>
      </c>
      <c r="N299" s="4" t="s">
        <v>30</v>
      </c>
      <c r="O299" s="4" t="s">
        <v>242</v>
      </c>
      <c r="P299" s="4" t="s">
        <v>259</v>
      </c>
      <c r="Q299" s="4"/>
    </row>
    <row r="300" spans="1:17" ht="25.5">
      <c r="A300" s="3">
        <v>296</v>
      </c>
      <c r="B300" s="3" t="s">
        <v>1200</v>
      </c>
      <c r="C300" s="4" t="s">
        <v>1179</v>
      </c>
      <c r="D300" s="4" t="s">
        <v>1180</v>
      </c>
      <c r="E300" s="4" t="s">
        <v>1180</v>
      </c>
      <c r="F300" s="4" t="s">
        <v>1201</v>
      </c>
      <c r="G300" s="4" t="s">
        <v>1202</v>
      </c>
      <c r="H300" s="4" t="s">
        <v>76</v>
      </c>
      <c r="I300" s="4" t="s">
        <v>77</v>
      </c>
      <c r="J300" s="4" t="s">
        <v>1184</v>
      </c>
      <c r="K300" s="4" t="s">
        <v>500</v>
      </c>
      <c r="L300" s="4" t="s">
        <v>28</v>
      </c>
      <c r="M300" s="4" t="s">
        <v>29</v>
      </c>
      <c r="N300" s="4" t="s">
        <v>30</v>
      </c>
      <c r="O300" s="4" t="s">
        <v>242</v>
      </c>
      <c r="P300" s="4" t="s">
        <v>78</v>
      </c>
      <c r="Q300" s="4"/>
    </row>
    <row r="301" spans="1:17" ht="38.25">
      <c r="A301" s="3">
        <v>297</v>
      </c>
      <c r="B301" s="3" t="s">
        <v>1203</v>
      </c>
      <c r="C301" s="4" t="s">
        <v>1179</v>
      </c>
      <c r="D301" s="4" t="s">
        <v>1180</v>
      </c>
      <c r="E301" s="4" t="s">
        <v>230</v>
      </c>
      <c r="F301" s="4" t="s">
        <v>1204</v>
      </c>
      <c r="G301" s="4" t="s">
        <v>1205</v>
      </c>
      <c r="H301" s="4" t="s">
        <v>1183</v>
      </c>
      <c r="I301" s="4" t="s">
        <v>52</v>
      </c>
      <c r="J301" s="4" t="s">
        <v>1184</v>
      </c>
      <c r="K301" s="4" t="s">
        <v>500</v>
      </c>
      <c r="L301" s="4" t="s">
        <v>28</v>
      </c>
      <c r="M301" s="4" t="s">
        <v>29</v>
      </c>
      <c r="N301" s="4" t="s">
        <v>209</v>
      </c>
      <c r="O301" s="4" t="s">
        <v>1206</v>
      </c>
      <c r="P301" s="4"/>
      <c r="Q301" s="4"/>
    </row>
    <row r="302" spans="1:17" ht="25.5">
      <c r="A302" s="3">
        <v>298</v>
      </c>
      <c r="B302" s="3" t="s">
        <v>1207</v>
      </c>
      <c r="C302" s="4" t="s">
        <v>1179</v>
      </c>
      <c r="D302" s="4" t="s">
        <v>1208</v>
      </c>
      <c r="E302" s="4" t="s">
        <v>1209</v>
      </c>
      <c r="F302" s="4" t="s">
        <v>1210</v>
      </c>
      <c r="G302" s="4" t="s">
        <v>1211</v>
      </c>
      <c r="H302" s="4" t="s">
        <v>1212</v>
      </c>
      <c r="I302" s="4" t="s">
        <v>52</v>
      </c>
      <c r="J302" s="4" t="s">
        <v>1184</v>
      </c>
      <c r="K302" s="4" t="s">
        <v>500</v>
      </c>
      <c r="L302" s="4" t="s">
        <v>28</v>
      </c>
      <c r="M302" s="4" t="s">
        <v>29</v>
      </c>
      <c r="N302" s="4" t="s">
        <v>209</v>
      </c>
      <c r="O302" s="4" t="s">
        <v>1213</v>
      </c>
      <c r="P302" s="4"/>
      <c r="Q302" s="4"/>
    </row>
    <row r="303" spans="1:17" ht="25.5">
      <c r="A303" s="3">
        <v>299</v>
      </c>
      <c r="B303" s="3" t="s">
        <v>1214</v>
      </c>
      <c r="C303" s="4" t="s">
        <v>1179</v>
      </c>
      <c r="D303" s="4" t="s">
        <v>1208</v>
      </c>
      <c r="E303" s="4" t="s">
        <v>1215</v>
      </c>
      <c r="F303" s="4" t="s">
        <v>1216</v>
      </c>
      <c r="G303" s="4" t="s">
        <v>1217</v>
      </c>
      <c r="H303" s="4" t="s">
        <v>1218</v>
      </c>
      <c r="I303" s="4" t="s">
        <v>52</v>
      </c>
      <c r="J303" s="4" t="s">
        <v>1184</v>
      </c>
      <c r="K303" s="4" t="s">
        <v>500</v>
      </c>
      <c r="L303" s="4" t="s">
        <v>407</v>
      </c>
      <c r="M303" s="4" t="s">
        <v>408</v>
      </c>
      <c r="N303" s="4" t="s">
        <v>30</v>
      </c>
      <c r="O303" s="4" t="s">
        <v>41</v>
      </c>
      <c r="P303" s="4"/>
      <c r="Q303" s="4"/>
    </row>
    <row r="304" spans="1:17" ht="25.5">
      <c r="A304" s="3">
        <v>300</v>
      </c>
      <c r="B304" s="3" t="s">
        <v>1219</v>
      </c>
      <c r="C304" s="4" t="s">
        <v>1179</v>
      </c>
      <c r="D304" s="4" t="s">
        <v>1220</v>
      </c>
      <c r="E304" s="4" t="s">
        <v>1221</v>
      </c>
      <c r="F304" s="4" t="s">
        <v>1222</v>
      </c>
      <c r="G304" s="4" t="s">
        <v>1223</v>
      </c>
      <c r="H304" s="4" t="s">
        <v>219</v>
      </c>
      <c r="I304" s="4" t="s">
        <v>26</v>
      </c>
      <c r="J304" s="4"/>
      <c r="K304" s="4" t="s">
        <v>500</v>
      </c>
      <c r="L304" s="4" t="s">
        <v>71</v>
      </c>
      <c r="M304" s="4" t="s">
        <v>125</v>
      </c>
      <c r="N304" s="4" t="s">
        <v>30</v>
      </c>
      <c r="O304" s="4" t="s">
        <v>41</v>
      </c>
      <c r="P304" s="4"/>
      <c r="Q304" s="4"/>
    </row>
    <row r="305" spans="1:17" ht="25.5">
      <c r="A305" s="3">
        <v>301</v>
      </c>
      <c r="B305" s="3" t="s">
        <v>1224</v>
      </c>
      <c r="C305" s="4" t="s">
        <v>1179</v>
      </c>
      <c r="D305" s="4" t="s">
        <v>1220</v>
      </c>
      <c r="E305" s="4" t="s">
        <v>1221</v>
      </c>
      <c r="F305" s="4" t="s">
        <v>1225</v>
      </c>
      <c r="G305" s="4" t="s">
        <v>1226</v>
      </c>
      <c r="H305" s="4" t="s">
        <v>219</v>
      </c>
      <c r="I305" s="4" t="s">
        <v>26</v>
      </c>
      <c r="J305" s="4"/>
      <c r="K305" s="4" t="s">
        <v>500</v>
      </c>
      <c r="L305" s="4" t="s">
        <v>407</v>
      </c>
      <c r="M305" s="4" t="s">
        <v>408</v>
      </c>
      <c r="N305" s="4" t="s">
        <v>30</v>
      </c>
      <c r="O305" s="4" t="s">
        <v>41</v>
      </c>
      <c r="P305" s="4"/>
      <c r="Q305" s="4"/>
    </row>
    <row r="306" spans="1:17" ht="25.5">
      <c r="A306" s="3">
        <v>302</v>
      </c>
      <c r="B306" s="3" t="s">
        <v>1227</v>
      </c>
      <c r="C306" s="4" t="s">
        <v>1228</v>
      </c>
      <c r="D306" s="4" t="s">
        <v>1229</v>
      </c>
      <c r="E306" s="4" t="s">
        <v>1230</v>
      </c>
      <c r="F306" s="4" t="s">
        <v>1231</v>
      </c>
      <c r="G306" s="4" t="s">
        <v>1232</v>
      </c>
      <c r="H306" s="4" t="s">
        <v>1233</v>
      </c>
      <c r="I306" s="4" t="s">
        <v>52</v>
      </c>
      <c r="J306" s="4"/>
      <c r="K306" s="4" t="s">
        <v>1234</v>
      </c>
      <c r="L306" s="4" t="s">
        <v>28</v>
      </c>
      <c r="M306" s="4" t="s">
        <v>29</v>
      </c>
      <c r="N306" s="4" t="s">
        <v>30</v>
      </c>
      <c r="O306" s="4" t="s">
        <v>31</v>
      </c>
      <c r="P306" s="4" t="s">
        <v>54</v>
      </c>
      <c r="Q306" s="4"/>
    </row>
    <row r="307" spans="1:17" ht="25.5">
      <c r="A307" s="3">
        <v>303</v>
      </c>
      <c r="B307" s="3" t="s">
        <v>1235</v>
      </c>
      <c r="C307" s="4" t="s">
        <v>1228</v>
      </c>
      <c r="D307" s="4" t="s">
        <v>1229</v>
      </c>
      <c r="E307" s="4" t="s">
        <v>1230</v>
      </c>
      <c r="F307" s="4" t="s">
        <v>1236</v>
      </c>
      <c r="G307" s="4" t="s">
        <v>1237</v>
      </c>
      <c r="H307" s="4" t="s">
        <v>1233</v>
      </c>
      <c r="I307" s="4" t="s">
        <v>52</v>
      </c>
      <c r="J307" s="4"/>
      <c r="K307" s="4" t="s">
        <v>1234</v>
      </c>
      <c r="L307" s="4" t="s">
        <v>28</v>
      </c>
      <c r="M307" s="4" t="s">
        <v>29</v>
      </c>
      <c r="N307" s="4" t="s">
        <v>30</v>
      </c>
      <c r="O307" s="4" t="s">
        <v>31</v>
      </c>
      <c r="P307" s="4" t="s">
        <v>58</v>
      </c>
      <c r="Q307" s="4"/>
    </row>
    <row r="308" spans="1:17" ht="25.5">
      <c r="A308" s="3">
        <v>304</v>
      </c>
      <c r="B308" s="3" t="s">
        <v>1238</v>
      </c>
      <c r="C308" s="4" t="s">
        <v>1228</v>
      </c>
      <c r="D308" s="4" t="s">
        <v>1229</v>
      </c>
      <c r="E308" s="4" t="s">
        <v>1230</v>
      </c>
      <c r="F308" s="4" t="s">
        <v>1239</v>
      </c>
      <c r="G308" s="4" t="s">
        <v>1240</v>
      </c>
      <c r="H308" s="4" t="s">
        <v>1233</v>
      </c>
      <c r="I308" s="4" t="s">
        <v>52</v>
      </c>
      <c r="J308" s="4"/>
      <c r="K308" s="4" t="s">
        <v>1234</v>
      </c>
      <c r="L308" s="4" t="s">
        <v>71</v>
      </c>
      <c r="M308" s="4" t="s">
        <v>29</v>
      </c>
      <c r="N308" s="4" t="s">
        <v>30</v>
      </c>
      <c r="O308" s="4" t="s">
        <v>31</v>
      </c>
      <c r="P308" s="4" t="s">
        <v>462</v>
      </c>
      <c r="Q308" s="4"/>
    </row>
    <row r="309" spans="1:17" ht="25.5">
      <c r="A309" s="3">
        <v>305</v>
      </c>
      <c r="B309" s="3" t="s">
        <v>1241</v>
      </c>
      <c r="C309" s="4" t="s">
        <v>1228</v>
      </c>
      <c r="D309" s="4" t="s">
        <v>1229</v>
      </c>
      <c r="E309" s="4" t="s">
        <v>1230</v>
      </c>
      <c r="F309" s="4" t="s">
        <v>1242</v>
      </c>
      <c r="G309" s="4" t="s">
        <v>1243</v>
      </c>
      <c r="H309" s="4" t="s">
        <v>1233</v>
      </c>
      <c r="I309" s="4" t="s">
        <v>52</v>
      </c>
      <c r="J309" s="4"/>
      <c r="K309" s="4" t="s">
        <v>1234</v>
      </c>
      <c r="L309" s="4" t="s">
        <v>28</v>
      </c>
      <c r="M309" s="4" t="s">
        <v>29</v>
      </c>
      <c r="N309" s="4" t="s">
        <v>30</v>
      </c>
      <c r="O309" s="4" t="s">
        <v>31</v>
      </c>
      <c r="P309" s="4" t="s">
        <v>62</v>
      </c>
      <c r="Q309" s="4"/>
    </row>
    <row r="310" spans="1:17" ht="25.5">
      <c r="A310" s="3">
        <v>306</v>
      </c>
      <c r="B310" s="3" t="s">
        <v>1244</v>
      </c>
      <c r="C310" s="4" t="s">
        <v>1228</v>
      </c>
      <c r="D310" s="4" t="s">
        <v>1229</v>
      </c>
      <c r="E310" s="4" t="s">
        <v>1230</v>
      </c>
      <c r="F310" s="4" t="s">
        <v>1245</v>
      </c>
      <c r="G310" s="4" t="s">
        <v>1246</v>
      </c>
      <c r="H310" s="4" t="s">
        <v>1233</v>
      </c>
      <c r="I310" s="4" t="s">
        <v>52</v>
      </c>
      <c r="J310" s="4"/>
      <c r="K310" s="4" t="s">
        <v>1234</v>
      </c>
      <c r="L310" s="4" t="s">
        <v>28</v>
      </c>
      <c r="M310" s="4" t="s">
        <v>29</v>
      </c>
      <c r="N310" s="4" t="s">
        <v>30</v>
      </c>
      <c r="O310" s="4" t="s">
        <v>31</v>
      </c>
      <c r="P310" s="4" t="s">
        <v>66</v>
      </c>
      <c r="Q310" s="4"/>
    </row>
    <row r="311" spans="1:17" ht="25.5">
      <c r="A311" s="3">
        <v>307</v>
      </c>
      <c r="B311" s="3" t="s">
        <v>1247</v>
      </c>
      <c r="C311" s="4" t="s">
        <v>1228</v>
      </c>
      <c r="D311" s="4" t="s">
        <v>1229</v>
      </c>
      <c r="E311" s="4" t="s">
        <v>1230</v>
      </c>
      <c r="F311" s="4" t="s">
        <v>1248</v>
      </c>
      <c r="G311" s="4" t="s">
        <v>1249</v>
      </c>
      <c r="H311" s="4" t="s">
        <v>70</v>
      </c>
      <c r="I311" s="4" t="s">
        <v>52</v>
      </c>
      <c r="J311" s="4"/>
      <c r="K311" s="4" t="s">
        <v>1234</v>
      </c>
      <c r="L311" s="4" t="s">
        <v>71</v>
      </c>
      <c r="M311" s="4" t="s">
        <v>29</v>
      </c>
      <c r="N311" s="4" t="s">
        <v>30</v>
      </c>
      <c r="O311" s="4" t="s">
        <v>31</v>
      </c>
      <c r="P311" s="4" t="s">
        <v>72</v>
      </c>
      <c r="Q311" s="4"/>
    </row>
    <row r="312" spans="1:17" ht="25.5">
      <c r="A312" s="3">
        <v>308</v>
      </c>
      <c r="B312" s="3" t="s">
        <v>1250</v>
      </c>
      <c r="C312" s="4" t="s">
        <v>1228</v>
      </c>
      <c r="D312" s="4" t="s">
        <v>1229</v>
      </c>
      <c r="E312" s="4" t="s">
        <v>1230</v>
      </c>
      <c r="F312" s="4" t="s">
        <v>1251</v>
      </c>
      <c r="G312" s="4" t="s">
        <v>1252</v>
      </c>
      <c r="H312" s="4" t="s">
        <v>76</v>
      </c>
      <c r="I312" s="4" t="s">
        <v>77</v>
      </c>
      <c r="J312" s="4"/>
      <c r="K312" s="4" t="s">
        <v>1234</v>
      </c>
      <c r="L312" s="4" t="s">
        <v>28</v>
      </c>
      <c r="M312" s="4" t="s">
        <v>29</v>
      </c>
      <c r="N312" s="4" t="s">
        <v>30</v>
      </c>
      <c r="O312" s="4" t="s">
        <v>31</v>
      </c>
      <c r="P312" s="4" t="s">
        <v>78</v>
      </c>
      <c r="Q312" s="4"/>
    </row>
    <row r="313" spans="1:17" ht="25.5">
      <c r="A313" s="3">
        <v>309</v>
      </c>
      <c r="B313" s="3" t="s">
        <v>1253</v>
      </c>
      <c r="C313" s="4" t="s">
        <v>1228</v>
      </c>
      <c r="D313" s="4" t="s">
        <v>1229</v>
      </c>
      <c r="E313" s="4" t="s">
        <v>184</v>
      </c>
      <c r="F313" s="4" t="s">
        <v>1254</v>
      </c>
      <c r="G313" s="4" t="s">
        <v>1255</v>
      </c>
      <c r="H313" s="4" t="s">
        <v>1256</v>
      </c>
      <c r="I313" s="4" t="s">
        <v>83</v>
      </c>
      <c r="J313" s="4"/>
      <c r="K313" s="4" t="s">
        <v>1234</v>
      </c>
      <c r="L313" s="4" t="s">
        <v>28</v>
      </c>
      <c r="M313" s="4" t="s">
        <v>29</v>
      </c>
      <c r="N313" s="4" t="s">
        <v>30</v>
      </c>
      <c r="O313" s="4" t="s">
        <v>41</v>
      </c>
      <c r="P313" s="4"/>
      <c r="Q313" s="4"/>
    </row>
    <row r="314" spans="1:17" ht="25.5">
      <c r="A314" s="3">
        <v>310</v>
      </c>
      <c r="B314" s="3" t="s">
        <v>1257</v>
      </c>
      <c r="C314" s="4" t="s">
        <v>1228</v>
      </c>
      <c r="D314" s="4" t="s">
        <v>1229</v>
      </c>
      <c r="E314" s="4" t="s">
        <v>1258</v>
      </c>
      <c r="F314" s="4" t="s">
        <v>1259</v>
      </c>
      <c r="G314" s="4" t="s">
        <v>1260</v>
      </c>
      <c r="H314" s="4" t="s">
        <v>1256</v>
      </c>
      <c r="I314" s="4" t="s">
        <v>83</v>
      </c>
      <c r="J314" s="4"/>
      <c r="K314" s="4" t="s">
        <v>1261</v>
      </c>
      <c r="L314" s="4" t="s">
        <v>28</v>
      </c>
      <c r="M314" s="4" t="s">
        <v>29</v>
      </c>
      <c r="N314" s="4" t="s">
        <v>30</v>
      </c>
      <c r="O314" s="4" t="s">
        <v>41</v>
      </c>
      <c r="P314" s="4"/>
      <c r="Q314" s="4"/>
    </row>
    <row r="315" spans="1:17" ht="38.25">
      <c r="A315" s="3">
        <v>311</v>
      </c>
      <c r="B315" s="3" t="s">
        <v>1262</v>
      </c>
      <c r="C315" s="4" t="s">
        <v>1228</v>
      </c>
      <c r="D315" s="4" t="s">
        <v>1229</v>
      </c>
      <c r="E315" s="4" t="s">
        <v>1263</v>
      </c>
      <c r="F315" s="4" t="s">
        <v>1264</v>
      </c>
      <c r="G315" s="4" t="s">
        <v>1265</v>
      </c>
      <c r="H315" s="4" t="s">
        <v>1233</v>
      </c>
      <c r="I315" s="4" t="s">
        <v>83</v>
      </c>
      <c r="J315" s="4" t="s">
        <v>1184</v>
      </c>
      <c r="K315" s="4" t="s">
        <v>1261</v>
      </c>
      <c r="L315" s="4" t="s">
        <v>28</v>
      </c>
      <c r="M315" s="4" t="s">
        <v>29</v>
      </c>
      <c r="N315" s="4" t="s">
        <v>30</v>
      </c>
      <c r="O315" s="4" t="s">
        <v>1266</v>
      </c>
      <c r="P315" s="4"/>
      <c r="Q315" s="4"/>
    </row>
    <row r="316" spans="1:17" ht="38.25">
      <c r="A316" s="3">
        <v>312</v>
      </c>
      <c r="B316" s="3" t="s">
        <v>1267</v>
      </c>
      <c r="C316" s="4" t="s">
        <v>1228</v>
      </c>
      <c r="D316" s="4" t="s">
        <v>1229</v>
      </c>
      <c r="E316" s="4" t="s">
        <v>1263</v>
      </c>
      <c r="F316" s="4" t="s">
        <v>1268</v>
      </c>
      <c r="G316" s="4" t="s">
        <v>1269</v>
      </c>
      <c r="H316" s="4" t="s">
        <v>1270</v>
      </c>
      <c r="I316" s="4" t="s">
        <v>200</v>
      </c>
      <c r="J316" s="4" t="s">
        <v>1184</v>
      </c>
      <c r="K316" s="4" t="s">
        <v>1261</v>
      </c>
      <c r="L316" s="4" t="s">
        <v>28</v>
      </c>
      <c r="M316" s="4" t="s">
        <v>29</v>
      </c>
      <c r="N316" s="4" t="s">
        <v>209</v>
      </c>
      <c r="O316" s="4" t="s">
        <v>1271</v>
      </c>
      <c r="P316" s="4"/>
      <c r="Q316" s="4"/>
    </row>
    <row r="317" spans="1:17" ht="38.25">
      <c r="A317" s="3">
        <v>313</v>
      </c>
      <c r="B317" s="3" t="s">
        <v>1272</v>
      </c>
      <c r="C317" s="4" t="s">
        <v>1228</v>
      </c>
      <c r="D317" s="4" t="s">
        <v>1229</v>
      </c>
      <c r="E317" s="4" t="s">
        <v>1273</v>
      </c>
      <c r="F317" s="4" t="s">
        <v>1274</v>
      </c>
      <c r="G317" s="4" t="s">
        <v>1275</v>
      </c>
      <c r="H317" s="4" t="s">
        <v>1276</v>
      </c>
      <c r="I317" s="4" t="s">
        <v>26</v>
      </c>
      <c r="J317" s="4"/>
      <c r="K317" s="4" t="s">
        <v>1261</v>
      </c>
      <c r="L317" s="4" t="s">
        <v>28</v>
      </c>
      <c r="M317" s="4" t="s">
        <v>29</v>
      </c>
      <c r="N317" s="4" t="s">
        <v>30</v>
      </c>
      <c r="O317" s="4" t="s">
        <v>1266</v>
      </c>
      <c r="P317" s="4"/>
      <c r="Q317" s="4"/>
    </row>
    <row r="318" spans="1:17" ht="25.5">
      <c r="A318" s="3">
        <v>314</v>
      </c>
      <c r="B318" s="3" t="s">
        <v>1277</v>
      </c>
      <c r="C318" s="4" t="s">
        <v>1228</v>
      </c>
      <c r="D318" s="4" t="s">
        <v>1229</v>
      </c>
      <c r="E318" s="4" t="s">
        <v>1273</v>
      </c>
      <c r="F318" s="4" t="s">
        <v>1278</v>
      </c>
      <c r="G318" s="4" t="s">
        <v>1279</v>
      </c>
      <c r="H318" s="4" t="s">
        <v>1280</v>
      </c>
      <c r="I318" s="4" t="s">
        <v>200</v>
      </c>
      <c r="J318" s="4"/>
      <c r="K318" s="4" t="s">
        <v>1261</v>
      </c>
      <c r="L318" s="4" t="s">
        <v>28</v>
      </c>
      <c r="M318" s="4" t="s">
        <v>29</v>
      </c>
      <c r="N318" s="4" t="s">
        <v>209</v>
      </c>
      <c r="O318" s="4" t="s">
        <v>1281</v>
      </c>
      <c r="P318" s="4"/>
      <c r="Q318" s="4"/>
    </row>
    <row r="319" spans="1:17" ht="25.5">
      <c r="A319" s="3">
        <v>315</v>
      </c>
      <c r="B319" s="3" t="s">
        <v>1282</v>
      </c>
      <c r="C319" s="4" t="s">
        <v>1228</v>
      </c>
      <c r="D319" s="4" t="s">
        <v>1283</v>
      </c>
      <c r="E319" s="4" t="s">
        <v>1284</v>
      </c>
      <c r="F319" s="4" t="s">
        <v>1285</v>
      </c>
      <c r="G319" s="4" t="s">
        <v>1286</v>
      </c>
      <c r="H319" s="4" t="s">
        <v>1287</v>
      </c>
      <c r="I319" s="4" t="s">
        <v>83</v>
      </c>
      <c r="J319" s="4"/>
      <c r="K319" s="4" t="s">
        <v>1234</v>
      </c>
      <c r="L319" s="4" t="s">
        <v>28</v>
      </c>
      <c r="M319" s="4" t="s">
        <v>29</v>
      </c>
      <c r="N319" s="4" t="s">
        <v>30</v>
      </c>
      <c r="O319" s="4" t="s">
        <v>31</v>
      </c>
      <c r="P319" s="4"/>
      <c r="Q319" s="4"/>
    </row>
    <row r="320" spans="1:17" ht="25.5">
      <c r="A320" s="3">
        <v>316</v>
      </c>
      <c r="B320" s="3" t="s">
        <v>1288</v>
      </c>
      <c r="C320" s="4" t="s">
        <v>1228</v>
      </c>
      <c r="D320" s="4" t="s">
        <v>1283</v>
      </c>
      <c r="E320" s="4" t="s">
        <v>1284</v>
      </c>
      <c r="F320" s="4" t="s">
        <v>1289</v>
      </c>
      <c r="G320" s="4" t="s">
        <v>1290</v>
      </c>
      <c r="H320" s="4" t="s">
        <v>1287</v>
      </c>
      <c r="I320" s="4" t="s">
        <v>83</v>
      </c>
      <c r="J320" s="4"/>
      <c r="K320" s="4" t="s">
        <v>1234</v>
      </c>
      <c r="L320" s="4" t="s">
        <v>71</v>
      </c>
      <c r="M320" s="4" t="s">
        <v>29</v>
      </c>
      <c r="N320" s="4" t="s">
        <v>30</v>
      </c>
      <c r="O320" s="4" t="s">
        <v>41</v>
      </c>
      <c r="P320" s="4"/>
      <c r="Q320" s="4"/>
    </row>
    <row r="321" spans="1:17" ht="25.5">
      <c r="A321" s="3">
        <v>317</v>
      </c>
      <c r="B321" s="3" t="s">
        <v>1291</v>
      </c>
      <c r="C321" s="4" t="s">
        <v>1228</v>
      </c>
      <c r="D321" s="4" t="s">
        <v>1283</v>
      </c>
      <c r="E321" s="4" t="s">
        <v>1292</v>
      </c>
      <c r="F321" s="4" t="s">
        <v>1293</v>
      </c>
      <c r="G321" s="4" t="s">
        <v>1294</v>
      </c>
      <c r="H321" s="4" t="s">
        <v>1287</v>
      </c>
      <c r="I321" s="4" t="s">
        <v>83</v>
      </c>
      <c r="J321" s="4"/>
      <c r="K321" s="4" t="s">
        <v>1234</v>
      </c>
      <c r="L321" s="4" t="s">
        <v>28</v>
      </c>
      <c r="M321" s="4" t="s">
        <v>29</v>
      </c>
      <c r="N321" s="4" t="s">
        <v>30</v>
      </c>
      <c r="O321" s="4" t="s">
        <v>41</v>
      </c>
      <c r="P321" s="4"/>
      <c r="Q321" s="4"/>
    </row>
    <row r="322" spans="1:17" ht="25.5">
      <c r="A322" s="3">
        <v>318</v>
      </c>
      <c r="B322" s="3" t="s">
        <v>1295</v>
      </c>
      <c r="C322" s="4" t="s">
        <v>1228</v>
      </c>
      <c r="D322" s="4" t="s">
        <v>1283</v>
      </c>
      <c r="E322" s="4" t="s">
        <v>1296</v>
      </c>
      <c r="F322" s="4" t="s">
        <v>1297</v>
      </c>
      <c r="G322" s="4" t="s">
        <v>1298</v>
      </c>
      <c r="H322" s="4" t="s">
        <v>1256</v>
      </c>
      <c r="I322" s="4" t="s">
        <v>113</v>
      </c>
      <c r="J322" s="4"/>
      <c r="K322" s="4" t="s">
        <v>1234</v>
      </c>
      <c r="L322" s="4" t="s">
        <v>28</v>
      </c>
      <c r="M322" s="4" t="s">
        <v>29</v>
      </c>
      <c r="N322" s="4" t="s">
        <v>30</v>
      </c>
      <c r="O322" s="4" t="s">
        <v>41</v>
      </c>
      <c r="P322" s="4"/>
      <c r="Q322" s="4"/>
    </row>
    <row r="323" spans="1:17" ht="25.5">
      <c r="A323" s="3">
        <v>319</v>
      </c>
      <c r="B323" s="3" t="s">
        <v>1299</v>
      </c>
      <c r="C323" s="4" t="s">
        <v>1228</v>
      </c>
      <c r="D323" s="4" t="s">
        <v>1283</v>
      </c>
      <c r="E323" s="4" t="s">
        <v>1300</v>
      </c>
      <c r="F323" s="4" t="s">
        <v>1301</v>
      </c>
      <c r="G323" s="4" t="s">
        <v>1302</v>
      </c>
      <c r="H323" s="4" t="s">
        <v>1303</v>
      </c>
      <c r="I323" s="4" t="s">
        <v>83</v>
      </c>
      <c r="J323" s="4"/>
      <c r="K323" s="4" t="s">
        <v>1234</v>
      </c>
      <c r="L323" s="4" t="s">
        <v>71</v>
      </c>
      <c r="M323" s="4" t="s">
        <v>125</v>
      </c>
      <c r="N323" s="4" t="s">
        <v>30</v>
      </c>
      <c r="O323" s="4" t="s">
        <v>41</v>
      </c>
      <c r="P323" s="4"/>
      <c r="Q323" s="4"/>
    </row>
    <row r="324" spans="1:17" ht="25.5">
      <c r="A324" s="3">
        <v>320</v>
      </c>
      <c r="B324" s="3" t="s">
        <v>1304</v>
      </c>
      <c r="C324" s="4" t="s">
        <v>1228</v>
      </c>
      <c r="D324" s="4" t="s">
        <v>1305</v>
      </c>
      <c r="E324" s="4" t="s">
        <v>1306</v>
      </c>
      <c r="F324" s="4" t="s">
        <v>1307</v>
      </c>
      <c r="G324" s="4" t="s">
        <v>1308</v>
      </c>
      <c r="H324" s="4" t="s">
        <v>1309</v>
      </c>
      <c r="I324" s="4" t="s">
        <v>52</v>
      </c>
      <c r="J324" s="4"/>
      <c r="K324" s="4" t="s">
        <v>1234</v>
      </c>
      <c r="L324" s="4" t="s">
        <v>28</v>
      </c>
      <c r="M324" s="4" t="s">
        <v>29</v>
      </c>
      <c r="N324" s="4" t="s">
        <v>30</v>
      </c>
      <c r="O324" s="4" t="s">
        <v>31</v>
      </c>
      <c r="P324" s="4" t="s">
        <v>54</v>
      </c>
      <c r="Q324" s="4"/>
    </row>
    <row r="325" spans="1:17" ht="25.5">
      <c r="A325" s="3">
        <v>321</v>
      </c>
      <c r="B325" s="3" t="s">
        <v>1310</v>
      </c>
      <c r="C325" s="4" t="s">
        <v>1228</v>
      </c>
      <c r="D325" s="4" t="s">
        <v>1305</v>
      </c>
      <c r="E325" s="4" t="s">
        <v>1306</v>
      </c>
      <c r="F325" s="4" t="s">
        <v>1311</v>
      </c>
      <c r="G325" s="4" t="s">
        <v>1312</v>
      </c>
      <c r="H325" s="4" t="s">
        <v>1309</v>
      </c>
      <c r="I325" s="4" t="s">
        <v>52</v>
      </c>
      <c r="J325" s="4"/>
      <c r="K325" s="4" t="s">
        <v>1234</v>
      </c>
      <c r="L325" s="4" t="s">
        <v>28</v>
      </c>
      <c r="M325" s="4" t="s">
        <v>29</v>
      </c>
      <c r="N325" s="4" t="s">
        <v>30</v>
      </c>
      <c r="O325" s="4" t="s">
        <v>31</v>
      </c>
      <c r="P325" s="4" t="s">
        <v>58</v>
      </c>
      <c r="Q325" s="4"/>
    </row>
    <row r="326" spans="1:17" ht="25.5">
      <c r="A326" s="3">
        <v>322</v>
      </c>
      <c r="B326" s="3" t="s">
        <v>1313</v>
      </c>
      <c r="C326" s="4" t="s">
        <v>1228</v>
      </c>
      <c r="D326" s="4" t="s">
        <v>1305</v>
      </c>
      <c r="E326" s="4" t="s">
        <v>1306</v>
      </c>
      <c r="F326" s="4" t="s">
        <v>1314</v>
      </c>
      <c r="G326" s="4" t="s">
        <v>1315</v>
      </c>
      <c r="H326" s="4" t="s">
        <v>1309</v>
      </c>
      <c r="I326" s="4" t="s">
        <v>52</v>
      </c>
      <c r="J326" s="4"/>
      <c r="K326" s="4" t="s">
        <v>1234</v>
      </c>
      <c r="L326" s="4" t="s">
        <v>71</v>
      </c>
      <c r="M326" s="4" t="s">
        <v>29</v>
      </c>
      <c r="N326" s="4" t="s">
        <v>30</v>
      </c>
      <c r="O326" s="4" t="s">
        <v>31</v>
      </c>
      <c r="P326" s="4" t="s">
        <v>462</v>
      </c>
      <c r="Q326" s="4"/>
    </row>
    <row r="327" spans="1:17" ht="25.5">
      <c r="A327" s="3">
        <v>323</v>
      </c>
      <c r="B327" s="3" t="s">
        <v>1316</v>
      </c>
      <c r="C327" s="4" t="s">
        <v>1228</v>
      </c>
      <c r="D327" s="4" t="s">
        <v>1305</v>
      </c>
      <c r="E327" s="4" t="s">
        <v>1306</v>
      </c>
      <c r="F327" s="4" t="s">
        <v>1317</v>
      </c>
      <c r="G327" s="4" t="s">
        <v>1318</v>
      </c>
      <c r="H327" s="4" t="s">
        <v>1309</v>
      </c>
      <c r="I327" s="4" t="s">
        <v>52</v>
      </c>
      <c r="J327" s="4"/>
      <c r="K327" s="4" t="s">
        <v>1234</v>
      </c>
      <c r="L327" s="4" t="s">
        <v>28</v>
      </c>
      <c r="M327" s="4" t="s">
        <v>29</v>
      </c>
      <c r="N327" s="4" t="s">
        <v>30</v>
      </c>
      <c r="O327" s="4" t="s">
        <v>31</v>
      </c>
      <c r="P327" s="4" t="s">
        <v>62</v>
      </c>
      <c r="Q327" s="4"/>
    </row>
    <row r="328" spans="1:17" ht="25.5">
      <c r="A328" s="3">
        <v>324</v>
      </c>
      <c r="B328" s="3" t="s">
        <v>1319</v>
      </c>
      <c r="C328" s="4" t="s">
        <v>1228</v>
      </c>
      <c r="D328" s="4" t="s">
        <v>1305</v>
      </c>
      <c r="E328" s="4" t="s">
        <v>1306</v>
      </c>
      <c r="F328" s="4" t="s">
        <v>1320</v>
      </c>
      <c r="G328" s="4" t="s">
        <v>1321</v>
      </c>
      <c r="H328" s="4" t="s">
        <v>1309</v>
      </c>
      <c r="I328" s="4" t="s">
        <v>52</v>
      </c>
      <c r="J328" s="4"/>
      <c r="K328" s="4" t="s">
        <v>1234</v>
      </c>
      <c r="L328" s="4" t="s">
        <v>28</v>
      </c>
      <c r="M328" s="4" t="s">
        <v>29</v>
      </c>
      <c r="N328" s="4" t="s">
        <v>30</v>
      </c>
      <c r="O328" s="4" t="s">
        <v>31</v>
      </c>
      <c r="P328" s="4" t="s">
        <v>66</v>
      </c>
      <c r="Q328" s="4"/>
    </row>
    <row r="329" spans="1:17" ht="25.5">
      <c r="A329" s="3">
        <v>325</v>
      </c>
      <c r="B329" s="3" t="s">
        <v>1322</v>
      </c>
      <c r="C329" s="4" t="s">
        <v>1228</v>
      </c>
      <c r="D329" s="4" t="s">
        <v>1305</v>
      </c>
      <c r="E329" s="4" t="s">
        <v>1306</v>
      </c>
      <c r="F329" s="4" t="s">
        <v>1323</v>
      </c>
      <c r="G329" s="4" t="s">
        <v>1324</v>
      </c>
      <c r="H329" s="4" t="s">
        <v>70</v>
      </c>
      <c r="I329" s="4" t="s">
        <v>52</v>
      </c>
      <c r="J329" s="4"/>
      <c r="K329" s="4" t="s">
        <v>1234</v>
      </c>
      <c r="L329" s="4" t="s">
        <v>71</v>
      </c>
      <c r="M329" s="4" t="s">
        <v>29</v>
      </c>
      <c r="N329" s="4" t="s">
        <v>30</v>
      </c>
      <c r="O329" s="4" t="s">
        <v>31</v>
      </c>
      <c r="P329" s="4" t="s">
        <v>72</v>
      </c>
      <c r="Q329" s="4"/>
    </row>
    <row r="330" spans="1:17" ht="25.5">
      <c r="A330" s="3">
        <v>326</v>
      </c>
      <c r="B330" s="3" t="s">
        <v>1325</v>
      </c>
      <c r="C330" s="4" t="s">
        <v>1228</v>
      </c>
      <c r="D330" s="4" t="s">
        <v>1305</v>
      </c>
      <c r="E330" s="4" t="s">
        <v>1306</v>
      </c>
      <c r="F330" s="4" t="s">
        <v>1326</v>
      </c>
      <c r="G330" s="4" t="s">
        <v>1327</v>
      </c>
      <c r="H330" s="4" t="s">
        <v>76</v>
      </c>
      <c r="I330" s="4" t="s">
        <v>77</v>
      </c>
      <c r="J330" s="4"/>
      <c r="K330" s="4" t="s">
        <v>1234</v>
      </c>
      <c r="L330" s="4" t="s">
        <v>28</v>
      </c>
      <c r="M330" s="4" t="s">
        <v>29</v>
      </c>
      <c r="N330" s="4" t="s">
        <v>30</v>
      </c>
      <c r="O330" s="4" t="s">
        <v>31</v>
      </c>
      <c r="P330" s="4" t="s">
        <v>78</v>
      </c>
      <c r="Q330" s="4"/>
    </row>
    <row r="331" spans="1:17" ht="25.5">
      <c r="A331" s="3">
        <v>327</v>
      </c>
      <c r="B331" s="3" t="s">
        <v>1328</v>
      </c>
      <c r="C331" s="4" t="s">
        <v>1228</v>
      </c>
      <c r="D331" s="4" t="s">
        <v>1305</v>
      </c>
      <c r="E331" s="4" t="s">
        <v>1284</v>
      </c>
      <c r="F331" s="4" t="s">
        <v>1329</v>
      </c>
      <c r="G331" s="4" t="s">
        <v>1330</v>
      </c>
      <c r="H331" s="4" t="s">
        <v>1309</v>
      </c>
      <c r="I331" s="4" t="s">
        <v>83</v>
      </c>
      <c r="J331" s="4"/>
      <c r="K331" s="4" t="s">
        <v>1234</v>
      </c>
      <c r="L331" s="4" t="s">
        <v>28</v>
      </c>
      <c r="M331" s="4" t="s">
        <v>29</v>
      </c>
      <c r="N331" s="4" t="s">
        <v>30</v>
      </c>
      <c r="O331" s="4" t="s">
        <v>41</v>
      </c>
      <c r="P331" s="4"/>
      <c r="Q331" s="4"/>
    </row>
    <row r="332" spans="1:17" ht="25.5">
      <c r="A332" s="3">
        <v>328</v>
      </c>
      <c r="B332" s="3" t="s">
        <v>1331</v>
      </c>
      <c r="C332" s="4" t="s">
        <v>1228</v>
      </c>
      <c r="D332" s="4" t="s">
        <v>1305</v>
      </c>
      <c r="E332" s="4" t="s">
        <v>1332</v>
      </c>
      <c r="F332" s="4" t="s">
        <v>1333</v>
      </c>
      <c r="G332" s="4" t="s">
        <v>1334</v>
      </c>
      <c r="H332" s="4" t="s">
        <v>1335</v>
      </c>
      <c r="I332" s="4" t="s">
        <v>83</v>
      </c>
      <c r="J332" s="4"/>
      <c r="K332" s="4" t="s">
        <v>1234</v>
      </c>
      <c r="L332" s="4" t="s">
        <v>28</v>
      </c>
      <c r="M332" s="4" t="s">
        <v>29</v>
      </c>
      <c r="N332" s="4" t="s">
        <v>30</v>
      </c>
      <c r="O332" s="4" t="s">
        <v>41</v>
      </c>
      <c r="P332" s="4"/>
      <c r="Q332" s="4"/>
    </row>
    <row r="333" spans="1:17" ht="25.5">
      <c r="A333" s="3">
        <v>329</v>
      </c>
      <c r="B333" s="3" t="s">
        <v>1336</v>
      </c>
      <c r="C333" s="4" t="s">
        <v>1228</v>
      </c>
      <c r="D333" s="4" t="s">
        <v>1305</v>
      </c>
      <c r="E333" s="4" t="s">
        <v>1337</v>
      </c>
      <c r="F333" s="4" t="s">
        <v>1338</v>
      </c>
      <c r="G333" s="4" t="s">
        <v>1339</v>
      </c>
      <c r="H333" s="4" t="s">
        <v>1309</v>
      </c>
      <c r="I333" s="4" t="s">
        <v>83</v>
      </c>
      <c r="J333" s="4"/>
      <c r="K333" s="4" t="s">
        <v>1234</v>
      </c>
      <c r="L333" s="4" t="s">
        <v>71</v>
      </c>
      <c r="M333" s="4" t="s">
        <v>125</v>
      </c>
      <c r="N333" s="4" t="s">
        <v>30</v>
      </c>
      <c r="O333" s="4" t="s">
        <v>41</v>
      </c>
      <c r="P333" s="4"/>
      <c r="Q333" s="4"/>
    </row>
    <row r="334" spans="1:17" ht="25.5">
      <c r="A334" s="3">
        <v>330</v>
      </c>
      <c r="B334" s="3" t="s">
        <v>1340</v>
      </c>
      <c r="C334" s="4" t="s">
        <v>1228</v>
      </c>
      <c r="D334" s="4" t="s">
        <v>1341</v>
      </c>
      <c r="E334" s="4" t="s">
        <v>1341</v>
      </c>
      <c r="F334" s="4" t="s">
        <v>1342</v>
      </c>
      <c r="G334" s="4" t="s">
        <v>1343</v>
      </c>
      <c r="H334" s="4" t="s">
        <v>1309</v>
      </c>
      <c r="I334" s="4" t="s">
        <v>52</v>
      </c>
      <c r="J334" s="4"/>
      <c r="K334" s="4" t="s">
        <v>345</v>
      </c>
      <c r="L334" s="4" t="s">
        <v>28</v>
      </c>
      <c r="M334" s="4" t="s">
        <v>29</v>
      </c>
      <c r="N334" s="4" t="s">
        <v>30</v>
      </c>
      <c r="O334" s="4" t="s">
        <v>31</v>
      </c>
      <c r="P334" s="4" t="s">
        <v>54</v>
      </c>
      <c r="Q334" s="4"/>
    </row>
    <row r="335" spans="1:17" ht="25.5">
      <c r="A335" s="3">
        <v>331</v>
      </c>
      <c r="B335" s="3" t="s">
        <v>1344</v>
      </c>
      <c r="C335" s="4" t="s">
        <v>1228</v>
      </c>
      <c r="D335" s="4" t="s">
        <v>1341</v>
      </c>
      <c r="E335" s="4" t="s">
        <v>1341</v>
      </c>
      <c r="F335" s="4" t="s">
        <v>1345</v>
      </c>
      <c r="G335" s="4" t="s">
        <v>1346</v>
      </c>
      <c r="H335" s="4" t="s">
        <v>1309</v>
      </c>
      <c r="I335" s="4" t="s">
        <v>52</v>
      </c>
      <c r="J335" s="4"/>
      <c r="K335" s="4" t="s">
        <v>345</v>
      </c>
      <c r="L335" s="4" t="s">
        <v>28</v>
      </c>
      <c r="M335" s="4" t="s">
        <v>29</v>
      </c>
      <c r="N335" s="4" t="s">
        <v>30</v>
      </c>
      <c r="O335" s="4" t="s">
        <v>31</v>
      </c>
      <c r="P335" s="4" t="s">
        <v>58</v>
      </c>
      <c r="Q335" s="4"/>
    </row>
    <row r="336" spans="1:17" ht="25.5">
      <c r="A336" s="3">
        <v>332</v>
      </c>
      <c r="B336" s="3" t="s">
        <v>1347</v>
      </c>
      <c r="C336" s="4" t="s">
        <v>1228</v>
      </c>
      <c r="D336" s="4" t="s">
        <v>1341</v>
      </c>
      <c r="E336" s="4" t="s">
        <v>1341</v>
      </c>
      <c r="F336" s="4" t="s">
        <v>1348</v>
      </c>
      <c r="G336" s="4" t="s">
        <v>1349</v>
      </c>
      <c r="H336" s="4" t="s">
        <v>1309</v>
      </c>
      <c r="I336" s="4" t="s">
        <v>52</v>
      </c>
      <c r="J336" s="4"/>
      <c r="K336" s="4" t="s">
        <v>345</v>
      </c>
      <c r="L336" s="4" t="s">
        <v>71</v>
      </c>
      <c r="M336" s="4" t="s">
        <v>29</v>
      </c>
      <c r="N336" s="4" t="s">
        <v>30</v>
      </c>
      <c r="O336" s="4" t="s">
        <v>31</v>
      </c>
      <c r="P336" s="4" t="s">
        <v>462</v>
      </c>
      <c r="Q336" s="4"/>
    </row>
    <row r="337" spans="1:17" ht="25.5">
      <c r="A337" s="3">
        <v>333</v>
      </c>
      <c r="B337" s="3" t="s">
        <v>1350</v>
      </c>
      <c r="C337" s="4" t="s">
        <v>1228</v>
      </c>
      <c r="D337" s="4" t="s">
        <v>1341</v>
      </c>
      <c r="E337" s="4" t="s">
        <v>1341</v>
      </c>
      <c r="F337" s="4" t="s">
        <v>1351</v>
      </c>
      <c r="G337" s="4" t="s">
        <v>1352</v>
      </c>
      <c r="H337" s="4" t="s">
        <v>1309</v>
      </c>
      <c r="I337" s="4" t="s">
        <v>52</v>
      </c>
      <c r="J337" s="4"/>
      <c r="K337" s="4" t="s">
        <v>345</v>
      </c>
      <c r="L337" s="4" t="s">
        <v>28</v>
      </c>
      <c r="M337" s="4" t="s">
        <v>29</v>
      </c>
      <c r="N337" s="4" t="s">
        <v>30</v>
      </c>
      <c r="O337" s="4" t="s">
        <v>31</v>
      </c>
      <c r="P337" s="4" t="s">
        <v>62</v>
      </c>
      <c r="Q337" s="4"/>
    </row>
    <row r="338" spans="1:17" ht="25.5">
      <c r="A338" s="3">
        <v>334</v>
      </c>
      <c r="B338" s="3" t="s">
        <v>1353</v>
      </c>
      <c r="C338" s="4" t="s">
        <v>1228</v>
      </c>
      <c r="D338" s="4" t="s">
        <v>1341</v>
      </c>
      <c r="E338" s="4" t="s">
        <v>1341</v>
      </c>
      <c r="F338" s="4" t="s">
        <v>1354</v>
      </c>
      <c r="G338" s="4" t="s">
        <v>1355</v>
      </c>
      <c r="H338" s="4" t="s">
        <v>1309</v>
      </c>
      <c r="I338" s="4" t="s">
        <v>52</v>
      </c>
      <c r="J338" s="4"/>
      <c r="K338" s="4" t="s">
        <v>345</v>
      </c>
      <c r="L338" s="4" t="s">
        <v>28</v>
      </c>
      <c r="M338" s="4" t="s">
        <v>29</v>
      </c>
      <c r="N338" s="4" t="s">
        <v>30</v>
      </c>
      <c r="O338" s="4" t="s">
        <v>31</v>
      </c>
      <c r="P338" s="4" t="s">
        <v>66</v>
      </c>
      <c r="Q338" s="4"/>
    </row>
    <row r="339" spans="1:17" ht="25.5">
      <c r="A339" s="3">
        <v>335</v>
      </c>
      <c r="B339" s="3" t="s">
        <v>1356</v>
      </c>
      <c r="C339" s="4" t="s">
        <v>1228</v>
      </c>
      <c r="D339" s="4" t="s">
        <v>1341</v>
      </c>
      <c r="E339" s="4" t="s">
        <v>1341</v>
      </c>
      <c r="F339" s="4" t="s">
        <v>1357</v>
      </c>
      <c r="G339" s="4" t="s">
        <v>1358</v>
      </c>
      <c r="H339" s="4" t="s">
        <v>70</v>
      </c>
      <c r="I339" s="4" t="s">
        <v>52</v>
      </c>
      <c r="J339" s="4"/>
      <c r="K339" s="4" t="s">
        <v>345</v>
      </c>
      <c r="L339" s="4" t="s">
        <v>71</v>
      </c>
      <c r="M339" s="4" t="s">
        <v>29</v>
      </c>
      <c r="N339" s="4" t="s">
        <v>30</v>
      </c>
      <c r="O339" s="4" t="s">
        <v>31</v>
      </c>
      <c r="P339" s="4" t="s">
        <v>72</v>
      </c>
      <c r="Q339" s="4"/>
    </row>
    <row r="340" spans="1:17" ht="25.5">
      <c r="A340" s="3">
        <v>336</v>
      </c>
      <c r="B340" s="3" t="s">
        <v>1359</v>
      </c>
      <c r="C340" s="4" t="s">
        <v>1228</v>
      </c>
      <c r="D340" s="4" t="s">
        <v>1341</v>
      </c>
      <c r="E340" s="4" t="s">
        <v>1341</v>
      </c>
      <c r="F340" s="4" t="s">
        <v>1360</v>
      </c>
      <c r="G340" s="4" t="s">
        <v>1361</v>
      </c>
      <c r="H340" s="4" t="s">
        <v>76</v>
      </c>
      <c r="I340" s="4" t="s">
        <v>77</v>
      </c>
      <c r="J340" s="4"/>
      <c r="K340" s="4" t="s">
        <v>345</v>
      </c>
      <c r="L340" s="4" t="s">
        <v>28</v>
      </c>
      <c r="M340" s="4" t="s">
        <v>29</v>
      </c>
      <c r="N340" s="4" t="s">
        <v>30</v>
      </c>
      <c r="O340" s="4" t="s">
        <v>31</v>
      </c>
      <c r="P340" s="4" t="s">
        <v>78</v>
      </c>
      <c r="Q340" s="4"/>
    </row>
    <row r="341" spans="1:17" ht="25.5">
      <c r="A341" s="3">
        <v>337</v>
      </c>
      <c r="B341" s="3" t="s">
        <v>1362</v>
      </c>
      <c r="C341" s="4" t="s">
        <v>1228</v>
      </c>
      <c r="D341" s="4" t="s">
        <v>1341</v>
      </c>
      <c r="E341" s="4" t="s">
        <v>1363</v>
      </c>
      <c r="F341" s="4" t="s">
        <v>1364</v>
      </c>
      <c r="G341" s="4" t="s">
        <v>1365</v>
      </c>
      <c r="H341" s="4" t="s">
        <v>1309</v>
      </c>
      <c r="I341" s="4" t="s">
        <v>83</v>
      </c>
      <c r="J341" s="4"/>
      <c r="K341" s="4" t="s">
        <v>345</v>
      </c>
      <c r="L341" s="4" t="s">
        <v>28</v>
      </c>
      <c r="M341" s="4" t="s">
        <v>29</v>
      </c>
      <c r="N341" s="4" t="s">
        <v>30</v>
      </c>
      <c r="O341" s="4" t="s">
        <v>41</v>
      </c>
      <c r="P341" s="4"/>
      <c r="Q341" s="4"/>
    </row>
    <row r="342" spans="1:17" ht="25.5">
      <c r="A342" s="3">
        <v>338</v>
      </c>
      <c r="B342" s="3" t="s">
        <v>1366</v>
      </c>
      <c r="C342" s="4" t="s">
        <v>1228</v>
      </c>
      <c r="D342" s="4" t="s">
        <v>1341</v>
      </c>
      <c r="E342" s="4" t="s">
        <v>1367</v>
      </c>
      <c r="F342" s="4" t="s">
        <v>1368</v>
      </c>
      <c r="G342" s="4" t="s">
        <v>1369</v>
      </c>
      <c r="H342" s="4" t="s">
        <v>1309</v>
      </c>
      <c r="I342" s="4" t="s">
        <v>83</v>
      </c>
      <c r="J342" s="4"/>
      <c r="K342" s="4" t="s">
        <v>345</v>
      </c>
      <c r="L342" s="4" t="s">
        <v>28</v>
      </c>
      <c r="M342" s="4" t="s">
        <v>29</v>
      </c>
      <c r="N342" s="4" t="s">
        <v>30</v>
      </c>
      <c r="O342" s="4" t="s">
        <v>41</v>
      </c>
      <c r="P342" s="4"/>
      <c r="Q342" s="4"/>
    </row>
    <row r="343" spans="1:17" ht="25.5">
      <c r="A343" s="3">
        <v>339</v>
      </c>
      <c r="B343" s="3" t="s">
        <v>1370</v>
      </c>
      <c r="C343" s="4" t="s">
        <v>1228</v>
      </c>
      <c r="D343" s="4" t="s">
        <v>1341</v>
      </c>
      <c r="E343" s="4" t="s">
        <v>1332</v>
      </c>
      <c r="F343" s="4" t="s">
        <v>1371</v>
      </c>
      <c r="G343" s="4" t="s">
        <v>1372</v>
      </c>
      <c r="H343" s="4" t="s">
        <v>1335</v>
      </c>
      <c r="I343" s="4" t="s">
        <v>83</v>
      </c>
      <c r="J343" s="4"/>
      <c r="K343" s="4" t="s">
        <v>345</v>
      </c>
      <c r="L343" s="4" t="s">
        <v>28</v>
      </c>
      <c r="M343" s="4" t="s">
        <v>29</v>
      </c>
      <c r="N343" s="4" t="s">
        <v>30</v>
      </c>
      <c r="O343" s="4" t="s">
        <v>41</v>
      </c>
      <c r="P343" s="4"/>
      <c r="Q343" s="4"/>
    </row>
    <row r="344" spans="1:17" ht="25.5">
      <c r="A344" s="3">
        <v>340</v>
      </c>
      <c r="B344" s="3" t="s">
        <v>1373</v>
      </c>
      <c r="C344" s="4" t="s">
        <v>1228</v>
      </c>
      <c r="D344" s="4" t="s">
        <v>1341</v>
      </c>
      <c r="E344" s="4" t="s">
        <v>1374</v>
      </c>
      <c r="F344" s="4" t="s">
        <v>1375</v>
      </c>
      <c r="G344" s="4" t="s">
        <v>1376</v>
      </c>
      <c r="H344" s="4" t="s">
        <v>454</v>
      </c>
      <c r="I344" s="4" t="s">
        <v>83</v>
      </c>
      <c r="J344" s="4"/>
      <c r="K344" s="4" t="s">
        <v>345</v>
      </c>
      <c r="L344" s="4" t="s">
        <v>71</v>
      </c>
      <c r="M344" s="4" t="s">
        <v>29</v>
      </c>
      <c r="N344" s="4" t="s">
        <v>30</v>
      </c>
      <c r="O344" s="4" t="s">
        <v>1377</v>
      </c>
      <c r="P344" s="4"/>
      <c r="Q344" s="4"/>
    </row>
    <row r="345" spans="1:17" ht="25.5">
      <c r="A345" s="3">
        <v>341</v>
      </c>
      <c r="B345" s="3" t="s">
        <v>1378</v>
      </c>
      <c r="C345" s="4" t="s">
        <v>1228</v>
      </c>
      <c r="D345" s="4" t="s">
        <v>1379</v>
      </c>
      <c r="E345" s="4" t="s">
        <v>1380</v>
      </c>
      <c r="F345" s="4" t="s">
        <v>1381</v>
      </c>
      <c r="G345" s="4" t="s">
        <v>1382</v>
      </c>
      <c r="H345" s="4" t="s">
        <v>1309</v>
      </c>
      <c r="I345" s="4" t="s">
        <v>52</v>
      </c>
      <c r="J345" s="4"/>
      <c r="K345" s="4" t="s">
        <v>345</v>
      </c>
      <c r="L345" s="4" t="s">
        <v>28</v>
      </c>
      <c r="M345" s="4" t="s">
        <v>29</v>
      </c>
      <c r="N345" s="4" t="s">
        <v>30</v>
      </c>
      <c r="O345" s="4" t="s">
        <v>31</v>
      </c>
      <c r="P345" s="4" t="s">
        <v>54</v>
      </c>
      <c r="Q345" s="4"/>
    </row>
    <row r="346" spans="1:17" ht="25.5">
      <c r="A346" s="3">
        <v>342</v>
      </c>
      <c r="B346" s="3" t="s">
        <v>1383</v>
      </c>
      <c r="C346" s="4" t="s">
        <v>1228</v>
      </c>
      <c r="D346" s="4" t="s">
        <v>1379</v>
      </c>
      <c r="E346" s="4" t="s">
        <v>1380</v>
      </c>
      <c r="F346" s="4" t="s">
        <v>1384</v>
      </c>
      <c r="G346" s="4" t="s">
        <v>1385</v>
      </c>
      <c r="H346" s="4" t="s">
        <v>1309</v>
      </c>
      <c r="I346" s="4" t="s">
        <v>52</v>
      </c>
      <c r="J346" s="4"/>
      <c r="K346" s="4" t="s">
        <v>345</v>
      </c>
      <c r="L346" s="4" t="s">
        <v>28</v>
      </c>
      <c r="M346" s="4" t="s">
        <v>29</v>
      </c>
      <c r="N346" s="4" t="s">
        <v>30</v>
      </c>
      <c r="O346" s="4" t="s">
        <v>31</v>
      </c>
      <c r="P346" s="4" t="s">
        <v>58</v>
      </c>
      <c r="Q346" s="4"/>
    </row>
    <row r="347" spans="1:17" ht="25.5">
      <c r="A347" s="3">
        <v>343</v>
      </c>
      <c r="B347" s="3" t="s">
        <v>1386</v>
      </c>
      <c r="C347" s="4" t="s">
        <v>1228</v>
      </c>
      <c r="D347" s="4" t="s">
        <v>1379</v>
      </c>
      <c r="E347" s="4" t="s">
        <v>1380</v>
      </c>
      <c r="F347" s="4" t="s">
        <v>1387</v>
      </c>
      <c r="G347" s="4" t="s">
        <v>1388</v>
      </c>
      <c r="H347" s="4" t="s">
        <v>1309</v>
      </c>
      <c r="I347" s="4" t="s">
        <v>52</v>
      </c>
      <c r="J347" s="4"/>
      <c r="K347" s="4" t="s">
        <v>345</v>
      </c>
      <c r="L347" s="4" t="s">
        <v>28</v>
      </c>
      <c r="M347" s="4" t="s">
        <v>29</v>
      </c>
      <c r="N347" s="4" t="s">
        <v>30</v>
      </c>
      <c r="O347" s="4" t="s">
        <v>31</v>
      </c>
      <c r="P347" s="4" t="s">
        <v>62</v>
      </c>
      <c r="Q347" s="4"/>
    </row>
    <row r="348" spans="1:17" ht="25.5">
      <c r="A348" s="3">
        <v>344</v>
      </c>
      <c r="B348" s="3" t="s">
        <v>1389</v>
      </c>
      <c r="C348" s="4" t="s">
        <v>1228</v>
      </c>
      <c r="D348" s="4" t="s">
        <v>1379</v>
      </c>
      <c r="E348" s="4" t="s">
        <v>1380</v>
      </c>
      <c r="F348" s="4" t="s">
        <v>1390</v>
      </c>
      <c r="G348" s="4" t="s">
        <v>1391</v>
      </c>
      <c r="H348" s="4" t="s">
        <v>1309</v>
      </c>
      <c r="I348" s="4" t="s">
        <v>52</v>
      </c>
      <c r="J348" s="4"/>
      <c r="K348" s="4" t="s">
        <v>345</v>
      </c>
      <c r="L348" s="4" t="s">
        <v>28</v>
      </c>
      <c r="M348" s="4" t="s">
        <v>29</v>
      </c>
      <c r="N348" s="4" t="s">
        <v>30</v>
      </c>
      <c r="O348" s="4" t="s">
        <v>31</v>
      </c>
      <c r="P348" s="4" t="s">
        <v>66</v>
      </c>
      <c r="Q348" s="4"/>
    </row>
    <row r="349" spans="1:17" ht="25.5">
      <c r="A349" s="3">
        <v>345</v>
      </c>
      <c r="B349" s="3" t="s">
        <v>1392</v>
      </c>
      <c r="C349" s="4" t="s">
        <v>1228</v>
      </c>
      <c r="D349" s="4" t="s">
        <v>1379</v>
      </c>
      <c r="E349" s="4" t="s">
        <v>1380</v>
      </c>
      <c r="F349" s="4" t="s">
        <v>1393</v>
      </c>
      <c r="G349" s="4" t="s">
        <v>1394</v>
      </c>
      <c r="H349" s="4" t="s">
        <v>70</v>
      </c>
      <c r="I349" s="4" t="s">
        <v>52</v>
      </c>
      <c r="J349" s="4"/>
      <c r="K349" s="4" t="s">
        <v>345</v>
      </c>
      <c r="L349" s="4" t="s">
        <v>71</v>
      </c>
      <c r="M349" s="4" t="s">
        <v>29</v>
      </c>
      <c r="N349" s="4" t="s">
        <v>30</v>
      </c>
      <c r="O349" s="4" t="s">
        <v>31</v>
      </c>
      <c r="P349" s="4" t="s">
        <v>72</v>
      </c>
      <c r="Q349" s="4"/>
    </row>
    <row r="350" spans="1:17" ht="25.5">
      <c r="A350" s="3">
        <v>346</v>
      </c>
      <c r="B350" s="3" t="s">
        <v>1395</v>
      </c>
      <c r="C350" s="4" t="s">
        <v>1228</v>
      </c>
      <c r="D350" s="4" t="s">
        <v>1379</v>
      </c>
      <c r="E350" s="4" t="s">
        <v>1380</v>
      </c>
      <c r="F350" s="4" t="s">
        <v>1396</v>
      </c>
      <c r="G350" s="4" t="s">
        <v>1397</v>
      </c>
      <c r="H350" s="4" t="s">
        <v>76</v>
      </c>
      <c r="I350" s="4" t="s">
        <v>77</v>
      </c>
      <c r="J350" s="4"/>
      <c r="K350" s="4" t="s">
        <v>345</v>
      </c>
      <c r="L350" s="4" t="s">
        <v>28</v>
      </c>
      <c r="M350" s="4" t="s">
        <v>29</v>
      </c>
      <c r="N350" s="4" t="s">
        <v>30</v>
      </c>
      <c r="O350" s="4" t="s">
        <v>31</v>
      </c>
      <c r="P350" s="4" t="s">
        <v>78</v>
      </c>
      <c r="Q350" s="4"/>
    </row>
    <row r="351" spans="1:17" ht="38.25">
      <c r="A351" s="3">
        <v>347</v>
      </c>
      <c r="B351" s="3" t="s">
        <v>1398</v>
      </c>
      <c r="C351" s="4" t="s">
        <v>1228</v>
      </c>
      <c r="D351" s="4" t="s">
        <v>1379</v>
      </c>
      <c r="E351" s="4" t="s">
        <v>1399</v>
      </c>
      <c r="F351" s="4" t="s">
        <v>1400</v>
      </c>
      <c r="G351" s="4" t="s">
        <v>1401</v>
      </c>
      <c r="H351" s="4" t="s">
        <v>1309</v>
      </c>
      <c r="I351" s="4" t="s">
        <v>83</v>
      </c>
      <c r="J351" s="4"/>
      <c r="K351" s="4" t="s">
        <v>345</v>
      </c>
      <c r="L351" s="4" t="s">
        <v>28</v>
      </c>
      <c r="M351" s="4" t="s">
        <v>29</v>
      </c>
      <c r="N351" s="4" t="s">
        <v>30</v>
      </c>
      <c r="O351" s="4" t="s">
        <v>41</v>
      </c>
      <c r="P351" s="4"/>
      <c r="Q351" s="4"/>
    </row>
    <row r="352" spans="1:17" ht="25.5">
      <c r="A352" s="3">
        <v>348</v>
      </c>
      <c r="B352" s="3" t="s">
        <v>1402</v>
      </c>
      <c r="C352" s="4" t="s">
        <v>1228</v>
      </c>
      <c r="D352" s="4" t="s">
        <v>1379</v>
      </c>
      <c r="E352" s="4" t="s">
        <v>1403</v>
      </c>
      <c r="F352" s="4" t="s">
        <v>1404</v>
      </c>
      <c r="G352" s="4" t="s">
        <v>1405</v>
      </c>
      <c r="H352" s="4" t="s">
        <v>1309</v>
      </c>
      <c r="I352" s="4" t="s">
        <v>83</v>
      </c>
      <c r="J352" s="4"/>
      <c r="K352" s="4" t="s">
        <v>345</v>
      </c>
      <c r="L352" s="4" t="s">
        <v>28</v>
      </c>
      <c r="M352" s="4" t="s">
        <v>29</v>
      </c>
      <c r="N352" s="4" t="s">
        <v>30</v>
      </c>
      <c r="O352" s="4" t="s">
        <v>41</v>
      </c>
      <c r="P352" s="4"/>
      <c r="Q352" s="4"/>
    </row>
    <row r="353" spans="1:17" ht="25.5">
      <c r="A353" s="3">
        <v>349</v>
      </c>
      <c r="B353" s="3" t="s">
        <v>1406</v>
      </c>
      <c r="C353" s="4" t="s">
        <v>1228</v>
      </c>
      <c r="D353" s="4" t="s">
        <v>1379</v>
      </c>
      <c r="E353" s="4" t="s">
        <v>1407</v>
      </c>
      <c r="F353" s="4" t="s">
        <v>1408</v>
      </c>
      <c r="G353" s="4" t="s">
        <v>1409</v>
      </c>
      <c r="H353" s="4" t="s">
        <v>1309</v>
      </c>
      <c r="I353" s="4" t="s">
        <v>83</v>
      </c>
      <c r="J353" s="4"/>
      <c r="K353" s="4" t="s">
        <v>345</v>
      </c>
      <c r="L353" s="4" t="s">
        <v>28</v>
      </c>
      <c r="M353" s="4" t="s">
        <v>29</v>
      </c>
      <c r="N353" s="4" t="s">
        <v>30</v>
      </c>
      <c r="O353" s="4" t="s">
        <v>41</v>
      </c>
      <c r="P353" s="4"/>
      <c r="Q353" s="4"/>
    </row>
    <row r="354" spans="1:17" ht="25.5">
      <c r="A354" s="3">
        <v>350</v>
      </c>
      <c r="B354" s="3" t="s">
        <v>1410</v>
      </c>
      <c r="C354" s="4" t="s">
        <v>1228</v>
      </c>
      <c r="D354" s="4" t="s">
        <v>1379</v>
      </c>
      <c r="E354" s="4" t="s">
        <v>156</v>
      </c>
      <c r="F354" s="4" t="s">
        <v>1411</v>
      </c>
      <c r="G354" s="4" t="s">
        <v>1412</v>
      </c>
      <c r="H354" s="4" t="s">
        <v>1335</v>
      </c>
      <c r="I354" s="4" t="s">
        <v>83</v>
      </c>
      <c r="J354" s="4"/>
      <c r="K354" s="4" t="s">
        <v>345</v>
      </c>
      <c r="L354" s="4" t="s">
        <v>71</v>
      </c>
      <c r="M354" s="4" t="s">
        <v>125</v>
      </c>
      <c r="N354" s="4" t="s">
        <v>30</v>
      </c>
      <c r="O354" s="4" t="s">
        <v>41</v>
      </c>
      <c r="P354" s="4"/>
      <c r="Q354" s="4"/>
    </row>
    <row r="355" spans="1:17" ht="25.5">
      <c r="A355" s="3">
        <v>351</v>
      </c>
      <c r="B355" s="3" t="s">
        <v>1413</v>
      </c>
      <c r="C355" s="4" t="s">
        <v>1228</v>
      </c>
      <c r="D355" s="4" t="s">
        <v>1414</v>
      </c>
      <c r="E355" s="4" t="s">
        <v>1415</v>
      </c>
      <c r="F355" s="4" t="s">
        <v>1416</v>
      </c>
      <c r="G355" s="4" t="s">
        <v>1417</v>
      </c>
      <c r="H355" s="4" t="s">
        <v>454</v>
      </c>
      <c r="I355" s="4" t="s">
        <v>52</v>
      </c>
      <c r="J355" s="4"/>
      <c r="K355" s="4" t="s">
        <v>637</v>
      </c>
      <c r="L355" s="4" t="s">
        <v>71</v>
      </c>
      <c r="M355" s="4" t="s">
        <v>125</v>
      </c>
      <c r="N355" s="4" t="s">
        <v>30</v>
      </c>
      <c r="O355" s="4" t="s">
        <v>1418</v>
      </c>
      <c r="P355" s="4" t="s">
        <v>54</v>
      </c>
      <c r="Q355" s="4"/>
    </row>
    <row r="356" spans="1:17" ht="25.5">
      <c r="A356" s="3">
        <v>352</v>
      </c>
      <c r="B356" s="3" t="s">
        <v>1419</v>
      </c>
      <c r="C356" s="4" t="s">
        <v>1228</v>
      </c>
      <c r="D356" s="4" t="s">
        <v>1414</v>
      </c>
      <c r="E356" s="4" t="s">
        <v>1415</v>
      </c>
      <c r="F356" s="4" t="s">
        <v>1420</v>
      </c>
      <c r="G356" s="4" t="s">
        <v>1421</v>
      </c>
      <c r="H356" s="4" t="s">
        <v>454</v>
      </c>
      <c r="I356" s="4" t="s">
        <v>52</v>
      </c>
      <c r="J356" s="4"/>
      <c r="K356" s="4" t="s">
        <v>637</v>
      </c>
      <c r="L356" s="4" t="s">
        <v>71</v>
      </c>
      <c r="M356" s="4" t="s">
        <v>125</v>
      </c>
      <c r="N356" s="4" t="s">
        <v>30</v>
      </c>
      <c r="O356" s="4" t="s">
        <v>1418</v>
      </c>
      <c r="P356" s="4" t="s">
        <v>58</v>
      </c>
      <c r="Q356" s="4"/>
    </row>
    <row r="357" spans="1:17" ht="25.5">
      <c r="A357" s="3">
        <v>353</v>
      </c>
      <c r="B357" s="3" t="s">
        <v>1422</v>
      </c>
      <c r="C357" s="4" t="s">
        <v>1228</v>
      </c>
      <c r="D357" s="4" t="s">
        <v>1414</v>
      </c>
      <c r="E357" s="4" t="s">
        <v>1415</v>
      </c>
      <c r="F357" s="4" t="s">
        <v>1423</v>
      </c>
      <c r="G357" s="4" t="s">
        <v>1424</v>
      </c>
      <c r="H357" s="4" t="s">
        <v>454</v>
      </c>
      <c r="I357" s="4" t="s">
        <v>52</v>
      </c>
      <c r="J357" s="4"/>
      <c r="K357" s="4" t="s">
        <v>637</v>
      </c>
      <c r="L357" s="4" t="s">
        <v>71</v>
      </c>
      <c r="M357" s="4" t="s">
        <v>125</v>
      </c>
      <c r="N357" s="4" t="s">
        <v>30</v>
      </c>
      <c r="O357" s="4" t="s">
        <v>1418</v>
      </c>
      <c r="P357" s="4" t="s">
        <v>462</v>
      </c>
      <c r="Q357" s="4"/>
    </row>
    <row r="358" spans="1:17" ht="25.5">
      <c r="A358" s="3">
        <v>354</v>
      </c>
      <c r="B358" s="3" t="s">
        <v>1425</v>
      </c>
      <c r="C358" s="4" t="s">
        <v>1228</v>
      </c>
      <c r="D358" s="4" t="s">
        <v>1414</v>
      </c>
      <c r="E358" s="4" t="s">
        <v>1415</v>
      </c>
      <c r="F358" s="4" t="s">
        <v>1426</v>
      </c>
      <c r="G358" s="4" t="s">
        <v>1427</v>
      </c>
      <c r="H358" s="4" t="s">
        <v>454</v>
      </c>
      <c r="I358" s="4" t="s">
        <v>52</v>
      </c>
      <c r="J358" s="4"/>
      <c r="K358" s="4" t="s">
        <v>637</v>
      </c>
      <c r="L358" s="4" t="s">
        <v>71</v>
      </c>
      <c r="M358" s="4" t="s">
        <v>125</v>
      </c>
      <c r="N358" s="4" t="s">
        <v>30</v>
      </c>
      <c r="O358" s="4" t="s">
        <v>1418</v>
      </c>
      <c r="P358" s="4" t="s">
        <v>62</v>
      </c>
      <c r="Q358" s="4"/>
    </row>
    <row r="359" spans="1:17" ht="25.5">
      <c r="A359" s="3">
        <v>355</v>
      </c>
      <c r="B359" s="3" t="s">
        <v>1428</v>
      </c>
      <c r="C359" s="4" t="s">
        <v>1228</v>
      </c>
      <c r="D359" s="4" t="s">
        <v>1414</v>
      </c>
      <c r="E359" s="4" t="s">
        <v>1415</v>
      </c>
      <c r="F359" s="4" t="s">
        <v>1429</v>
      </c>
      <c r="G359" s="4" t="s">
        <v>1430</v>
      </c>
      <c r="H359" s="4" t="s">
        <v>454</v>
      </c>
      <c r="I359" s="4" t="s">
        <v>52</v>
      </c>
      <c r="J359" s="4"/>
      <c r="K359" s="4" t="s">
        <v>637</v>
      </c>
      <c r="L359" s="4" t="s">
        <v>71</v>
      </c>
      <c r="M359" s="4" t="s">
        <v>125</v>
      </c>
      <c r="N359" s="4" t="s">
        <v>30</v>
      </c>
      <c r="O359" s="4" t="s">
        <v>1418</v>
      </c>
      <c r="P359" s="4" t="s">
        <v>66</v>
      </c>
      <c r="Q359" s="4"/>
    </row>
    <row r="360" spans="1:17" ht="25.5">
      <c r="A360" s="3">
        <v>356</v>
      </c>
      <c r="B360" s="3" t="s">
        <v>1431</v>
      </c>
      <c r="C360" s="4" t="s">
        <v>1228</v>
      </c>
      <c r="D360" s="4" t="s">
        <v>1414</v>
      </c>
      <c r="E360" s="4" t="s">
        <v>1415</v>
      </c>
      <c r="F360" s="4" t="s">
        <v>1432</v>
      </c>
      <c r="G360" s="4" t="s">
        <v>1433</v>
      </c>
      <c r="H360" s="4" t="s">
        <v>70</v>
      </c>
      <c r="I360" s="4" t="s">
        <v>52</v>
      </c>
      <c r="J360" s="4"/>
      <c r="K360" s="4" t="s">
        <v>637</v>
      </c>
      <c r="L360" s="4" t="s">
        <v>71</v>
      </c>
      <c r="M360" s="4" t="s">
        <v>125</v>
      </c>
      <c r="N360" s="4" t="s">
        <v>30</v>
      </c>
      <c r="O360" s="4" t="s">
        <v>1418</v>
      </c>
      <c r="P360" s="4" t="s">
        <v>72</v>
      </c>
      <c r="Q360" s="4"/>
    </row>
    <row r="361" spans="1:17" ht="25.5">
      <c r="A361" s="3">
        <v>357</v>
      </c>
      <c r="B361" s="3" t="s">
        <v>1434</v>
      </c>
      <c r="C361" s="4" t="s">
        <v>1228</v>
      </c>
      <c r="D361" s="4" t="s">
        <v>1414</v>
      </c>
      <c r="E361" s="4" t="s">
        <v>1415</v>
      </c>
      <c r="F361" s="4" t="s">
        <v>1435</v>
      </c>
      <c r="G361" s="4" t="s">
        <v>1436</v>
      </c>
      <c r="H361" s="4" t="s">
        <v>76</v>
      </c>
      <c r="I361" s="4" t="s">
        <v>77</v>
      </c>
      <c r="J361" s="4"/>
      <c r="K361" s="4" t="s">
        <v>637</v>
      </c>
      <c r="L361" s="4" t="s">
        <v>28</v>
      </c>
      <c r="M361" s="4" t="s">
        <v>125</v>
      </c>
      <c r="N361" s="4" t="s">
        <v>30</v>
      </c>
      <c r="O361" s="4" t="s">
        <v>1418</v>
      </c>
      <c r="P361" s="4" t="s">
        <v>78</v>
      </c>
      <c r="Q361" s="4"/>
    </row>
    <row r="362" spans="1:17">
      <c r="A362" s="3">
        <v>358</v>
      </c>
      <c r="B362" s="3" t="s">
        <v>1437</v>
      </c>
      <c r="C362" s="4" t="s">
        <v>1228</v>
      </c>
      <c r="D362" s="4" t="s">
        <v>1414</v>
      </c>
      <c r="E362" s="4" t="s">
        <v>1438</v>
      </c>
      <c r="F362" s="4" t="s">
        <v>1439</v>
      </c>
      <c r="G362" s="4" t="s">
        <v>1440</v>
      </c>
      <c r="H362" s="4" t="s">
        <v>454</v>
      </c>
      <c r="I362" s="4" t="s">
        <v>83</v>
      </c>
      <c r="J362" s="4"/>
      <c r="K362" s="4" t="s">
        <v>637</v>
      </c>
      <c r="L362" s="4" t="s">
        <v>71</v>
      </c>
      <c r="M362" s="4" t="s">
        <v>125</v>
      </c>
      <c r="N362" s="4" t="s">
        <v>30</v>
      </c>
      <c r="O362" s="4" t="s">
        <v>41</v>
      </c>
      <c r="P362" s="4"/>
      <c r="Q362" s="4"/>
    </row>
    <row r="363" spans="1:17" ht="25.5">
      <c r="A363" s="3">
        <v>359</v>
      </c>
      <c r="B363" s="3" t="s">
        <v>1441</v>
      </c>
      <c r="C363" s="4" t="s">
        <v>1228</v>
      </c>
      <c r="D363" s="4" t="s">
        <v>1414</v>
      </c>
      <c r="E363" s="4" t="s">
        <v>1442</v>
      </c>
      <c r="F363" s="4" t="s">
        <v>1443</v>
      </c>
      <c r="G363" s="4" t="s">
        <v>1444</v>
      </c>
      <c r="H363" s="4" t="s">
        <v>1309</v>
      </c>
      <c r="I363" s="4" t="s">
        <v>83</v>
      </c>
      <c r="J363" s="4"/>
      <c r="K363" s="4" t="s">
        <v>637</v>
      </c>
      <c r="L363" s="4" t="s">
        <v>71</v>
      </c>
      <c r="M363" s="4" t="s">
        <v>125</v>
      </c>
      <c r="N363" s="4" t="s">
        <v>30</v>
      </c>
      <c r="O363" s="4" t="s">
        <v>41</v>
      </c>
      <c r="P363" s="4"/>
      <c r="Q363" s="4"/>
    </row>
    <row r="364" spans="1:17" ht="25.5">
      <c r="A364" s="3">
        <v>360</v>
      </c>
      <c r="B364" s="3" t="s">
        <v>1445</v>
      </c>
      <c r="C364" s="4" t="s">
        <v>1228</v>
      </c>
      <c r="D364" s="4" t="s">
        <v>1414</v>
      </c>
      <c r="E364" s="4" t="s">
        <v>1446</v>
      </c>
      <c r="F364" s="4" t="s">
        <v>1447</v>
      </c>
      <c r="G364" s="4" t="s">
        <v>1448</v>
      </c>
      <c r="H364" s="4" t="s">
        <v>1449</v>
      </c>
      <c r="I364" s="4" t="s">
        <v>1450</v>
      </c>
      <c r="J364" s="4"/>
      <c r="K364" s="4" t="s">
        <v>637</v>
      </c>
      <c r="L364" s="4" t="s">
        <v>71</v>
      </c>
      <c r="M364" s="4" t="s">
        <v>125</v>
      </c>
      <c r="N364" s="4" t="s">
        <v>30</v>
      </c>
      <c r="O364" s="4" t="s">
        <v>41</v>
      </c>
      <c r="P364" s="4"/>
      <c r="Q364" s="4"/>
    </row>
    <row r="365" spans="1:17" ht="25.5">
      <c r="A365" s="3">
        <v>361</v>
      </c>
      <c r="B365" s="3" t="s">
        <v>1451</v>
      </c>
      <c r="C365" s="4" t="s">
        <v>1228</v>
      </c>
      <c r="D365" s="4" t="s">
        <v>1452</v>
      </c>
      <c r="E365" s="4" t="s">
        <v>1453</v>
      </c>
      <c r="F365" s="4" t="s">
        <v>1454</v>
      </c>
      <c r="G365" s="4" t="s">
        <v>1455</v>
      </c>
      <c r="H365" s="4" t="s">
        <v>1309</v>
      </c>
      <c r="I365" s="4" t="s">
        <v>52</v>
      </c>
      <c r="J365" s="4"/>
      <c r="K365" s="4" t="s">
        <v>1163</v>
      </c>
      <c r="L365" s="4" t="s">
        <v>71</v>
      </c>
      <c r="M365" s="4" t="s">
        <v>125</v>
      </c>
      <c r="N365" s="4" t="s">
        <v>30</v>
      </c>
      <c r="O365" s="4" t="s">
        <v>1456</v>
      </c>
      <c r="P365" s="4" t="s">
        <v>54</v>
      </c>
      <c r="Q365" s="4"/>
    </row>
    <row r="366" spans="1:17" ht="25.5">
      <c r="A366" s="3">
        <v>362</v>
      </c>
      <c r="B366" s="3" t="s">
        <v>1457</v>
      </c>
      <c r="C366" s="4" t="s">
        <v>1228</v>
      </c>
      <c r="D366" s="4" t="s">
        <v>1452</v>
      </c>
      <c r="E366" s="4" t="s">
        <v>1453</v>
      </c>
      <c r="F366" s="4" t="s">
        <v>1458</v>
      </c>
      <c r="G366" s="4" t="s">
        <v>1459</v>
      </c>
      <c r="H366" s="4" t="s">
        <v>1309</v>
      </c>
      <c r="I366" s="4" t="s">
        <v>52</v>
      </c>
      <c r="J366" s="4"/>
      <c r="K366" s="4" t="s">
        <v>1163</v>
      </c>
      <c r="L366" s="4" t="s">
        <v>71</v>
      </c>
      <c r="M366" s="4" t="s">
        <v>125</v>
      </c>
      <c r="N366" s="4" t="s">
        <v>30</v>
      </c>
      <c r="O366" s="4" t="s">
        <v>1456</v>
      </c>
      <c r="P366" s="4" t="s">
        <v>58</v>
      </c>
      <c r="Q366" s="4"/>
    </row>
    <row r="367" spans="1:17" ht="25.5">
      <c r="A367" s="3">
        <v>363</v>
      </c>
      <c r="B367" s="3" t="s">
        <v>1460</v>
      </c>
      <c r="C367" s="4" t="s">
        <v>1228</v>
      </c>
      <c r="D367" s="4" t="s">
        <v>1452</v>
      </c>
      <c r="E367" s="4" t="s">
        <v>1453</v>
      </c>
      <c r="F367" s="4" t="s">
        <v>1461</v>
      </c>
      <c r="G367" s="4" t="s">
        <v>1462</v>
      </c>
      <c r="H367" s="4" t="s">
        <v>1309</v>
      </c>
      <c r="I367" s="4" t="s">
        <v>52</v>
      </c>
      <c r="J367" s="4"/>
      <c r="K367" s="4" t="s">
        <v>1163</v>
      </c>
      <c r="L367" s="4" t="s">
        <v>71</v>
      </c>
      <c r="M367" s="4" t="s">
        <v>125</v>
      </c>
      <c r="N367" s="4" t="s">
        <v>30</v>
      </c>
      <c r="O367" s="4" t="s">
        <v>1456</v>
      </c>
      <c r="P367" s="4" t="s">
        <v>462</v>
      </c>
      <c r="Q367" s="4"/>
    </row>
    <row r="368" spans="1:17" ht="25.5">
      <c r="A368" s="3">
        <v>364</v>
      </c>
      <c r="B368" s="3" t="s">
        <v>1463</v>
      </c>
      <c r="C368" s="4" t="s">
        <v>1228</v>
      </c>
      <c r="D368" s="4" t="s">
        <v>1452</v>
      </c>
      <c r="E368" s="4" t="s">
        <v>1453</v>
      </c>
      <c r="F368" s="4" t="s">
        <v>1464</v>
      </c>
      <c r="G368" s="4" t="s">
        <v>1465</v>
      </c>
      <c r="H368" s="4" t="s">
        <v>1309</v>
      </c>
      <c r="I368" s="4" t="s">
        <v>52</v>
      </c>
      <c r="J368" s="4"/>
      <c r="K368" s="4" t="s">
        <v>1163</v>
      </c>
      <c r="L368" s="4" t="s">
        <v>71</v>
      </c>
      <c r="M368" s="4" t="s">
        <v>125</v>
      </c>
      <c r="N368" s="4" t="s">
        <v>30</v>
      </c>
      <c r="O368" s="4" t="s">
        <v>1456</v>
      </c>
      <c r="P368" s="4" t="s">
        <v>62</v>
      </c>
      <c r="Q368" s="4"/>
    </row>
    <row r="369" spans="1:17" ht="25.5">
      <c r="A369" s="3">
        <v>365</v>
      </c>
      <c r="B369" s="3" t="s">
        <v>1466</v>
      </c>
      <c r="C369" s="4" t="s">
        <v>1228</v>
      </c>
      <c r="D369" s="4" t="s">
        <v>1452</v>
      </c>
      <c r="E369" s="4" t="s">
        <v>1453</v>
      </c>
      <c r="F369" s="4" t="s">
        <v>1467</v>
      </c>
      <c r="G369" s="4" t="s">
        <v>1468</v>
      </c>
      <c r="H369" s="4" t="s">
        <v>1309</v>
      </c>
      <c r="I369" s="4" t="s">
        <v>52</v>
      </c>
      <c r="J369" s="4"/>
      <c r="K369" s="4" t="s">
        <v>1163</v>
      </c>
      <c r="L369" s="4" t="s">
        <v>71</v>
      </c>
      <c r="M369" s="4" t="s">
        <v>125</v>
      </c>
      <c r="N369" s="4" t="s">
        <v>30</v>
      </c>
      <c r="O369" s="4" t="s">
        <v>1456</v>
      </c>
      <c r="P369" s="4" t="s">
        <v>66</v>
      </c>
      <c r="Q369" s="4"/>
    </row>
    <row r="370" spans="1:17" ht="25.5">
      <c r="A370" s="3">
        <v>366</v>
      </c>
      <c r="B370" s="3" t="s">
        <v>1469</v>
      </c>
      <c r="C370" s="4" t="s">
        <v>1228</v>
      </c>
      <c r="D370" s="4" t="s">
        <v>1452</v>
      </c>
      <c r="E370" s="4" t="s">
        <v>1453</v>
      </c>
      <c r="F370" s="4" t="s">
        <v>1470</v>
      </c>
      <c r="G370" s="4" t="s">
        <v>1471</v>
      </c>
      <c r="H370" s="4" t="s">
        <v>70</v>
      </c>
      <c r="I370" s="4" t="s">
        <v>52</v>
      </c>
      <c r="J370" s="4"/>
      <c r="K370" s="4" t="s">
        <v>1163</v>
      </c>
      <c r="L370" s="4" t="s">
        <v>71</v>
      </c>
      <c r="M370" s="4" t="s">
        <v>125</v>
      </c>
      <c r="N370" s="4" t="s">
        <v>30</v>
      </c>
      <c r="O370" s="4" t="s">
        <v>1456</v>
      </c>
      <c r="P370" s="4" t="s">
        <v>72</v>
      </c>
      <c r="Q370" s="4"/>
    </row>
    <row r="371" spans="1:17" ht="25.5">
      <c r="A371" s="3">
        <v>367</v>
      </c>
      <c r="B371" s="3" t="s">
        <v>1472</v>
      </c>
      <c r="C371" s="4" t="s">
        <v>1228</v>
      </c>
      <c r="D371" s="4" t="s">
        <v>1452</v>
      </c>
      <c r="E371" s="4" t="s">
        <v>1453</v>
      </c>
      <c r="F371" s="4" t="s">
        <v>1473</v>
      </c>
      <c r="G371" s="4" t="s">
        <v>1474</v>
      </c>
      <c r="H371" s="4" t="s">
        <v>76</v>
      </c>
      <c r="I371" s="4" t="s">
        <v>77</v>
      </c>
      <c r="J371" s="4"/>
      <c r="K371" s="4" t="s">
        <v>1163</v>
      </c>
      <c r="L371" s="4" t="s">
        <v>28</v>
      </c>
      <c r="M371" s="4" t="s">
        <v>125</v>
      </c>
      <c r="N371" s="4" t="s">
        <v>30</v>
      </c>
      <c r="O371" s="4" t="s">
        <v>1456</v>
      </c>
      <c r="P371" s="4" t="s">
        <v>78</v>
      </c>
      <c r="Q371" s="4"/>
    </row>
    <row r="372" spans="1:17" ht="25.5">
      <c r="A372" s="3">
        <v>368</v>
      </c>
      <c r="B372" s="3" t="s">
        <v>1475</v>
      </c>
      <c r="C372" s="4" t="s">
        <v>1228</v>
      </c>
      <c r="D372" s="4" t="s">
        <v>1452</v>
      </c>
      <c r="E372" s="4" t="s">
        <v>1476</v>
      </c>
      <c r="F372" s="4" t="s">
        <v>1477</v>
      </c>
      <c r="G372" s="4" t="s">
        <v>1478</v>
      </c>
      <c r="H372" s="4" t="s">
        <v>454</v>
      </c>
      <c r="I372" s="4" t="s">
        <v>83</v>
      </c>
      <c r="J372" s="4"/>
      <c r="K372" s="4" t="s">
        <v>1163</v>
      </c>
      <c r="L372" s="4" t="s">
        <v>71</v>
      </c>
      <c r="M372" s="4" t="s">
        <v>125</v>
      </c>
      <c r="N372" s="4" t="s">
        <v>30</v>
      </c>
      <c r="O372" s="4" t="s">
        <v>41</v>
      </c>
      <c r="P372" s="4"/>
      <c r="Q372" s="4"/>
    </row>
    <row r="373" spans="1:17" ht="25.5">
      <c r="A373" s="3">
        <v>369</v>
      </c>
      <c r="B373" s="3" t="s">
        <v>1479</v>
      </c>
      <c r="C373" s="4" t="s">
        <v>1228</v>
      </c>
      <c r="D373" s="4" t="s">
        <v>1452</v>
      </c>
      <c r="E373" s="4" t="s">
        <v>1480</v>
      </c>
      <c r="F373" s="4" t="s">
        <v>1481</v>
      </c>
      <c r="G373" s="4" t="s">
        <v>1482</v>
      </c>
      <c r="H373" s="4" t="s">
        <v>1309</v>
      </c>
      <c r="I373" s="4" t="s">
        <v>83</v>
      </c>
      <c r="J373" s="4"/>
      <c r="K373" s="4" t="s">
        <v>1163</v>
      </c>
      <c r="L373" s="4" t="s">
        <v>71</v>
      </c>
      <c r="M373" s="4" t="s">
        <v>125</v>
      </c>
      <c r="N373" s="4" t="s">
        <v>30</v>
      </c>
      <c r="O373" s="4" t="s">
        <v>41</v>
      </c>
      <c r="P373" s="4"/>
      <c r="Q373" s="4"/>
    </row>
    <row r="374" spans="1:17" ht="25.5">
      <c r="A374" s="3">
        <v>370</v>
      </c>
      <c r="B374" s="3" t="s">
        <v>1483</v>
      </c>
      <c r="C374" s="4" t="s">
        <v>1228</v>
      </c>
      <c r="D374" s="4" t="s">
        <v>1484</v>
      </c>
      <c r="E374" s="4" t="s">
        <v>1485</v>
      </c>
      <c r="F374" s="4" t="s">
        <v>1486</v>
      </c>
      <c r="G374" s="4" t="s">
        <v>1487</v>
      </c>
      <c r="H374" s="4" t="s">
        <v>1488</v>
      </c>
      <c r="I374" s="4" t="s">
        <v>52</v>
      </c>
      <c r="J374" s="4"/>
      <c r="K374" s="4" t="s">
        <v>637</v>
      </c>
      <c r="L374" s="4" t="s">
        <v>28</v>
      </c>
      <c r="M374" s="4" t="s">
        <v>29</v>
      </c>
      <c r="N374" s="4" t="s">
        <v>30</v>
      </c>
      <c r="O374" s="4" t="s">
        <v>1489</v>
      </c>
      <c r="P374" s="4" t="s">
        <v>54</v>
      </c>
      <c r="Q374" s="4"/>
    </row>
    <row r="375" spans="1:17" ht="25.5">
      <c r="A375" s="3">
        <v>371</v>
      </c>
      <c r="B375" s="3" t="s">
        <v>1490</v>
      </c>
      <c r="C375" s="4" t="s">
        <v>1228</v>
      </c>
      <c r="D375" s="4" t="s">
        <v>1484</v>
      </c>
      <c r="E375" s="4" t="s">
        <v>1485</v>
      </c>
      <c r="F375" s="4" t="s">
        <v>1491</v>
      </c>
      <c r="G375" s="4" t="s">
        <v>1492</v>
      </c>
      <c r="H375" s="4" t="s">
        <v>1488</v>
      </c>
      <c r="I375" s="4" t="s">
        <v>52</v>
      </c>
      <c r="J375" s="4"/>
      <c r="K375" s="4" t="s">
        <v>637</v>
      </c>
      <c r="L375" s="4" t="s">
        <v>28</v>
      </c>
      <c r="M375" s="4" t="s">
        <v>29</v>
      </c>
      <c r="N375" s="4" t="s">
        <v>30</v>
      </c>
      <c r="O375" s="4" t="s">
        <v>1489</v>
      </c>
      <c r="P375" s="4" t="s">
        <v>58</v>
      </c>
      <c r="Q375" s="4"/>
    </row>
    <row r="376" spans="1:17" ht="25.5">
      <c r="A376" s="3">
        <v>372</v>
      </c>
      <c r="B376" s="3" t="s">
        <v>1493</v>
      </c>
      <c r="C376" s="4" t="s">
        <v>1228</v>
      </c>
      <c r="D376" s="4" t="s">
        <v>1484</v>
      </c>
      <c r="E376" s="4" t="s">
        <v>1485</v>
      </c>
      <c r="F376" s="4" t="s">
        <v>1494</v>
      </c>
      <c r="G376" s="4" t="s">
        <v>1495</v>
      </c>
      <c r="H376" s="4" t="s">
        <v>1488</v>
      </c>
      <c r="I376" s="4" t="s">
        <v>52</v>
      </c>
      <c r="J376" s="4"/>
      <c r="K376" s="4" t="s">
        <v>637</v>
      </c>
      <c r="L376" s="4" t="s">
        <v>28</v>
      </c>
      <c r="M376" s="4" t="s">
        <v>29</v>
      </c>
      <c r="N376" s="4" t="s">
        <v>30</v>
      </c>
      <c r="O376" s="4" t="s">
        <v>1489</v>
      </c>
      <c r="P376" s="4" t="s">
        <v>62</v>
      </c>
      <c r="Q376" s="4"/>
    </row>
    <row r="377" spans="1:17" ht="25.5">
      <c r="A377" s="3">
        <v>373</v>
      </c>
      <c r="B377" s="3" t="s">
        <v>1496</v>
      </c>
      <c r="C377" s="4" t="s">
        <v>1228</v>
      </c>
      <c r="D377" s="4" t="s">
        <v>1484</v>
      </c>
      <c r="E377" s="4" t="s">
        <v>1485</v>
      </c>
      <c r="F377" s="4" t="s">
        <v>1497</v>
      </c>
      <c r="G377" s="4" t="s">
        <v>1498</v>
      </c>
      <c r="H377" s="4" t="s">
        <v>1488</v>
      </c>
      <c r="I377" s="4" t="s">
        <v>52</v>
      </c>
      <c r="J377" s="4"/>
      <c r="K377" s="4" t="s">
        <v>637</v>
      </c>
      <c r="L377" s="4" t="s">
        <v>28</v>
      </c>
      <c r="M377" s="4" t="s">
        <v>29</v>
      </c>
      <c r="N377" s="4" t="s">
        <v>30</v>
      </c>
      <c r="O377" s="4" t="s">
        <v>1489</v>
      </c>
      <c r="P377" s="4" t="s">
        <v>66</v>
      </c>
      <c r="Q377" s="4"/>
    </row>
    <row r="378" spans="1:17" ht="25.5">
      <c r="A378" s="3">
        <v>374</v>
      </c>
      <c r="B378" s="3" t="s">
        <v>1499</v>
      </c>
      <c r="C378" s="4" t="s">
        <v>1228</v>
      </c>
      <c r="D378" s="4" t="s">
        <v>1484</v>
      </c>
      <c r="E378" s="4" t="s">
        <v>1485</v>
      </c>
      <c r="F378" s="4" t="s">
        <v>1500</v>
      </c>
      <c r="G378" s="4" t="s">
        <v>1501</v>
      </c>
      <c r="H378" s="4" t="s">
        <v>70</v>
      </c>
      <c r="I378" s="4" t="s">
        <v>52</v>
      </c>
      <c r="J378" s="4"/>
      <c r="K378" s="4" t="s">
        <v>637</v>
      </c>
      <c r="L378" s="4" t="s">
        <v>71</v>
      </c>
      <c r="M378" s="4" t="s">
        <v>29</v>
      </c>
      <c r="N378" s="4" t="s">
        <v>30</v>
      </c>
      <c r="O378" s="4" t="s">
        <v>1489</v>
      </c>
      <c r="P378" s="4" t="s">
        <v>72</v>
      </c>
      <c r="Q378" s="4"/>
    </row>
    <row r="379" spans="1:17" ht="25.5">
      <c r="A379" s="3">
        <v>375</v>
      </c>
      <c r="B379" s="3" t="s">
        <v>1502</v>
      </c>
      <c r="C379" s="4" t="s">
        <v>1228</v>
      </c>
      <c r="D379" s="4" t="s">
        <v>1484</v>
      </c>
      <c r="E379" s="4" t="s">
        <v>1485</v>
      </c>
      <c r="F379" s="4" t="s">
        <v>1503</v>
      </c>
      <c r="G379" s="4" t="s">
        <v>1504</v>
      </c>
      <c r="H379" s="4" t="s">
        <v>76</v>
      </c>
      <c r="I379" s="4" t="s">
        <v>77</v>
      </c>
      <c r="J379" s="4"/>
      <c r="K379" s="4" t="s">
        <v>637</v>
      </c>
      <c r="L379" s="4" t="s">
        <v>28</v>
      </c>
      <c r="M379" s="4" t="s">
        <v>29</v>
      </c>
      <c r="N379" s="4" t="s">
        <v>30</v>
      </c>
      <c r="O379" s="4" t="s">
        <v>1489</v>
      </c>
      <c r="P379" s="4" t="s">
        <v>78</v>
      </c>
      <c r="Q379" s="4"/>
    </row>
    <row r="380" spans="1:17" ht="25.5">
      <c r="A380" s="3">
        <v>376</v>
      </c>
      <c r="B380" s="3" t="s">
        <v>1505</v>
      </c>
      <c r="C380" s="4" t="s">
        <v>1228</v>
      </c>
      <c r="D380" s="4" t="s">
        <v>1484</v>
      </c>
      <c r="E380" s="4" t="s">
        <v>1506</v>
      </c>
      <c r="F380" s="4" t="s">
        <v>1507</v>
      </c>
      <c r="G380" s="4" t="s">
        <v>1508</v>
      </c>
      <c r="H380" s="4" t="s">
        <v>1488</v>
      </c>
      <c r="I380" s="4" t="s">
        <v>83</v>
      </c>
      <c r="J380" s="4"/>
      <c r="K380" s="4" t="s">
        <v>637</v>
      </c>
      <c r="L380" s="4" t="s">
        <v>71</v>
      </c>
      <c r="M380" s="4" t="s">
        <v>29</v>
      </c>
      <c r="N380" s="4" t="s">
        <v>30</v>
      </c>
      <c r="O380" s="4" t="s">
        <v>41</v>
      </c>
      <c r="P380" s="4"/>
      <c r="Q380" s="4"/>
    </row>
    <row r="381" spans="1:17" ht="25.5">
      <c r="A381" s="3">
        <v>377</v>
      </c>
      <c r="B381" s="3" t="s">
        <v>1509</v>
      </c>
      <c r="C381" s="4" t="s">
        <v>1228</v>
      </c>
      <c r="D381" s="4" t="s">
        <v>1510</v>
      </c>
      <c r="E381" s="4" t="s">
        <v>1511</v>
      </c>
      <c r="F381" s="4" t="s">
        <v>1512</v>
      </c>
      <c r="G381" s="4" t="s">
        <v>1513</v>
      </c>
      <c r="H381" s="4" t="s">
        <v>1514</v>
      </c>
      <c r="I381" s="4" t="s">
        <v>83</v>
      </c>
      <c r="J381" s="4" t="s">
        <v>1142</v>
      </c>
      <c r="K381" s="4" t="s">
        <v>637</v>
      </c>
      <c r="L381" s="4" t="s">
        <v>407</v>
      </c>
      <c r="M381" s="4" t="s">
        <v>408</v>
      </c>
      <c r="N381" s="4" t="s">
        <v>30</v>
      </c>
      <c r="O381" s="4" t="s">
        <v>41</v>
      </c>
      <c r="P381" s="4"/>
      <c r="Q381" s="4"/>
    </row>
    <row r="382" spans="1:17" ht="25.5">
      <c r="A382" s="3">
        <v>378</v>
      </c>
      <c r="B382" s="3" t="s">
        <v>1515</v>
      </c>
      <c r="C382" s="4" t="s">
        <v>1228</v>
      </c>
      <c r="D382" s="4" t="s">
        <v>1510</v>
      </c>
      <c r="E382" s="4" t="s">
        <v>1516</v>
      </c>
      <c r="F382" s="4" t="s">
        <v>1517</v>
      </c>
      <c r="G382" s="4" t="s">
        <v>1518</v>
      </c>
      <c r="H382" s="4" t="s">
        <v>1514</v>
      </c>
      <c r="I382" s="4" t="s">
        <v>83</v>
      </c>
      <c r="J382" s="4" t="s">
        <v>1142</v>
      </c>
      <c r="K382" s="4" t="s">
        <v>637</v>
      </c>
      <c r="L382" s="4" t="s">
        <v>407</v>
      </c>
      <c r="M382" s="4" t="s">
        <v>408</v>
      </c>
      <c r="N382" s="4" t="s">
        <v>30</v>
      </c>
      <c r="O382" s="4" t="s">
        <v>41</v>
      </c>
      <c r="P382" s="4"/>
      <c r="Q382" s="4"/>
    </row>
    <row r="383" spans="1:17" ht="25.5">
      <c r="A383" s="3">
        <v>379</v>
      </c>
      <c r="B383" s="3" t="s">
        <v>1519</v>
      </c>
      <c r="C383" s="4" t="s">
        <v>1520</v>
      </c>
      <c r="D383" s="4" t="s">
        <v>1521</v>
      </c>
      <c r="E383" s="4" t="s">
        <v>1522</v>
      </c>
      <c r="F383" s="4" t="s">
        <v>1523</v>
      </c>
      <c r="G383" s="4" t="s">
        <v>1524</v>
      </c>
      <c r="H383" s="4" t="s">
        <v>1525</v>
      </c>
      <c r="I383" s="4" t="s">
        <v>52</v>
      </c>
      <c r="J383" s="4"/>
      <c r="K383" s="4" t="s">
        <v>1526</v>
      </c>
      <c r="L383" s="4" t="s">
        <v>28</v>
      </c>
      <c r="M383" s="4" t="s">
        <v>29</v>
      </c>
      <c r="N383" s="4" t="s">
        <v>30</v>
      </c>
      <c r="O383" s="4" t="s">
        <v>1527</v>
      </c>
      <c r="P383" s="4" t="s">
        <v>54</v>
      </c>
      <c r="Q383" s="4"/>
    </row>
    <row r="384" spans="1:17" ht="25.5">
      <c r="A384" s="3">
        <v>380</v>
      </c>
      <c r="B384" s="3" t="s">
        <v>1528</v>
      </c>
      <c r="C384" s="4" t="s">
        <v>1520</v>
      </c>
      <c r="D384" s="4" t="s">
        <v>1521</v>
      </c>
      <c r="E384" s="4" t="s">
        <v>1522</v>
      </c>
      <c r="F384" s="4" t="s">
        <v>1529</v>
      </c>
      <c r="G384" s="4" t="s">
        <v>1530</v>
      </c>
      <c r="H384" s="4" t="s">
        <v>1525</v>
      </c>
      <c r="I384" s="4" t="s">
        <v>52</v>
      </c>
      <c r="J384" s="4"/>
      <c r="K384" s="4" t="s">
        <v>1526</v>
      </c>
      <c r="L384" s="4" t="s">
        <v>28</v>
      </c>
      <c r="M384" s="4" t="s">
        <v>29</v>
      </c>
      <c r="N384" s="4" t="s">
        <v>30</v>
      </c>
      <c r="O384" s="4" t="s">
        <v>1527</v>
      </c>
      <c r="P384" s="4" t="s">
        <v>58</v>
      </c>
      <c r="Q384" s="4"/>
    </row>
    <row r="385" spans="1:17" ht="25.5">
      <c r="A385" s="3">
        <v>381</v>
      </c>
      <c r="B385" s="3" t="s">
        <v>1531</v>
      </c>
      <c r="C385" s="4" t="s">
        <v>1520</v>
      </c>
      <c r="D385" s="4" t="s">
        <v>1521</v>
      </c>
      <c r="E385" s="4" t="s">
        <v>1522</v>
      </c>
      <c r="F385" s="4" t="s">
        <v>1532</v>
      </c>
      <c r="G385" s="4" t="s">
        <v>1533</v>
      </c>
      <c r="H385" s="4" t="s">
        <v>1525</v>
      </c>
      <c r="I385" s="4" t="s">
        <v>52</v>
      </c>
      <c r="J385" s="4"/>
      <c r="K385" s="4" t="s">
        <v>1526</v>
      </c>
      <c r="L385" s="4" t="s">
        <v>71</v>
      </c>
      <c r="M385" s="4" t="s">
        <v>29</v>
      </c>
      <c r="N385" s="4" t="s">
        <v>30</v>
      </c>
      <c r="O385" s="4" t="s">
        <v>1527</v>
      </c>
      <c r="P385" s="4" t="s">
        <v>462</v>
      </c>
      <c r="Q385" s="4"/>
    </row>
    <row r="386" spans="1:17" ht="25.5">
      <c r="A386" s="3">
        <v>382</v>
      </c>
      <c r="B386" s="3" t="s">
        <v>1534</v>
      </c>
      <c r="C386" s="4" t="s">
        <v>1520</v>
      </c>
      <c r="D386" s="4" t="s">
        <v>1521</v>
      </c>
      <c r="E386" s="4" t="s">
        <v>1522</v>
      </c>
      <c r="F386" s="4" t="s">
        <v>1535</v>
      </c>
      <c r="G386" s="4" t="s">
        <v>1536</v>
      </c>
      <c r="H386" s="4" t="s">
        <v>1525</v>
      </c>
      <c r="I386" s="4" t="s">
        <v>52</v>
      </c>
      <c r="J386" s="4"/>
      <c r="K386" s="4" t="s">
        <v>1526</v>
      </c>
      <c r="L386" s="4" t="s">
        <v>28</v>
      </c>
      <c r="M386" s="4" t="s">
        <v>29</v>
      </c>
      <c r="N386" s="4" t="s">
        <v>30</v>
      </c>
      <c r="O386" s="4" t="s">
        <v>1527</v>
      </c>
      <c r="P386" s="4" t="s">
        <v>62</v>
      </c>
      <c r="Q386" s="4"/>
    </row>
    <row r="387" spans="1:17" ht="25.5">
      <c r="A387" s="3">
        <v>383</v>
      </c>
      <c r="B387" s="3" t="s">
        <v>1537</v>
      </c>
      <c r="C387" s="4" t="s">
        <v>1520</v>
      </c>
      <c r="D387" s="4" t="s">
        <v>1521</v>
      </c>
      <c r="E387" s="4" t="s">
        <v>1522</v>
      </c>
      <c r="F387" s="4" t="s">
        <v>1538</v>
      </c>
      <c r="G387" s="4" t="s">
        <v>1539</v>
      </c>
      <c r="H387" s="4" t="s">
        <v>1525</v>
      </c>
      <c r="I387" s="4" t="s">
        <v>52</v>
      </c>
      <c r="J387" s="4"/>
      <c r="K387" s="4" t="s">
        <v>1526</v>
      </c>
      <c r="L387" s="4" t="s">
        <v>28</v>
      </c>
      <c r="M387" s="4" t="s">
        <v>29</v>
      </c>
      <c r="N387" s="4" t="s">
        <v>30</v>
      </c>
      <c r="O387" s="4" t="s">
        <v>1527</v>
      </c>
      <c r="P387" s="4" t="s">
        <v>66</v>
      </c>
      <c r="Q387" s="4"/>
    </row>
    <row r="388" spans="1:17" ht="25.5">
      <c r="A388" s="3">
        <v>384</v>
      </c>
      <c r="B388" s="3" t="s">
        <v>1540</v>
      </c>
      <c r="C388" s="4" t="s">
        <v>1520</v>
      </c>
      <c r="D388" s="4" t="s">
        <v>1521</v>
      </c>
      <c r="E388" s="4" t="s">
        <v>1522</v>
      </c>
      <c r="F388" s="4" t="s">
        <v>1541</v>
      </c>
      <c r="G388" s="4" t="s">
        <v>1542</v>
      </c>
      <c r="H388" s="4" t="s">
        <v>70</v>
      </c>
      <c r="I388" s="4" t="s">
        <v>52</v>
      </c>
      <c r="J388" s="4"/>
      <c r="K388" s="4" t="s">
        <v>1526</v>
      </c>
      <c r="L388" s="4" t="s">
        <v>71</v>
      </c>
      <c r="M388" s="4" t="s">
        <v>29</v>
      </c>
      <c r="N388" s="4" t="s">
        <v>30</v>
      </c>
      <c r="O388" s="4" t="s">
        <v>1527</v>
      </c>
      <c r="P388" s="4" t="s">
        <v>72</v>
      </c>
      <c r="Q388" s="4"/>
    </row>
    <row r="389" spans="1:17" ht="25.5">
      <c r="A389" s="3">
        <v>385</v>
      </c>
      <c r="B389" s="3" t="s">
        <v>1543</v>
      </c>
      <c r="C389" s="4" t="s">
        <v>1520</v>
      </c>
      <c r="D389" s="4" t="s">
        <v>1521</v>
      </c>
      <c r="E389" s="4" t="s">
        <v>1522</v>
      </c>
      <c r="F389" s="4" t="s">
        <v>1544</v>
      </c>
      <c r="G389" s="4" t="s">
        <v>1545</v>
      </c>
      <c r="H389" s="4" t="s">
        <v>76</v>
      </c>
      <c r="I389" s="4" t="s">
        <v>77</v>
      </c>
      <c r="J389" s="4"/>
      <c r="K389" s="4" t="s">
        <v>1526</v>
      </c>
      <c r="L389" s="4" t="s">
        <v>28</v>
      </c>
      <c r="M389" s="4" t="s">
        <v>29</v>
      </c>
      <c r="N389" s="4" t="s">
        <v>30</v>
      </c>
      <c r="O389" s="4" t="s">
        <v>1527</v>
      </c>
      <c r="P389" s="4" t="s">
        <v>78</v>
      </c>
      <c r="Q389" s="4"/>
    </row>
    <row r="390" spans="1:17" ht="25.5">
      <c r="A390" s="3">
        <v>386</v>
      </c>
      <c r="B390" s="3" t="s">
        <v>1546</v>
      </c>
      <c r="C390" s="4" t="s">
        <v>1520</v>
      </c>
      <c r="D390" s="4" t="s">
        <v>1547</v>
      </c>
      <c r="E390" s="4" t="s">
        <v>1548</v>
      </c>
      <c r="F390" s="4" t="s">
        <v>1549</v>
      </c>
      <c r="G390" s="4" t="s">
        <v>1550</v>
      </c>
      <c r="H390" s="4" t="s">
        <v>1551</v>
      </c>
      <c r="I390" s="4" t="s">
        <v>113</v>
      </c>
      <c r="J390" s="4"/>
      <c r="K390" s="4" t="s">
        <v>1526</v>
      </c>
      <c r="L390" s="4" t="s">
        <v>71</v>
      </c>
      <c r="M390" s="4" t="s">
        <v>125</v>
      </c>
      <c r="N390" s="4" t="s">
        <v>209</v>
      </c>
      <c r="O390" s="4" t="s">
        <v>1055</v>
      </c>
      <c r="P390" s="4"/>
      <c r="Q390" s="4"/>
    </row>
    <row r="391" spans="1:17" ht="25.5">
      <c r="A391" s="3">
        <v>387</v>
      </c>
      <c r="B391" s="3" t="s">
        <v>1552</v>
      </c>
      <c r="C391" s="4" t="s">
        <v>1520</v>
      </c>
      <c r="D391" s="4" t="s">
        <v>1547</v>
      </c>
      <c r="E391" s="4" t="s">
        <v>1548</v>
      </c>
      <c r="F391" s="4" t="s">
        <v>1553</v>
      </c>
      <c r="G391" s="4" t="s">
        <v>1554</v>
      </c>
      <c r="H391" s="4" t="s">
        <v>1551</v>
      </c>
      <c r="I391" s="4" t="s">
        <v>113</v>
      </c>
      <c r="J391" s="4"/>
      <c r="K391" s="4" t="s">
        <v>1526</v>
      </c>
      <c r="L391" s="4" t="s">
        <v>71</v>
      </c>
      <c r="M391" s="4" t="s">
        <v>125</v>
      </c>
      <c r="N391" s="4" t="s">
        <v>209</v>
      </c>
      <c r="O391" s="4" t="s">
        <v>1055</v>
      </c>
      <c r="P391" s="4"/>
      <c r="Q391" s="4"/>
    </row>
    <row r="392" spans="1:17" ht="25.5">
      <c r="A392" s="3">
        <v>388</v>
      </c>
      <c r="B392" s="3" t="s">
        <v>1555</v>
      </c>
      <c r="C392" s="4" t="s">
        <v>1520</v>
      </c>
      <c r="D392" s="4" t="s">
        <v>1547</v>
      </c>
      <c r="E392" s="4" t="s">
        <v>1548</v>
      </c>
      <c r="F392" s="4" t="s">
        <v>1556</v>
      </c>
      <c r="G392" s="4" t="s">
        <v>1557</v>
      </c>
      <c r="H392" s="4" t="s">
        <v>1551</v>
      </c>
      <c r="I392" s="4" t="s">
        <v>113</v>
      </c>
      <c r="J392" s="4"/>
      <c r="K392" s="4" t="s">
        <v>1526</v>
      </c>
      <c r="L392" s="4" t="s">
        <v>71</v>
      </c>
      <c r="M392" s="4" t="s">
        <v>125</v>
      </c>
      <c r="N392" s="4" t="s">
        <v>209</v>
      </c>
      <c r="O392" s="4" t="s">
        <v>1055</v>
      </c>
      <c r="P392" s="4"/>
      <c r="Q392" s="4"/>
    </row>
    <row r="393" spans="1:17" ht="25.5">
      <c r="A393" s="3">
        <v>389</v>
      </c>
      <c r="B393" s="3" t="s">
        <v>1558</v>
      </c>
      <c r="C393" s="4" t="s">
        <v>1520</v>
      </c>
      <c r="D393" s="4" t="s">
        <v>1547</v>
      </c>
      <c r="E393" s="4" t="s">
        <v>1548</v>
      </c>
      <c r="F393" s="4" t="s">
        <v>1559</v>
      </c>
      <c r="G393" s="4" t="s">
        <v>1560</v>
      </c>
      <c r="H393" s="4" t="s">
        <v>1551</v>
      </c>
      <c r="I393" s="4" t="s">
        <v>113</v>
      </c>
      <c r="J393" s="4"/>
      <c r="K393" s="4" t="s">
        <v>1526</v>
      </c>
      <c r="L393" s="4" t="s">
        <v>71</v>
      </c>
      <c r="M393" s="4" t="s">
        <v>125</v>
      </c>
      <c r="N393" s="4" t="s">
        <v>209</v>
      </c>
      <c r="O393" s="4" t="s">
        <v>1055</v>
      </c>
      <c r="P393" s="4"/>
      <c r="Q393" s="4"/>
    </row>
    <row r="394" spans="1:17" ht="25.5">
      <c r="A394" s="3">
        <v>390</v>
      </c>
      <c r="B394" s="3" t="s">
        <v>1561</v>
      </c>
      <c r="C394" s="4" t="s">
        <v>1520</v>
      </c>
      <c r="D394" s="4" t="s">
        <v>1547</v>
      </c>
      <c r="E394" s="4" t="s">
        <v>1548</v>
      </c>
      <c r="F394" s="4" t="s">
        <v>1562</v>
      </c>
      <c r="G394" s="4" t="s">
        <v>1563</v>
      </c>
      <c r="H394" s="4" t="s">
        <v>1551</v>
      </c>
      <c r="I394" s="4" t="s">
        <v>113</v>
      </c>
      <c r="J394" s="4"/>
      <c r="K394" s="4" t="s">
        <v>1526</v>
      </c>
      <c r="L394" s="4" t="s">
        <v>71</v>
      </c>
      <c r="M394" s="4" t="s">
        <v>125</v>
      </c>
      <c r="N394" s="4" t="s">
        <v>209</v>
      </c>
      <c r="O394" s="4" t="s">
        <v>1055</v>
      </c>
      <c r="P394" s="4"/>
      <c r="Q394" s="4"/>
    </row>
    <row r="395" spans="1:17" ht="25.5">
      <c r="A395" s="3">
        <v>391</v>
      </c>
      <c r="B395" s="3" t="s">
        <v>1564</v>
      </c>
      <c r="C395" s="4" t="s">
        <v>1520</v>
      </c>
      <c r="D395" s="4" t="s">
        <v>1547</v>
      </c>
      <c r="E395" s="4" t="s">
        <v>1548</v>
      </c>
      <c r="F395" s="4" t="s">
        <v>1565</v>
      </c>
      <c r="G395" s="4" t="s">
        <v>1566</v>
      </c>
      <c r="H395" s="4" t="s">
        <v>1551</v>
      </c>
      <c r="I395" s="4" t="s">
        <v>113</v>
      </c>
      <c r="J395" s="4"/>
      <c r="K395" s="4" t="s">
        <v>1526</v>
      </c>
      <c r="L395" s="4" t="s">
        <v>28</v>
      </c>
      <c r="M395" s="4" t="s">
        <v>29</v>
      </c>
      <c r="N395" s="4" t="s">
        <v>209</v>
      </c>
      <c r="O395" s="4" t="s">
        <v>242</v>
      </c>
      <c r="P395" s="4" t="s">
        <v>1567</v>
      </c>
      <c r="Q395" s="4"/>
    </row>
    <row r="396" spans="1:17" ht="25.5">
      <c r="A396" s="3">
        <v>392</v>
      </c>
      <c r="B396" s="3" t="s">
        <v>1568</v>
      </c>
      <c r="C396" s="4" t="s">
        <v>1520</v>
      </c>
      <c r="D396" s="4" t="s">
        <v>1547</v>
      </c>
      <c r="E396" s="4" t="s">
        <v>1548</v>
      </c>
      <c r="F396" s="4" t="s">
        <v>1569</v>
      </c>
      <c r="G396" s="4" t="s">
        <v>1570</v>
      </c>
      <c r="H396" s="4" t="s">
        <v>1551</v>
      </c>
      <c r="I396" s="4" t="s">
        <v>113</v>
      </c>
      <c r="J396" s="4"/>
      <c r="K396" s="4" t="s">
        <v>1526</v>
      </c>
      <c r="L396" s="4" t="s">
        <v>71</v>
      </c>
      <c r="M396" s="4" t="s">
        <v>125</v>
      </c>
      <c r="N396" s="4" t="s">
        <v>209</v>
      </c>
      <c r="O396" s="4" t="s">
        <v>1055</v>
      </c>
      <c r="P396" s="4"/>
      <c r="Q396" s="4"/>
    </row>
    <row r="397" spans="1:17" ht="25.5">
      <c r="A397" s="3">
        <v>393</v>
      </c>
      <c r="B397" s="3" t="s">
        <v>1571</v>
      </c>
      <c r="C397" s="4" t="s">
        <v>1520</v>
      </c>
      <c r="D397" s="4" t="s">
        <v>1547</v>
      </c>
      <c r="E397" s="4" t="s">
        <v>1548</v>
      </c>
      <c r="F397" s="4" t="s">
        <v>1572</v>
      </c>
      <c r="G397" s="4" t="s">
        <v>1573</v>
      </c>
      <c r="H397" s="4" t="s">
        <v>1551</v>
      </c>
      <c r="I397" s="4" t="s">
        <v>113</v>
      </c>
      <c r="J397" s="4"/>
      <c r="K397" s="4" t="s">
        <v>1526</v>
      </c>
      <c r="L397" s="4" t="s">
        <v>71</v>
      </c>
      <c r="M397" s="4" t="s">
        <v>125</v>
      </c>
      <c r="N397" s="4" t="s">
        <v>209</v>
      </c>
      <c r="O397" s="4" t="s">
        <v>1055</v>
      </c>
      <c r="P397" s="4"/>
      <c r="Q397" s="4"/>
    </row>
    <row r="398" spans="1:17" ht="25.5">
      <c r="A398" s="3">
        <v>394</v>
      </c>
      <c r="B398" s="3" t="s">
        <v>1574</v>
      </c>
      <c r="C398" s="4" t="s">
        <v>1520</v>
      </c>
      <c r="D398" s="4" t="s">
        <v>1575</v>
      </c>
      <c r="E398" s="4" t="s">
        <v>1576</v>
      </c>
      <c r="F398" s="4" t="s">
        <v>1577</v>
      </c>
      <c r="G398" s="4" t="s">
        <v>1578</v>
      </c>
      <c r="H398" s="4" t="s">
        <v>1525</v>
      </c>
      <c r="I398" s="4" t="s">
        <v>1450</v>
      </c>
      <c r="J398" s="4"/>
      <c r="K398" s="4" t="s">
        <v>1526</v>
      </c>
      <c r="L398" s="4" t="s">
        <v>28</v>
      </c>
      <c r="M398" s="4" t="s">
        <v>29</v>
      </c>
      <c r="N398" s="4" t="s">
        <v>30</v>
      </c>
      <c r="O398" s="4" t="s">
        <v>41</v>
      </c>
      <c r="P398" s="4"/>
      <c r="Q398" s="4"/>
    </row>
    <row r="399" spans="1:17" ht="25.5">
      <c r="A399" s="3">
        <v>395</v>
      </c>
      <c r="B399" s="3" t="s">
        <v>1579</v>
      </c>
      <c r="C399" s="4" t="s">
        <v>1520</v>
      </c>
      <c r="D399" s="4" t="s">
        <v>1575</v>
      </c>
      <c r="E399" s="4" t="s">
        <v>1580</v>
      </c>
      <c r="F399" s="4" t="s">
        <v>1581</v>
      </c>
      <c r="G399" s="4" t="s">
        <v>1582</v>
      </c>
      <c r="H399" s="4" t="s">
        <v>1583</v>
      </c>
      <c r="I399" s="4" t="s">
        <v>26</v>
      </c>
      <c r="J399" s="4"/>
      <c r="K399" s="4" t="s">
        <v>1526</v>
      </c>
      <c r="L399" s="4" t="s">
        <v>28</v>
      </c>
      <c r="M399" s="4" t="s">
        <v>29</v>
      </c>
      <c r="N399" s="4" t="s">
        <v>30</v>
      </c>
      <c r="O399" s="4" t="s">
        <v>41</v>
      </c>
      <c r="P399" s="4"/>
      <c r="Q399" s="4"/>
    </row>
    <row r="400" spans="1:17" ht="25.5">
      <c r="A400" s="3">
        <v>396</v>
      </c>
      <c r="B400" s="3" t="s">
        <v>1584</v>
      </c>
      <c r="C400" s="4" t="s">
        <v>1520</v>
      </c>
      <c r="D400" s="4" t="s">
        <v>1575</v>
      </c>
      <c r="E400" s="4" t="s">
        <v>1041</v>
      </c>
      <c r="F400" s="4" t="s">
        <v>1585</v>
      </c>
      <c r="G400" s="4" t="s">
        <v>1586</v>
      </c>
      <c r="H400" s="4" t="s">
        <v>1587</v>
      </c>
      <c r="I400" s="4" t="s">
        <v>1450</v>
      </c>
      <c r="J400" s="4"/>
      <c r="K400" s="4" t="s">
        <v>1526</v>
      </c>
      <c r="L400" s="4" t="s">
        <v>71</v>
      </c>
      <c r="M400" s="4" t="s">
        <v>125</v>
      </c>
      <c r="N400" s="4" t="s">
        <v>30</v>
      </c>
      <c r="O400" s="4" t="s">
        <v>41</v>
      </c>
      <c r="P400" s="4"/>
      <c r="Q400" s="4"/>
    </row>
    <row r="401" spans="1:17" ht="25.5">
      <c r="A401" s="3">
        <v>397</v>
      </c>
      <c r="B401" s="3" t="s">
        <v>1588</v>
      </c>
      <c r="C401" s="4" t="s">
        <v>1589</v>
      </c>
      <c r="D401" s="4" t="s">
        <v>1590</v>
      </c>
      <c r="E401" s="4" t="s">
        <v>1591</v>
      </c>
      <c r="F401" s="4" t="s">
        <v>1592</v>
      </c>
      <c r="G401" s="4" t="s">
        <v>1593</v>
      </c>
      <c r="H401" s="4" t="s">
        <v>1449</v>
      </c>
      <c r="I401" s="4" t="s">
        <v>1450</v>
      </c>
      <c r="J401" s="4"/>
      <c r="K401" s="4" t="s">
        <v>1594</v>
      </c>
      <c r="L401" s="4" t="s">
        <v>28</v>
      </c>
      <c r="M401" s="4" t="s">
        <v>125</v>
      </c>
      <c r="N401" s="4" t="s">
        <v>30</v>
      </c>
      <c r="O401" s="4" t="s">
        <v>1595</v>
      </c>
      <c r="P401" s="4"/>
      <c r="Q401" s="4"/>
    </row>
    <row r="402" spans="1:17" ht="25.5">
      <c r="A402" s="3">
        <v>398</v>
      </c>
      <c r="B402" s="3" t="s">
        <v>1596</v>
      </c>
      <c r="C402" s="4" t="s">
        <v>1589</v>
      </c>
      <c r="D402" s="4" t="s">
        <v>1590</v>
      </c>
      <c r="E402" s="4" t="s">
        <v>1591</v>
      </c>
      <c r="F402" s="4" t="s">
        <v>1597</v>
      </c>
      <c r="G402" s="4" t="s">
        <v>1598</v>
      </c>
      <c r="H402" s="4" t="s">
        <v>1449</v>
      </c>
      <c r="I402" s="4" t="s">
        <v>1450</v>
      </c>
      <c r="J402" s="4"/>
      <c r="K402" s="4" t="s">
        <v>1594</v>
      </c>
      <c r="L402" s="4" t="s">
        <v>28</v>
      </c>
      <c r="M402" s="4" t="s">
        <v>125</v>
      </c>
      <c r="N402" s="4" t="s">
        <v>30</v>
      </c>
      <c r="O402" s="4" t="s">
        <v>1595</v>
      </c>
      <c r="P402" s="4"/>
      <c r="Q402" s="4"/>
    </row>
    <row r="403" spans="1:17" ht="25.5">
      <c r="A403" s="3">
        <v>399</v>
      </c>
      <c r="B403" s="3" t="s">
        <v>1599</v>
      </c>
      <c r="C403" s="4" t="s">
        <v>1589</v>
      </c>
      <c r="D403" s="4" t="s">
        <v>1590</v>
      </c>
      <c r="E403" s="4" t="s">
        <v>1591</v>
      </c>
      <c r="F403" s="4" t="s">
        <v>1600</v>
      </c>
      <c r="G403" s="4" t="s">
        <v>1601</v>
      </c>
      <c r="H403" s="4" t="s">
        <v>1449</v>
      </c>
      <c r="I403" s="4" t="s">
        <v>1450</v>
      </c>
      <c r="J403" s="4"/>
      <c r="K403" s="4" t="s">
        <v>1594</v>
      </c>
      <c r="L403" s="4" t="s">
        <v>28</v>
      </c>
      <c r="M403" s="4" t="s">
        <v>125</v>
      </c>
      <c r="N403" s="4" t="s">
        <v>30</v>
      </c>
      <c r="O403" s="4" t="s">
        <v>1595</v>
      </c>
      <c r="P403" s="4"/>
      <c r="Q403" s="4"/>
    </row>
    <row r="404" spans="1:17" ht="25.5">
      <c r="A404" s="3">
        <v>400</v>
      </c>
      <c r="B404" s="3" t="s">
        <v>1602</v>
      </c>
      <c r="C404" s="4" t="s">
        <v>1589</v>
      </c>
      <c r="D404" s="4" t="s">
        <v>1590</v>
      </c>
      <c r="E404" s="4" t="s">
        <v>1591</v>
      </c>
      <c r="F404" s="4" t="s">
        <v>1603</v>
      </c>
      <c r="G404" s="4" t="s">
        <v>1604</v>
      </c>
      <c r="H404" s="4" t="s">
        <v>1449</v>
      </c>
      <c r="I404" s="4" t="s">
        <v>1450</v>
      </c>
      <c r="J404" s="4"/>
      <c r="K404" s="4" t="s">
        <v>1594</v>
      </c>
      <c r="L404" s="4" t="s">
        <v>28</v>
      </c>
      <c r="M404" s="4" t="s">
        <v>125</v>
      </c>
      <c r="N404" s="4" t="s">
        <v>30</v>
      </c>
      <c r="O404" s="4" t="s">
        <v>1595</v>
      </c>
      <c r="P404" s="4"/>
      <c r="Q404" s="4"/>
    </row>
    <row r="405" spans="1:17" ht="25.5">
      <c r="A405" s="3">
        <v>401</v>
      </c>
      <c r="B405" s="3" t="s">
        <v>1605</v>
      </c>
      <c r="C405" s="4" t="s">
        <v>1589</v>
      </c>
      <c r="D405" s="4" t="s">
        <v>1590</v>
      </c>
      <c r="E405" s="4" t="s">
        <v>1591</v>
      </c>
      <c r="F405" s="4" t="s">
        <v>1606</v>
      </c>
      <c r="G405" s="4" t="s">
        <v>1607</v>
      </c>
      <c r="H405" s="4" t="s">
        <v>1449</v>
      </c>
      <c r="I405" s="4" t="s">
        <v>1450</v>
      </c>
      <c r="J405" s="4"/>
      <c r="K405" s="4" t="s">
        <v>1594</v>
      </c>
      <c r="L405" s="4" t="s">
        <v>28</v>
      </c>
      <c r="M405" s="4" t="s">
        <v>125</v>
      </c>
      <c r="N405" s="4" t="s">
        <v>30</v>
      </c>
      <c r="O405" s="4" t="s">
        <v>1595</v>
      </c>
      <c r="P405" s="4"/>
      <c r="Q405" s="4"/>
    </row>
    <row r="406" spans="1:17" ht="25.5">
      <c r="A406" s="3">
        <v>402</v>
      </c>
      <c r="B406" s="3" t="s">
        <v>1608</v>
      </c>
      <c r="C406" s="4" t="s">
        <v>1589</v>
      </c>
      <c r="D406" s="4" t="s">
        <v>1590</v>
      </c>
      <c r="E406" s="4" t="s">
        <v>1591</v>
      </c>
      <c r="F406" s="4" t="s">
        <v>1609</v>
      </c>
      <c r="G406" s="4" t="s">
        <v>1610</v>
      </c>
      <c r="H406" s="4" t="s">
        <v>1449</v>
      </c>
      <c r="I406" s="4" t="s">
        <v>1450</v>
      </c>
      <c r="J406" s="4"/>
      <c r="K406" s="4" t="s">
        <v>1594</v>
      </c>
      <c r="L406" s="4" t="s">
        <v>28</v>
      </c>
      <c r="M406" s="4" t="s">
        <v>125</v>
      </c>
      <c r="N406" s="4" t="s">
        <v>30</v>
      </c>
      <c r="O406" s="4" t="s">
        <v>1595</v>
      </c>
      <c r="P406" s="4"/>
      <c r="Q406" s="4"/>
    </row>
    <row r="407" spans="1:17" ht="25.5">
      <c r="A407" s="3">
        <v>403</v>
      </c>
      <c r="B407" s="3" t="s">
        <v>1611</v>
      </c>
      <c r="C407" s="4" t="s">
        <v>1589</v>
      </c>
      <c r="D407" s="4" t="s">
        <v>1590</v>
      </c>
      <c r="E407" s="4" t="s">
        <v>1591</v>
      </c>
      <c r="F407" s="4" t="s">
        <v>1612</v>
      </c>
      <c r="G407" s="4" t="s">
        <v>1613</v>
      </c>
      <c r="H407" s="4" t="s">
        <v>1449</v>
      </c>
      <c r="I407" s="4" t="s">
        <v>1450</v>
      </c>
      <c r="J407" s="4"/>
      <c r="K407" s="4" t="s">
        <v>1594</v>
      </c>
      <c r="L407" s="4" t="s">
        <v>28</v>
      </c>
      <c r="M407" s="4" t="s">
        <v>125</v>
      </c>
      <c r="N407" s="4" t="s">
        <v>30</v>
      </c>
      <c r="O407" s="4" t="s">
        <v>1595</v>
      </c>
      <c r="P407" s="4"/>
      <c r="Q407" s="4"/>
    </row>
    <row r="408" spans="1:17" ht="25.5">
      <c r="A408" s="3">
        <v>404</v>
      </c>
      <c r="B408" s="3" t="s">
        <v>1614</v>
      </c>
      <c r="C408" s="4" t="s">
        <v>1589</v>
      </c>
      <c r="D408" s="4" t="s">
        <v>1590</v>
      </c>
      <c r="E408" s="4" t="s">
        <v>1591</v>
      </c>
      <c r="F408" s="4" t="s">
        <v>1615</v>
      </c>
      <c r="G408" s="4" t="s">
        <v>1616</v>
      </c>
      <c r="H408" s="4" t="s">
        <v>1449</v>
      </c>
      <c r="I408" s="4" t="s">
        <v>1450</v>
      </c>
      <c r="J408" s="4"/>
      <c r="K408" s="4" t="s">
        <v>1594</v>
      </c>
      <c r="L408" s="4" t="s">
        <v>28</v>
      </c>
      <c r="M408" s="4" t="s">
        <v>125</v>
      </c>
      <c r="N408" s="4" t="s">
        <v>30</v>
      </c>
      <c r="O408" s="4" t="s">
        <v>1595</v>
      </c>
      <c r="P408" s="4"/>
      <c r="Q408" s="4"/>
    </row>
    <row r="409" spans="1:17" ht="25.5">
      <c r="A409" s="3">
        <v>405</v>
      </c>
      <c r="B409" s="3" t="s">
        <v>1617</v>
      </c>
      <c r="C409" s="4" t="s">
        <v>1589</v>
      </c>
      <c r="D409" s="4" t="s">
        <v>1590</v>
      </c>
      <c r="E409" s="4" t="s">
        <v>1591</v>
      </c>
      <c r="F409" s="4" t="s">
        <v>1618</v>
      </c>
      <c r="G409" s="4" t="s">
        <v>1619</v>
      </c>
      <c r="H409" s="4" t="s">
        <v>1449</v>
      </c>
      <c r="I409" s="4" t="s">
        <v>1450</v>
      </c>
      <c r="J409" s="4"/>
      <c r="K409" s="4" t="s">
        <v>1594</v>
      </c>
      <c r="L409" s="4" t="s">
        <v>28</v>
      </c>
      <c r="M409" s="4" t="s">
        <v>125</v>
      </c>
      <c r="N409" s="4" t="s">
        <v>30</v>
      </c>
      <c r="O409" s="4" t="s">
        <v>1595</v>
      </c>
      <c r="P409" s="4"/>
      <c r="Q409" s="4"/>
    </row>
    <row r="410" spans="1:17" ht="25.5">
      <c r="A410" s="3">
        <v>406</v>
      </c>
      <c r="B410" s="3" t="s">
        <v>1620</v>
      </c>
      <c r="C410" s="4" t="s">
        <v>1589</v>
      </c>
      <c r="D410" s="4" t="s">
        <v>1590</v>
      </c>
      <c r="E410" s="4" t="s">
        <v>1591</v>
      </c>
      <c r="F410" s="4" t="s">
        <v>1621</v>
      </c>
      <c r="G410" s="4" t="s">
        <v>1622</v>
      </c>
      <c r="H410" s="4" t="s">
        <v>1449</v>
      </c>
      <c r="I410" s="4" t="s">
        <v>1450</v>
      </c>
      <c r="J410" s="4"/>
      <c r="K410" s="4" t="s">
        <v>1594</v>
      </c>
      <c r="L410" s="4" t="s">
        <v>28</v>
      </c>
      <c r="M410" s="4" t="s">
        <v>125</v>
      </c>
      <c r="N410" s="4" t="s">
        <v>30</v>
      </c>
      <c r="O410" s="4" t="s">
        <v>1595</v>
      </c>
      <c r="P410" s="4"/>
      <c r="Q410" s="4"/>
    </row>
    <row r="411" spans="1:17" ht="25.5">
      <c r="A411" s="3">
        <v>407</v>
      </c>
      <c r="B411" s="3" t="s">
        <v>1623</v>
      </c>
      <c r="C411" s="4" t="s">
        <v>1589</v>
      </c>
      <c r="D411" s="4" t="s">
        <v>1624</v>
      </c>
      <c r="E411" s="4" t="s">
        <v>1625</v>
      </c>
      <c r="F411" s="4" t="s">
        <v>1626</v>
      </c>
      <c r="G411" s="4" t="s">
        <v>1627</v>
      </c>
      <c r="H411" s="4" t="s">
        <v>1628</v>
      </c>
      <c r="I411" s="4" t="s">
        <v>1450</v>
      </c>
      <c r="J411" s="4"/>
      <c r="K411" s="4" t="s">
        <v>1594</v>
      </c>
      <c r="L411" s="4" t="s">
        <v>71</v>
      </c>
      <c r="M411" s="4" t="s">
        <v>125</v>
      </c>
      <c r="N411" s="4" t="s">
        <v>30</v>
      </c>
      <c r="O411" s="4" t="s">
        <v>41</v>
      </c>
      <c r="P411" s="4"/>
      <c r="Q411" s="4"/>
    </row>
    <row r="412" spans="1:17" ht="25.5">
      <c r="A412" s="3">
        <v>408</v>
      </c>
      <c r="B412" s="3" t="s">
        <v>1629</v>
      </c>
      <c r="C412" s="4" t="s">
        <v>1589</v>
      </c>
      <c r="D412" s="4" t="s">
        <v>1624</v>
      </c>
      <c r="E412" s="4" t="s">
        <v>1630</v>
      </c>
      <c r="F412" s="4" t="s">
        <v>1631</v>
      </c>
      <c r="G412" s="4" t="s">
        <v>1632</v>
      </c>
      <c r="H412" s="4" t="s">
        <v>1633</v>
      </c>
      <c r="I412" s="4" t="s">
        <v>1450</v>
      </c>
      <c r="J412" s="4"/>
      <c r="K412" s="4" t="s">
        <v>1594</v>
      </c>
      <c r="L412" s="4" t="s">
        <v>71</v>
      </c>
      <c r="M412" s="4" t="s">
        <v>125</v>
      </c>
      <c r="N412" s="4" t="s">
        <v>30</v>
      </c>
      <c r="O412" s="4" t="s">
        <v>41</v>
      </c>
      <c r="P412" s="4"/>
      <c r="Q412" s="4"/>
    </row>
    <row r="413" spans="1:17" ht="25.5">
      <c r="A413" s="3">
        <v>409</v>
      </c>
      <c r="B413" s="3" t="s">
        <v>1634</v>
      </c>
      <c r="C413" s="4" t="s">
        <v>1635</v>
      </c>
      <c r="D413" s="4" t="s">
        <v>1636</v>
      </c>
      <c r="E413" s="4" t="s">
        <v>77</v>
      </c>
      <c r="F413" s="4" t="s">
        <v>1637</v>
      </c>
      <c r="G413" s="4" t="s">
        <v>1638</v>
      </c>
      <c r="H413" s="4" t="s">
        <v>1639</v>
      </c>
      <c r="I413" s="4" t="s">
        <v>77</v>
      </c>
      <c r="J413" s="4"/>
      <c r="K413" s="4" t="s">
        <v>1640</v>
      </c>
      <c r="L413" s="4" t="s">
        <v>28</v>
      </c>
      <c r="M413" s="4" t="s">
        <v>29</v>
      </c>
      <c r="N413" s="4" t="s">
        <v>30</v>
      </c>
      <c r="O413" s="4" t="s">
        <v>1641</v>
      </c>
      <c r="P413" s="4"/>
      <c r="Q413" s="4"/>
    </row>
    <row r="414" spans="1:17" ht="25.5">
      <c r="A414" s="3">
        <v>410</v>
      </c>
      <c r="B414" s="3" t="s">
        <v>1642</v>
      </c>
      <c r="C414" s="4" t="s">
        <v>1635</v>
      </c>
      <c r="D414" s="4" t="s">
        <v>1636</v>
      </c>
      <c r="E414" s="4" t="s">
        <v>77</v>
      </c>
      <c r="F414" s="4" t="s">
        <v>1643</v>
      </c>
      <c r="G414" s="4" t="s">
        <v>1644</v>
      </c>
      <c r="H414" s="4" t="s">
        <v>1639</v>
      </c>
      <c r="I414" s="4" t="s">
        <v>77</v>
      </c>
      <c r="J414" s="4"/>
      <c r="K414" s="4" t="s">
        <v>1640</v>
      </c>
      <c r="L414" s="4" t="s">
        <v>28</v>
      </c>
      <c r="M414" s="4" t="s">
        <v>29</v>
      </c>
      <c r="N414" s="4" t="s">
        <v>30</v>
      </c>
      <c r="O414" s="4" t="s">
        <v>1641</v>
      </c>
      <c r="P414" s="4"/>
      <c r="Q414" s="4"/>
    </row>
    <row r="415" spans="1:17" ht="25.5">
      <c r="A415" s="3">
        <v>411</v>
      </c>
      <c r="B415" s="3" t="s">
        <v>1645</v>
      </c>
      <c r="C415" s="4" t="s">
        <v>1635</v>
      </c>
      <c r="D415" s="4" t="s">
        <v>1636</v>
      </c>
      <c r="E415" s="4" t="s">
        <v>77</v>
      </c>
      <c r="F415" s="4" t="s">
        <v>1646</v>
      </c>
      <c r="G415" s="4" t="s">
        <v>1647</v>
      </c>
      <c r="H415" s="4" t="s">
        <v>1639</v>
      </c>
      <c r="I415" s="4" t="s">
        <v>77</v>
      </c>
      <c r="J415" s="4"/>
      <c r="K415" s="4" t="s">
        <v>1640</v>
      </c>
      <c r="L415" s="4" t="s">
        <v>28</v>
      </c>
      <c r="M415" s="4" t="s">
        <v>29</v>
      </c>
      <c r="N415" s="4" t="s">
        <v>30</v>
      </c>
      <c r="O415" s="4" t="s">
        <v>1641</v>
      </c>
      <c r="P415" s="4"/>
      <c r="Q415" s="4"/>
    </row>
    <row r="416" spans="1:17" ht="25.5">
      <c r="A416" s="3">
        <v>412</v>
      </c>
      <c r="B416" s="3" t="s">
        <v>1648</v>
      </c>
      <c r="C416" s="4" t="s">
        <v>1635</v>
      </c>
      <c r="D416" s="4" t="s">
        <v>1636</v>
      </c>
      <c r="E416" s="4" t="s">
        <v>77</v>
      </c>
      <c r="F416" s="4" t="s">
        <v>1649</v>
      </c>
      <c r="G416" s="4" t="s">
        <v>1650</v>
      </c>
      <c r="H416" s="4" t="s">
        <v>1639</v>
      </c>
      <c r="I416" s="4" t="s">
        <v>77</v>
      </c>
      <c r="J416" s="4"/>
      <c r="K416" s="4" t="s">
        <v>1640</v>
      </c>
      <c r="L416" s="4" t="s">
        <v>28</v>
      </c>
      <c r="M416" s="4" t="s">
        <v>29</v>
      </c>
      <c r="N416" s="4" t="s">
        <v>30</v>
      </c>
      <c r="O416" s="4" t="s">
        <v>1641</v>
      </c>
      <c r="P416" s="4"/>
      <c r="Q416" s="4"/>
    </row>
    <row r="417" spans="1:17" ht="25.5">
      <c r="A417" s="3">
        <v>413</v>
      </c>
      <c r="B417" s="3" t="s">
        <v>1651</v>
      </c>
      <c r="C417" s="4" t="s">
        <v>1635</v>
      </c>
      <c r="D417" s="4" t="s">
        <v>1636</v>
      </c>
      <c r="E417" s="4" t="s">
        <v>77</v>
      </c>
      <c r="F417" s="4" t="s">
        <v>1652</v>
      </c>
      <c r="G417" s="4" t="s">
        <v>1653</v>
      </c>
      <c r="H417" s="4" t="s">
        <v>1639</v>
      </c>
      <c r="I417" s="4" t="s">
        <v>77</v>
      </c>
      <c r="J417" s="4"/>
      <c r="K417" s="4" t="s">
        <v>1640</v>
      </c>
      <c r="L417" s="4" t="s">
        <v>28</v>
      </c>
      <c r="M417" s="4" t="s">
        <v>29</v>
      </c>
      <c r="N417" s="4" t="s">
        <v>30</v>
      </c>
      <c r="O417" s="4" t="s">
        <v>1641</v>
      </c>
      <c r="P417" s="4"/>
      <c r="Q417" s="4"/>
    </row>
    <row r="418" spans="1:17" ht="25.5">
      <c r="A418" s="3">
        <v>414</v>
      </c>
      <c r="B418" s="3" t="s">
        <v>1654</v>
      </c>
      <c r="C418" s="4" t="s">
        <v>1635</v>
      </c>
      <c r="D418" s="4" t="s">
        <v>1636</v>
      </c>
      <c r="E418" s="4" t="s">
        <v>77</v>
      </c>
      <c r="F418" s="4" t="s">
        <v>1655</v>
      </c>
      <c r="G418" s="4" t="s">
        <v>1656</v>
      </c>
      <c r="H418" s="4" t="s">
        <v>1639</v>
      </c>
      <c r="I418" s="4" t="s">
        <v>77</v>
      </c>
      <c r="J418" s="4"/>
      <c r="K418" s="4" t="s">
        <v>1640</v>
      </c>
      <c r="L418" s="4" t="s">
        <v>28</v>
      </c>
      <c r="M418" s="4" t="s">
        <v>29</v>
      </c>
      <c r="N418" s="4" t="s">
        <v>30</v>
      </c>
      <c r="O418" s="4" t="s">
        <v>1641</v>
      </c>
      <c r="P418" s="4"/>
      <c r="Q418" s="4"/>
    </row>
    <row r="419" spans="1:17" ht="25.5">
      <c r="A419" s="3">
        <v>415</v>
      </c>
      <c r="B419" s="3" t="s">
        <v>1657</v>
      </c>
      <c r="C419" s="4" t="s">
        <v>1635</v>
      </c>
      <c r="D419" s="4" t="s">
        <v>1658</v>
      </c>
      <c r="E419" s="4" t="s">
        <v>1659</v>
      </c>
      <c r="F419" s="4" t="s">
        <v>1660</v>
      </c>
      <c r="G419" s="4" t="s">
        <v>1661</v>
      </c>
      <c r="H419" s="4" t="s">
        <v>51</v>
      </c>
      <c r="I419" s="4" t="s">
        <v>83</v>
      </c>
      <c r="J419" s="4"/>
      <c r="K419" s="4" t="s">
        <v>27</v>
      </c>
      <c r="L419" s="4" t="s">
        <v>28</v>
      </c>
      <c r="M419" s="4" t="s">
        <v>29</v>
      </c>
      <c r="N419" s="4" t="s">
        <v>30</v>
      </c>
      <c r="O419" s="4" t="s">
        <v>41</v>
      </c>
      <c r="P419" s="4"/>
      <c r="Q419" s="4"/>
    </row>
    <row r="420" spans="1:17" ht="25.5">
      <c r="A420" s="3">
        <v>416</v>
      </c>
      <c r="B420" s="3" t="s">
        <v>1662</v>
      </c>
      <c r="C420" s="4" t="s">
        <v>1635</v>
      </c>
      <c r="D420" s="4" t="s">
        <v>1658</v>
      </c>
      <c r="E420" s="4" t="s">
        <v>1663</v>
      </c>
      <c r="F420" s="4" t="s">
        <v>1664</v>
      </c>
      <c r="G420" s="4" t="s">
        <v>1665</v>
      </c>
      <c r="H420" s="4" t="s">
        <v>51</v>
      </c>
      <c r="I420" s="4" t="s">
        <v>83</v>
      </c>
      <c r="J420" s="4"/>
      <c r="K420" s="4" t="s">
        <v>27</v>
      </c>
      <c r="L420" s="4" t="s">
        <v>71</v>
      </c>
      <c r="M420" s="4" t="s">
        <v>125</v>
      </c>
      <c r="N420" s="4" t="s">
        <v>30</v>
      </c>
      <c r="O420" s="4" t="s">
        <v>41</v>
      </c>
      <c r="P420" s="4"/>
      <c r="Q420" s="4"/>
    </row>
    <row r="421" spans="1:17" ht="25.5">
      <c r="A421" s="3">
        <v>417</v>
      </c>
      <c r="B421" s="3" t="s">
        <v>1666</v>
      </c>
      <c r="C421" s="4" t="s">
        <v>1635</v>
      </c>
      <c r="D421" s="4" t="s">
        <v>1658</v>
      </c>
      <c r="E421" s="4" t="s">
        <v>1667</v>
      </c>
      <c r="F421" s="4" t="s">
        <v>1668</v>
      </c>
      <c r="G421" s="4" t="s">
        <v>1669</v>
      </c>
      <c r="H421" s="4" t="s">
        <v>1449</v>
      </c>
      <c r="I421" s="4" t="s">
        <v>1450</v>
      </c>
      <c r="J421" s="4"/>
      <c r="K421" s="4" t="s">
        <v>27</v>
      </c>
      <c r="L421" s="4" t="s">
        <v>71</v>
      </c>
      <c r="M421" s="4" t="s">
        <v>125</v>
      </c>
      <c r="N421" s="4" t="s">
        <v>30</v>
      </c>
      <c r="O421" s="4" t="s">
        <v>41</v>
      </c>
      <c r="P421" s="4"/>
      <c r="Q421" s="4"/>
    </row>
    <row r="422" spans="1:17" ht="25.5">
      <c r="A422" s="3">
        <v>418</v>
      </c>
      <c r="B422" s="3" t="s">
        <v>1670</v>
      </c>
      <c r="C422" s="4" t="s">
        <v>1635</v>
      </c>
      <c r="D422" s="4" t="s">
        <v>1671</v>
      </c>
      <c r="E422" s="4" t="s">
        <v>40</v>
      </c>
      <c r="F422" s="4" t="s">
        <v>1672</v>
      </c>
      <c r="G422" s="4" t="s">
        <v>1673</v>
      </c>
      <c r="H422" s="4" t="s">
        <v>1674</v>
      </c>
      <c r="I422" s="4" t="s">
        <v>40</v>
      </c>
      <c r="J422" s="4"/>
      <c r="K422" s="4" t="s">
        <v>27</v>
      </c>
      <c r="L422" s="4" t="s">
        <v>28</v>
      </c>
      <c r="M422" s="4" t="s">
        <v>29</v>
      </c>
      <c r="N422" s="4" t="s">
        <v>30</v>
      </c>
      <c r="O422" s="4" t="s">
        <v>41</v>
      </c>
      <c r="P422" s="4"/>
      <c r="Q422" s="4"/>
    </row>
    <row r="423" spans="1:17" ht="25.5">
      <c r="A423" s="3">
        <v>419</v>
      </c>
      <c r="B423" s="3" t="s">
        <v>1675</v>
      </c>
      <c r="C423" s="4" t="s">
        <v>1635</v>
      </c>
      <c r="D423" s="4" t="s">
        <v>1671</v>
      </c>
      <c r="E423" s="4" t="s">
        <v>40</v>
      </c>
      <c r="F423" s="4" t="s">
        <v>1676</v>
      </c>
      <c r="G423" s="4" t="s">
        <v>1677</v>
      </c>
      <c r="H423" s="4" t="s">
        <v>1674</v>
      </c>
      <c r="I423" s="4" t="s">
        <v>40</v>
      </c>
      <c r="J423" s="4"/>
      <c r="K423" s="4" t="s">
        <v>27</v>
      </c>
      <c r="L423" s="4" t="s">
        <v>28</v>
      </c>
      <c r="M423" s="4" t="s">
        <v>29</v>
      </c>
      <c r="N423" s="4" t="s">
        <v>30</v>
      </c>
      <c r="O423" s="4" t="s">
        <v>41</v>
      </c>
      <c r="P423" s="4"/>
      <c r="Q423" s="4"/>
    </row>
    <row r="424" spans="1:17" ht="25.5">
      <c r="A424" s="3">
        <v>420</v>
      </c>
      <c r="B424" s="3" t="s">
        <v>1678</v>
      </c>
      <c r="C424" s="4" t="s">
        <v>1679</v>
      </c>
      <c r="D424" s="4" t="s">
        <v>1680</v>
      </c>
      <c r="E424" s="4" t="s">
        <v>1681</v>
      </c>
      <c r="F424" s="4" t="s">
        <v>1682</v>
      </c>
      <c r="G424" s="4" t="s">
        <v>1683</v>
      </c>
      <c r="H424" s="4" t="s">
        <v>25</v>
      </c>
      <c r="I424" s="4" t="s">
        <v>1684</v>
      </c>
      <c r="J424" s="4"/>
      <c r="K424" s="4" t="s">
        <v>637</v>
      </c>
      <c r="L424" s="4" t="s">
        <v>71</v>
      </c>
      <c r="M424" s="4" t="s">
        <v>125</v>
      </c>
      <c r="N424" s="4" t="s">
        <v>30</v>
      </c>
      <c r="O424" s="4" t="s">
        <v>41</v>
      </c>
      <c r="P424" s="4"/>
      <c r="Q424" s="4"/>
    </row>
    <row r="425" spans="1:17" ht="25.5">
      <c r="A425" s="3">
        <v>421</v>
      </c>
      <c r="B425" s="3" t="s">
        <v>1685</v>
      </c>
      <c r="C425" s="4" t="s">
        <v>1679</v>
      </c>
      <c r="D425" s="4" t="s">
        <v>1680</v>
      </c>
      <c r="E425" s="4" t="s">
        <v>1686</v>
      </c>
      <c r="F425" s="4" t="s">
        <v>1687</v>
      </c>
      <c r="G425" s="4" t="s">
        <v>1688</v>
      </c>
      <c r="H425" s="4" t="s">
        <v>25</v>
      </c>
      <c r="I425" s="4" t="s">
        <v>1684</v>
      </c>
      <c r="J425" s="4"/>
      <c r="K425" s="4" t="s">
        <v>637</v>
      </c>
      <c r="L425" s="4" t="s">
        <v>407</v>
      </c>
      <c r="M425" s="4" t="s">
        <v>408</v>
      </c>
      <c r="N425" s="4" t="s">
        <v>30</v>
      </c>
      <c r="O425" s="4" t="s">
        <v>41</v>
      </c>
      <c r="P425" s="4"/>
      <c r="Q425" s="4"/>
    </row>
    <row r="426" spans="1:17" ht="25.5">
      <c r="A426" s="3">
        <v>422</v>
      </c>
      <c r="B426" s="3" t="s">
        <v>1689</v>
      </c>
      <c r="C426" s="4" t="s">
        <v>1679</v>
      </c>
      <c r="D426" s="4" t="s">
        <v>1684</v>
      </c>
      <c r="E426" s="4" t="s">
        <v>1690</v>
      </c>
      <c r="F426" s="4" t="s">
        <v>1691</v>
      </c>
      <c r="G426" s="4" t="s">
        <v>1692</v>
      </c>
      <c r="H426" s="4" t="s">
        <v>25</v>
      </c>
      <c r="I426" s="4" t="s">
        <v>1684</v>
      </c>
      <c r="J426" s="4"/>
      <c r="K426" s="4" t="s">
        <v>637</v>
      </c>
      <c r="L426" s="4" t="s">
        <v>407</v>
      </c>
      <c r="M426" s="4" t="s">
        <v>408</v>
      </c>
      <c r="N426" s="4" t="s">
        <v>30</v>
      </c>
      <c r="O426" s="4" t="s">
        <v>41</v>
      </c>
      <c r="P426" s="4"/>
      <c r="Q426" s="4"/>
    </row>
    <row r="427" spans="1:17" ht="127.5">
      <c r="A427" s="3">
        <v>423</v>
      </c>
      <c r="B427" s="3" t="s">
        <v>1693</v>
      </c>
      <c r="C427" s="4" t="s">
        <v>1694</v>
      </c>
      <c r="D427" s="4" t="s">
        <v>1695</v>
      </c>
      <c r="E427" s="4" t="s">
        <v>1696</v>
      </c>
      <c r="F427" s="4" t="s">
        <v>1697</v>
      </c>
      <c r="G427" s="4" t="s">
        <v>1698</v>
      </c>
      <c r="H427" s="4" t="s">
        <v>479</v>
      </c>
      <c r="I427" s="4" t="s">
        <v>83</v>
      </c>
      <c r="J427" s="4"/>
      <c r="K427" s="4" t="s">
        <v>1699</v>
      </c>
      <c r="L427" s="4" t="s">
        <v>407</v>
      </c>
      <c r="M427" s="4" t="s">
        <v>408</v>
      </c>
      <c r="N427" s="4" t="s">
        <v>209</v>
      </c>
      <c r="O427" s="4" t="s">
        <v>1700</v>
      </c>
      <c r="P427" s="4" t="s">
        <v>1701</v>
      </c>
      <c r="Q427" s="4" t="s">
        <v>1702</v>
      </c>
    </row>
    <row r="428" spans="1:17" ht="76.5">
      <c r="A428" s="3">
        <v>424</v>
      </c>
      <c r="B428" s="3" t="s">
        <v>1703</v>
      </c>
      <c r="C428" s="4" t="s">
        <v>1694</v>
      </c>
      <c r="D428" s="4" t="s">
        <v>1695</v>
      </c>
      <c r="E428" s="4" t="s">
        <v>83</v>
      </c>
      <c r="F428" s="4" t="s">
        <v>1704</v>
      </c>
      <c r="G428" s="4" t="s">
        <v>1705</v>
      </c>
      <c r="H428" s="4" t="s">
        <v>51</v>
      </c>
      <c r="I428" s="4" t="s">
        <v>83</v>
      </c>
      <c r="J428" s="4"/>
      <c r="K428" s="4" t="s">
        <v>1699</v>
      </c>
      <c r="L428" s="4" t="s">
        <v>407</v>
      </c>
      <c r="M428" s="4" t="s">
        <v>408</v>
      </c>
      <c r="N428" s="4" t="s">
        <v>209</v>
      </c>
      <c r="O428" s="4" t="s">
        <v>1700</v>
      </c>
      <c r="P428" s="4" t="s">
        <v>1706</v>
      </c>
      <c r="Q428" s="4" t="s">
        <v>1707</v>
      </c>
    </row>
    <row r="429" spans="1:17" ht="127.5">
      <c r="A429" s="3">
        <v>425</v>
      </c>
      <c r="B429" s="3" t="s">
        <v>1708</v>
      </c>
      <c r="C429" s="4" t="s">
        <v>1694</v>
      </c>
      <c r="D429" s="4" t="s">
        <v>1695</v>
      </c>
      <c r="E429" s="4" t="s">
        <v>1709</v>
      </c>
      <c r="F429" s="4" t="s">
        <v>1710</v>
      </c>
      <c r="G429" s="4" t="s">
        <v>1711</v>
      </c>
      <c r="H429" s="4" t="s">
        <v>1712</v>
      </c>
      <c r="I429" s="4" t="s">
        <v>1713</v>
      </c>
      <c r="J429" s="4"/>
      <c r="K429" s="4" t="s">
        <v>1699</v>
      </c>
      <c r="L429" s="4" t="s">
        <v>407</v>
      </c>
      <c r="M429" s="4" t="s">
        <v>408</v>
      </c>
      <c r="N429" s="4" t="s">
        <v>209</v>
      </c>
      <c r="O429" s="4" t="s">
        <v>1700</v>
      </c>
      <c r="P429" s="4" t="s">
        <v>1714</v>
      </c>
      <c r="Q429" s="4" t="s">
        <v>1715</v>
      </c>
    </row>
    <row r="430" spans="1:17" ht="51">
      <c r="A430" s="3">
        <v>426</v>
      </c>
      <c r="B430" s="3" t="s">
        <v>1716</v>
      </c>
      <c r="C430" s="4" t="s">
        <v>1694</v>
      </c>
      <c r="D430" s="4" t="s">
        <v>1695</v>
      </c>
      <c r="E430" s="4" t="s">
        <v>1717</v>
      </c>
      <c r="F430" s="4" t="s">
        <v>1718</v>
      </c>
      <c r="G430" s="4" t="s">
        <v>1719</v>
      </c>
      <c r="H430" s="4" t="s">
        <v>1720</v>
      </c>
      <c r="I430" s="4" t="s">
        <v>1450</v>
      </c>
      <c r="J430" s="4"/>
      <c r="K430" s="4" t="s">
        <v>1699</v>
      </c>
      <c r="L430" s="4" t="s">
        <v>407</v>
      </c>
      <c r="M430" s="4" t="s">
        <v>408</v>
      </c>
      <c r="N430" s="4" t="s">
        <v>209</v>
      </c>
      <c r="O430" s="4" t="s">
        <v>1700</v>
      </c>
      <c r="P430" s="4" t="s">
        <v>1721</v>
      </c>
      <c r="Q430" s="4" t="s">
        <v>1722</v>
      </c>
    </row>
    <row r="431" spans="1:17" ht="127.5">
      <c r="A431" s="3">
        <v>427</v>
      </c>
      <c r="B431" s="3" t="s">
        <v>1723</v>
      </c>
      <c r="C431" s="4" t="s">
        <v>1694</v>
      </c>
      <c r="D431" s="4" t="s">
        <v>1695</v>
      </c>
      <c r="E431" s="4" t="s">
        <v>1724</v>
      </c>
      <c r="F431" s="4" t="s">
        <v>1725</v>
      </c>
      <c r="G431" s="4" t="s">
        <v>1726</v>
      </c>
      <c r="H431" s="4" t="s">
        <v>1727</v>
      </c>
      <c r="I431" s="4" t="s">
        <v>1713</v>
      </c>
      <c r="J431" s="4"/>
      <c r="K431" s="4" t="s">
        <v>1699</v>
      </c>
      <c r="L431" s="4" t="s">
        <v>407</v>
      </c>
      <c r="M431" s="4" t="s">
        <v>408</v>
      </c>
      <c r="N431" s="4" t="s">
        <v>209</v>
      </c>
      <c r="O431" s="4" t="s">
        <v>1700</v>
      </c>
      <c r="P431" s="4" t="s">
        <v>1728</v>
      </c>
      <c r="Q431" s="4" t="s">
        <v>1729</v>
      </c>
    </row>
    <row r="432" spans="1:17" ht="76.5">
      <c r="A432" s="3">
        <v>428</v>
      </c>
      <c r="B432" s="3" t="s">
        <v>1730</v>
      </c>
      <c r="C432" s="4" t="s">
        <v>1694</v>
      </c>
      <c r="D432" s="4" t="s">
        <v>1695</v>
      </c>
      <c r="E432" s="4" t="s">
        <v>1731</v>
      </c>
      <c r="F432" s="4" t="s">
        <v>1732</v>
      </c>
      <c r="G432" s="4" t="s">
        <v>1733</v>
      </c>
      <c r="H432" s="4" t="s">
        <v>1639</v>
      </c>
      <c r="I432" s="4" t="s">
        <v>77</v>
      </c>
      <c r="J432" s="4"/>
      <c r="K432" s="4" t="s">
        <v>1699</v>
      </c>
      <c r="L432" s="4" t="s">
        <v>407</v>
      </c>
      <c r="M432" s="4" t="s">
        <v>408</v>
      </c>
      <c r="N432" s="4" t="s">
        <v>209</v>
      </c>
      <c r="O432" s="4" t="s">
        <v>1700</v>
      </c>
      <c r="P432" s="4" t="s">
        <v>1734</v>
      </c>
      <c r="Q432" s="4" t="s">
        <v>1735</v>
      </c>
    </row>
    <row r="433" spans="1:17" ht="76.5">
      <c r="A433" s="3">
        <v>429</v>
      </c>
      <c r="B433" s="3" t="s">
        <v>1736</v>
      </c>
      <c r="C433" s="4" t="s">
        <v>1694</v>
      </c>
      <c r="D433" s="4" t="s">
        <v>1695</v>
      </c>
      <c r="E433" s="4" t="s">
        <v>40</v>
      </c>
      <c r="F433" s="4" t="s">
        <v>1737</v>
      </c>
      <c r="G433" s="4" t="s">
        <v>1738</v>
      </c>
      <c r="H433" s="4" t="s">
        <v>51</v>
      </c>
      <c r="I433" s="4" t="s">
        <v>40</v>
      </c>
      <c r="J433" s="4"/>
      <c r="K433" s="4" t="s">
        <v>1699</v>
      </c>
      <c r="L433" s="4" t="s">
        <v>407</v>
      </c>
      <c r="M433" s="4" t="s">
        <v>408</v>
      </c>
      <c r="N433" s="4" t="s">
        <v>209</v>
      </c>
      <c r="O433" s="4" t="s">
        <v>1700</v>
      </c>
      <c r="P433" s="4" t="s">
        <v>1739</v>
      </c>
      <c r="Q433" s="4" t="s">
        <v>1740</v>
      </c>
    </row>
    <row r="434" spans="1:17" ht="51">
      <c r="A434" s="3">
        <v>430</v>
      </c>
      <c r="B434" s="3" t="s">
        <v>1741</v>
      </c>
      <c r="C434" s="4" t="s">
        <v>1694</v>
      </c>
      <c r="D434" s="4" t="s">
        <v>1695</v>
      </c>
      <c r="E434" s="4" t="s">
        <v>1742</v>
      </c>
      <c r="F434" s="4" t="s">
        <v>1743</v>
      </c>
      <c r="G434" s="4" t="s">
        <v>1744</v>
      </c>
      <c r="H434" s="4" t="s">
        <v>1745</v>
      </c>
      <c r="I434" s="4" t="s">
        <v>1713</v>
      </c>
      <c r="J434" s="4"/>
      <c r="K434" s="4" t="s">
        <v>1699</v>
      </c>
      <c r="L434" s="4" t="s">
        <v>407</v>
      </c>
      <c r="M434" s="4" t="s">
        <v>408</v>
      </c>
      <c r="N434" s="4" t="s">
        <v>209</v>
      </c>
      <c r="O434" s="4" t="s">
        <v>1700</v>
      </c>
      <c r="P434" s="4" t="s">
        <v>1746</v>
      </c>
      <c r="Q434" s="4" t="s">
        <v>1747</v>
      </c>
    </row>
    <row r="435" spans="1:17" ht="51">
      <c r="A435" s="3">
        <v>431</v>
      </c>
      <c r="B435" s="3" t="s">
        <v>1748</v>
      </c>
      <c r="C435" s="4" t="s">
        <v>1694</v>
      </c>
      <c r="D435" s="4" t="s">
        <v>1749</v>
      </c>
      <c r="E435" s="4" t="s">
        <v>1750</v>
      </c>
      <c r="F435" s="4" t="s">
        <v>1751</v>
      </c>
      <c r="G435" s="4" t="s">
        <v>1752</v>
      </c>
      <c r="H435" s="4" t="s">
        <v>1753</v>
      </c>
      <c r="I435" s="4" t="s">
        <v>1713</v>
      </c>
      <c r="J435" s="4" t="s">
        <v>1754</v>
      </c>
      <c r="K435" s="4" t="s">
        <v>1699</v>
      </c>
      <c r="L435" s="4" t="s">
        <v>407</v>
      </c>
      <c r="M435" s="4" t="s">
        <v>408</v>
      </c>
      <c r="N435" s="4" t="s">
        <v>209</v>
      </c>
      <c r="O435" s="4" t="s">
        <v>1700</v>
      </c>
      <c r="P435" s="4" t="s">
        <v>1755</v>
      </c>
      <c r="Q435" s="4" t="s">
        <v>1756</v>
      </c>
    </row>
    <row r="436" spans="1:17" ht="51">
      <c r="A436" s="3">
        <v>432</v>
      </c>
      <c r="B436" s="3" t="s">
        <v>1757</v>
      </c>
      <c r="C436" s="4" t="s">
        <v>1694</v>
      </c>
      <c r="D436" s="4" t="s">
        <v>1749</v>
      </c>
      <c r="E436" s="4" t="s">
        <v>1758</v>
      </c>
      <c r="F436" s="4" t="s">
        <v>1759</v>
      </c>
      <c r="G436" s="4" t="s">
        <v>1760</v>
      </c>
      <c r="H436" s="4" t="s">
        <v>1761</v>
      </c>
      <c r="I436" s="4" t="s">
        <v>1713</v>
      </c>
      <c r="J436" s="4" t="s">
        <v>1754</v>
      </c>
      <c r="K436" s="4" t="s">
        <v>1699</v>
      </c>
      <c r="L436" s="4" t="s">
        <v>407</v>
      </c>
      <c r="M436" s="4" t="s">
        <v>408</v>
      </c>
      <c r="N436" s="4" t="s">
        <v>209</v>
      </c>
      <c r="O436" s="4" t="s">
        <v>1700</v>
      </c>
      <c r="P436" s="4" t="s">
        <v>1762</v>
      </c>
      <c r="Q436" s="4" t="s">
        <v>1763</v>
      </c>
    </row>
    <row r="437" spans="1:17" ht="51">
      <c r="A437" s="3">
        <v>433</v>
      </c>
      <c r="B437" s="3" t="s">
        <v>1764</v>
      </c>
      <c r="C437" s="4" t="s">
        <v>1694</v>
      </c>
      <c r="D437" s="4" t="s">
        <v>1749</v>
      </c>
      <c r="E437" s="4" t="s">
        <v>274</v>
      </c>
      <c r="F437" s="4" t="s">
        <v>1765</v>
      </c>
      <c r="G437" s="4" t="s">
        <v>1766</v>
      </c>
      <c r="H437" s="4" t="s">
        <v>1761</v>
      </c>
      <c r="I437" s="4" t="s">
        <v>1713</v>
      </c>
      <c r="J437" s="4" t="s">
        <v>1754</v>
      </c>
      <c r="K437" s="4" t="s">
        <v>1699</v>
      </c>
      <c r="L437" s="4" t="s">
        <v>407</v>
      </c>
      <c r="M437" s="4" t="s">
        <v>408</v>
      </c>
      <c r="N437" s="4" t="s">
        <v>209</v>
      </c>
      <c r="O437" s="4" t="s">
        <v>1700</v>
      </c>
      <c r="P437" s="4" t="s">
        <v>1767</v>
      </c>
      <c r="Q437" s="4" t="s">
        <v>1768</v>
      </c>
    </row>
    <row r="438" spans="1:17" ht="51">
      <c r="A438" s="3">
        <v>434</v>
      </c>
      <c r="B438" s="3" t="s">
        <v>1769</v>
      </c>
      <c r="C438" s="4" t="s">
        <v>1694</v>
      </c>
      <c r="D438" s="4" t="s">
        <v>1749</v>
      </c>
      <c r="E438" s="4" t="s">
        <v>1770</v>
      </c>
      <c r="F438" s="4" t="s">
        <v>1771</v>
      </c>
      <c r="G438" s="4" t="s">
        <v>1772</v>
      </c>
      <c r="H438" s="4" t="s">
        <v>1761</v>
      </c>
      <c r="I438" s="4" t="s">
        <v>1713</v>
      </c>
      <c r="J438" s="4" t="s">
        <v>1754</v>
      </c>
      <c r="K438" s="4" t="s">
        <v>1699</v>
      </c>
      <c r="L438" s="4" t="s">
        <v>407</v>
      </c>
      <c r="M438" s="4" t="s">
        <v>408</v>
      </c>
      <c r="N438" s="4" t="s">
        <v>209</v>
      </c>
      <c r="O438" s="4" t="s">
        <v>1700</v>
      </c>
      <c r="P438" s="4" t="s">
        <v>1773</v>
      </c>
      <c r="Q438" s="4" t="s">
        <v>1774</v>
      </c>
    </row>
    <row r="439" spans="1:17" ht="51">
      <c r="A439" s="3">
        <v>435</v>
      </c>
      <c r="B439" s="3" t="s">
        <v>1775</v>
      </c>
      <c r="C439" s="4" t="s">
        <v>1694</v>
      </c>
      <c r="D439" s="4" t="s">
        <v>1776</v>
      </c>
      <c r="E439" s="4" t="s">
        <v>1758</v>
      </c>
      <c r="F439" s="4" t="s">
        <v>1777</v>
      </c>
      <c r="G439" s="4" t="s">
        <v>1778</v>
      </c>
      <c r="H439" s="4" t="s">
        <v>1779</v>
      </c>
      <c r="I439" s="4" t="s">
        <v>1713</v>
      </c>
      <c r="J439" s="4" t="s">
        <v>1780</v>
      </c>
      <c r="K439" s="4" t="s">
        <v>1699</v>
      </c>
      <c r="L439" s="4" t="s">
        <v>407</v>
      </c>
      <c r="M439" s="4" t="s">
        <v>408</v>
      </c>
      <c r="N439" s="4" t="s">
        <v>209</v>
      </c>
      <c r="O439" s="4" t="s">
        <v>1700</v>
      </c>
      <c r="P439" s="4" t="s">
        <v>1762</v>
      </c>
      <c r="Q439" s="4" t="s">
        <v>1763</v>
      </c>
    </row>
    <row r="440" spans="1:17" ht="51">
      <c r="A440" s="3">
        <v>436</v>
      </c>
      <c r="B440" s="3" t="s">
        <v>1781</v>
      </c>
      <c r="C440" s="4" t="s">
        <v>1694</v>
      </c>
      <c r="D440" s="4" t="s">
        <v>1776</v>
      </c>
      <c r="E440" s="4" t="s">
        <v>274</v>
      </c>
      <c r="F440" s="4" t="s">
        <v>1782</v>
      </c>
      <c r="G440" s="4" t="s">
        <v>1783</v>
      </c>
      <c r="H440" s="4" t="s">
        <v>1779</v>
      </c>
      <c r="I440" s="4" t="s">
        <v>1713</v>
      </c>
      <c r="J440" s="4" t="s">
        <v>1780</v>
      </c>
      <c r="K440" s="4" t="s">
        <v>1699</v>
      </c>
      <c r="L440" s="4" t="s">
        <v>407</v>
      </c>
      <c r="M440" s="4" t="s">
        <v>408</v>
      </c>
      <c r="N440" s="4" t="s">
        <v>209</v>
      </c>
      <c r="O440" s="4" t="s">
        <v>1700</v>
      </c>
      <c r="P440" s="4" t="s">
        <v>1767</v>
      </c>
      <c r="Q440" s="4" t="s">
        <v>1768</v>
      </c>
    </row>
    <row r="441" spans="1:17" ht="51">
      <c r="A441" s="3">
        <v>437</v>
      </c>
      <c r="B441" s="3" t="s">
        <v>1784</v>
      </c>
      <c r="C441" s="4" t="s">
        <v>1694</v>
      </c>
      <c r="D441" s="4" t="s">
        <v>1776</v>
      </c>
      <c r="E441" s="4" t="s">
        <v>1770</v>
      </c>
      <c r="F441" s="4" t="s">
        <v>1785</v>
      </c>
      <c r="G441" s="4" t="s">
        <v>1786</v>
      </c>
      <c r="H441" s="4" t="s">
        <v>1779</v>
      </c>
      <c r="I441" s="4" t="s">
        <v>1713</v>
      </c>
      <c r="J441" s="4" t="s">
        <v>1780</v>
      </c>
      <c r="K441" s="4" t="s">
        <v>1699</v>
      </c>
      <c r="L441" s="4" t="s">
        <v>407</v>
      </c>
      <c r="M441" s="4" t="s">
        <v>408</v>
      </c>
      <c r="N441" s="4" t="s">
        <v>209</v>
      </c>
      <c r="O441" s="4" t="s">
        <v>1700</v>
      </c>
      <c r="P441" s="4" t="s">
        <v>1773</v>
      </c>
      <c r="Q441" s="4" t="s">
        <v>1774</v>
      </c>
    </row>
    <row r="442" spans="1:17" ht="76.5">
      <c r="A442" s="3">
        <v>438</v>
      </c>
      <c r="B442" s="3" t="s">
        <v>1787</v>
      </c>
      <c r="C442" s="4" t="s">
        <v>1694</v>
      </c>
      <c r="D442" s="4" t="s">
        <v>1788</v>
      </c>
      <c r="E442" s="4" t="s">
        <v>1758</v>
      </c>
      <c r="F442" s="4" t="s">
        <v>1789</v>
      </c>
      <c r="G442" s="4" t="s">
        <v>1790</v>
      </c>
      <c r="H442" s="4" t="s">
        <v>1791</v>
      </c>
      <c r="I442" s="4" t="s">
        <v>1713</v>
      </c>
      <c r="J442" s="4" t="s">
        <v>959</v>
      </c>
      <c r="K442" s="4" t="s">
        <v>1699</v>
      </c>
      <c r="L442" s="4" t="s">
        <v>407</v>
      </c>
      <c r="M442" s="4" t="s">
        <v>408</v>
      </c>
      <c r="N442" s="4" t="s">
        <v>209</v>
      </c>
      <c r="O442" s="4" t="s">
        <v>1700</v>
      </c>
      <c r="P442" s="4" t="s">
        <v>1792</v>
      </c>
      <c r="Q442" s="4" t="s">
        <v>1793</v>
      </c>
    </row>
    <row r="443" spans="1:17" ht="76.5">
      <c r="A443" s="3">
        <v>439</v>
      </c>
      <c r="B443" s="3" t="s">
        <v>1794</v>
      </c>
      <c r="C443" s="4" t="s">
        <v>1694</v>
      </c>
      <c r="D443" s="4" t="s">
        <v>1788</v>
      </c>
      <c r="E443" s="4" t="s">
        <v>274</v>
      </c>
      <c r="F443" s="4" t="s">
        <v>1795</v>
      </c>
      <c r="G443" s="4" t="s">
        <v>1796</v>
      </c>
      <c r="H443" s="4" t="s">
        <v>1791</v>
      </c>
      <c r="I443" s="4" t="s">
        <v>1713</v>
      </c>
      <c r="J443" s="4" t="s">
        <v>959</v>
      </c>
      <c r="K443" s="4" t="s">
        <v>1699</v>
      </c>
      <c r="L443" s="4" t="s">
        <v>407</v>
      </c>
      <c r="M443" s="4" t="s">
        <v>408</v>
      </c>
      <c r="N443" s="4" t="s">
        <v>209</v>
      </c>
      <c r="O443" s="4" t="s">
        <v>1700</v>
      </c>
      <c r="P443" s="4" t="s">
        <v>1797</v>
      </c>
      <c r="Q443" s="4" t="s">
        <v>1798</v>
      </c>
    </row>
    <row r="444" spans="1:17" ht="51">
      <c r="A444" s="3">
        <v>440</v>
      </c>
      <c r="B444" s="3" t="s">
        <v>1799</v>
      </c>
      <c r="C444" s="4" t="s">
        <v>1694</v>
      </c>
      <c r="D444" s="4" t="s">
        <v>1788</v>
      </c>
      <c r="E444" s="4" t="s">
        <v>1770</v>
      </c>
      <c r="F444" s="4" t="s">
        <v>1800</v>
      </c>
      <c r="G444" s="4" t="s">
        <v>1801</v>
      </c>
      <c r="H444" s="4" t="s">
        <v>1791</v>
      </c>
      <c r="I444" s="4" t="s">
        <v>1713</v>
      </c>
      <c r="J444" s="4" t="s">
        <v>959</v>
      </c>
      <c r="K444" s="4" t="s">
        <v>1699</v>
      </c>
      <c r="L444" s="4" t="s">
        <v>407</v>
      </c>
      <c r="M444" s="4" t="s">
        <v>408</v>
      </c>
      <c r="N444" s="4" t="s">
        <v>209</v>
      </c>
      <c r="O444" s="4" t="s">
        <v>1700</v>
      </c>
      <c r="P444" s="4" t="s">
        <v>1773</v>
      </c>
      <c r="Q444" s="4" t="s">
        <v>1774</v>
      </c>
    </row>
    <row r="445" spans="1:17" ht="51">
      <c r="A445" s="3">
        <v>441</v>
      </c>
      <c r="B445" s="3" t="s">
        <v>1802</v>
      </c>
      <c r="C445" s="4" t="s">
        <v>1694</v>
      </c>
      <c r="D445" s="4" t="s">
        <v>1803</v>
      </c>
      <c r="E445" s="4" t="s">
        <v>1804</v>
      </c>
      <c r="F445" s="4" t="s">
        <v>1805</v>
      </c>
      <c r="G445" s="4" t="s">
        <v>1806</v>
      </c>
      <c r="H445" s="4" t="s">
        <v>284</v>
      </c>
      <c r="I445" s="4" t="s">
        <v>1713</v>
      </c>
      <c r="J445" s="4" t="s">
        <v>657</v>
      </c>
      <c r="K445" s="4" t="s">
        <v>1699</v>
      </c>
      <c r="L445" s="4" t="s">
        <v>407</v>
      </c>
      <c r="M445" s="4" t="s">
        <v>408</v>
      </c>
      <c r="N445" s="4" t="s">
        <v>209</v>
      </c>
      <c r="O445" s="4" t="s">
        <v>1700</v>
      </c>
      <c r="P445" s="4" t="s">
        <v>1807</v>
      </c>
      <c r="Q445" s="4" t="s">
        <v>1808</v>
      </c>
    </row>
    <row r="446" spans="1:17" ht="51">
      <c r="A446" s="3">
        <v>442</v>
      </c>
      <c r="B446" s="3" t="s">
        <v>1809</v>
      </c>
      <c r="C446" s="4" t="s">
        <v>1694</v>
      </c>
      <c r="D446" s="4" t="s">
        <v>1803</v>
      </c>
      <c r="E446" s="4" t="s">
        <v>1750</v>
      </c>
      <c r="F446" s="4" t="s">
        <v>1810</v>
      </c>
      <c r="G446" s="4" t="s">
        <v>1811</v>
      </c>
      <c r="H446" s="4" t="s">
        <v>284</v>
      </c>
      <c r="I446" s="4" t="s">
        <v>1713</v>
      </c>
      <c r="J446" s="4" t="s">
        <v>699</v>
      </c>
      <c r="K446" s="4" t="s">
        <v>1699</v>
      </c>
      <c r="L446" s="4" t="s">
        <v>407</v>
      </c>
      <c r="M446" s="4" t="s">
        <v>408</v>
      </c>
      <c r="N446" s="4" t="s">
        <v>209</v>
      </c>
      <c r="O446" s="4" t="s">
        <v>1700</v>
      </c>
      <c r="P446" s="4" t="s">
        <v>1755</v>
      </c>
      <c r="Q446" s="4" t="s">
        <v>1756</v>
      </c>
    </row>
    <row r="447" spans="1:17" ht="51">
      <c r="A447" s="3">
        <v>443</v>
      </c>
      <c r="B447" s="3" t="s">
        <v>1812</v>
      </c>
      <c r="C447" s="4" t="s">
        <v>1694</v>
      </c>
      <c r="D447" s="4" t="s">
        <v>1803</v>
      </c>
      <c r="E447" s="4" t="s">
        <v>1770</v>
      </c>
      <c r="F447" s="4" t="s">
        <v>1813</v>
      </c>
      <c r="G447" s="4" t="s">
        <v>1814</v>
      </c>
      <c r="H447" s="4" t="s">
        <v>284</v>
      </c>
      <c r="I447" s="4" t="s">
        <v>1713</v>
      </c>
      <c r="J447" s="4" t="s">
        <v>657</v>
      </c>
      <c r="K447" s="4" t="s">
        <v>1699</v>
      </c>
      <c r="L447" s="4" t="s">
        <v>407</v>
      </c>
      <c r="M447" s="4" t="s">
        <v>408</v>
      </c>
      <c r="N447" s="4" t="s">
        <v>209</v>
      </c>
      <c r="O447" s="4" t="s">
        <v>1700</v>
      </c>
      <c r="P447" s="4" t="s">
        <v>1773</v>
      </c>
      <c r="Q447" s="4" t="s">
        <v>1774</v>
      </c>
    </row>
    <row r="448" spans="1:17" ht="51">
      <c r="A448" s="3">
        <v>444</v>
      </c>
      <c r="B448" s="3" t="s">
        <v>1815</v>
      </c>
      <c r="C448" s="4" t="s">
        <v>1694</v>
      </c>
      <c r="D448" s="4" t="s">
        <v>1816</v>
      </c>
      <c r="E448" s="4" t="s">
        <v>1817</v>
      </c>
      <c r="F448" s="4" t="s">
        <v>1818</v>
      </c>
      <c r="G448" s="4" t="s">
        <v>1819</v>
      </c>
      <c r="H448" s="4" t="s">
        <v>1820</v>
      </c>
      <c r="I448" s="4" t="s">
        <v>1713</v>
      </c>
      <c r="J448" s="4" t="s">
        <v>1054</v>
      </c>
      <c r="K448" s="4" t="s">
        <v>1699</v>
      </c>
      <c r="L448" s="4" t="s">
        <v>407</v>
      </c>
      <c r="M448" s="4" t="s">
        <v>408</v>
      </c>
      <c r="N448" s="4" t="s">
        <v>209</v>
      </c>
      <c r="O448" s="4" t="s">
        <v>1700</v>
      </c>
      <c r="P448" s="4" t="s">
        <v>1755</v>
      </c>
      <c r="Q448" s="4" t="s">
        <v>1756</v>
      </c>
    </row>
    <row r="449" spans="1:17" ht="51">
      <c r="A449" s="3">
        <v>445</v>
      </c>
      <c r="B449" s="3" t="s">
        <v>1821</v>
      </c>
      <c r="C449" s="4" t="s">
        <v>1694</v>
      </c>
      <c r="D449" s="4" t="s">
        <v>1816</v>
      </c>
      <c r="E449" s="4" t="s">
        <v>1822</v>
      </c>
      <c r="F449" s="4" t="s">
        <v>1823</v>
      </c>
      <c r="G449" s="4" t="s">
        <v>1824</v>
      </c>
      <c r="H449" s="4" t="s">
        <v>1820</v>
      </c>
      <c r="I449" s="4" t="s">
        <v>1713</v>
      </c>
      <c r="J449" s="4" t="s">
        <v>1054</v>
      </c>
      <c r="K449" s="4" t="s">
        <v>1699</v>
      </c>
      <c r="L449" s="4" t="s">
        <v>407</v>
      </c>
      <c r="M449" s="4" t="s">
        <v>408</v>
      </c>
      <c r="N449" s="4" t="s">
        <v>209</v>
      </c>
      <c r="O449" s="4" t="s">
        <v>1700</v>
      </c>
      <c r="P449" s="4" t="s">
        <v>1807</v>
      </c>
      <c r="Q449" s="4" t="s">
        <v>1808</v>
      </c>
    </row>
    <row r="450" spans="1:17" ht="51">
      <c r="A450" s="3">
        <v>446</v>
      </c>
      <c r="B450" s="3" t="s">
        <v>1825</v>
      </c>
      <c r="C450" s="4" t="s">
        <v>1694</v>
      </c>
      <c r="D450" s="4" t="s">
        <v>1816</v>
      </c>
      <c r="E450" s="4" t="s">
        <v>1770</v>
      </c>
      <c r="F450" s="4" t="s">
        <v>1826</v>
      </c>
      <c r="G450" s="4" t="s">
        <v>1827</v>
      </c>
      <c r="H450" s="4" t="s">
        <v>1820</v>
      </c>
      <c r="I450" s="4" t="s">
        <v>1713</v>
      </c>
      <c r="J450" s="4" t="s">
        <v>1054</v>
      </c>
      <c r="K450" s="4" t="s">
        <v>1699</v>
      </c>
      <c r="L450" s="4" t="s">
        <v>407</v>
      </c>
      <c r="M450" s="4" t="s">
        <v>408</v>
      </c>
      <c r="N450" s="4" t="s">
        <v>209</v>
      </c>
      <c r="O450" s="4" t="s">
        <v>1700</v>
      </c>
      <c r="P450" s="4" t="s">
        <v>1773</v>
      </c>
      <c r="Q450" s="4" t="s">
        <v>1774</v>
      </c>
    </row>
    <row r="451" spans="1:17" ht="51">
      <c r="A451" s="3">
        <v>447</v>
      </c>
      <c r="B451" s="3" t="s">
        <v>1828</v>
      </c>
      <c r="C451" s="4" t="s">
        <v>1694</v>
      </c>
      <c r="D451" s="4" t="s">
        <v>1829</v>
      </c>
      <c r="E451" s="4" t="s">
        <v>1830</v>
      </c>
      <c r="F451" s="4" t="s">
        <v>1831</v>
      </c>
      <c r="G451" s="4" t="s">
        <v>1832</v>
      </c>
      <c r="H451" s="4" t="s">
        <v>1104</v>
      </c>
      <c r="I451" s="4" t="s">
        <v>1713</v>
      </c>
      <c r="J451" s="4" t="s">
        <v>1081</v>
      </c>
      <c r="K451" s="4" t="s">
        <v>1699</v>
      </c>
      <c r="L451" s="4" t="s">
        <v>407</v>
      </c>
      <c r="M451" s="4" t="s">
        <v>408</v>
      </c>
      <c r="N451" s="4" t="s">
        <v>209</v>
      </c>
      <c r="O451" s="4" t="s">
        <v>1700</v>
      </c>
      <c r="P451" s="4" t="s">
        <v>1762</v>
      </c>
      <c r="Q451" s="4" t="s">
        <v>1763</v>
      </c>
    </row>
    <row r="452" spans="1:17" ht="51">
      <c r="A452" s="3">
        <v>448</v>
      </c>
      <c r="B452" s="3" t="s">
        <v>1833</v>
      </c>
      <c r="C452" s="4" t="s">
        <v>1694</v>
      </c>
      <c r="D452" s="4" t="s">
        <v>1829</v>
      </c>
      <c r="E452" s="4" t="s">
        <v>230</v>
      </c>
      <c r="F452" s="4" t="s">
        <v>1834</v>
      </c>
      <c r="G452" s="4" t="s">
        <v>1835</v>
      </c>
      <c r="H452" s="4" t="s">
        <v>1104</v>
      </c>
      <c r="I452" s="4" t="s">
        <v>1713</v>
      </c>
      <c r="J452" s="4" t="s">
        <v>1081</v>
      </c>
      <c r="K452" s="4" t="s">
        <v>1699</v>
      </c>
      <c r="L452" s="4" t="s">
        <v>407</v>
      </c>
      <c r="M452" s="4" t="s">
        <v>408</v>
      </c>
      <c r="N452" s="4" t="s">
        <v>209</v>
      </c>
      <c r="O452" s="4" t="s">
        <v>1700</v>
      </c>
      <c r="P452" s="4" t="s">
        <v>1755</v>
      </c>
      <c r="Q452" s="4" t="s">
        <v>1756</v>
      </c>
    </row>
    <row r="453" spans="1:17" ht="51">
      <c r="A453" s="3">
        <v>449</v>
      </c>
      <c r="B453" s="3" t="s">
        <v>1836</v>
      </c>
      <c r="C453" s="4" t="s">
        <v>1694</v>
      </c>
      <c r="D453" s="4" t="s">
        <v>1829</v>
      </c>
      <c r="E453" s="4" t="s">
        <v>1770</v>
      </c>
      <c r="F453" s="4" t="s">
        <v>1837</v>
      </c>
      <c r="G453" s="4" t="s">
        <v>1838</v>
      </c>
      <c r="H453" s="4" t="s">
        <v>1104</v>
      </c>
      <c r="I453" s="4" t="s">
        <v>1713</v>
      </c>
      <c r="J453" s="4" t="s">
        <v>1081</v>
      </c>
      <c r="K453" s="4" t="s">
        <v>1699</v>
      </c>
      <c r="L453" s="4" t="s">
        <v>407</v>
      </c>
      <c r="M453" s="4" t="s">
        <v>408</v>
      </c>
      <c r="N453" s="4" t="s">
        <v>209</v>
      </c>
      <c r="O453" s="4" t="s">
        <v>1700</v>
      </c>
      <c r="P453" s="4" t="s">
        <v>1773</v>
      </c>
      <c r="Q453" s="4" t="s">
        <v>1774</v>
      </c>
    </row>
    <row r="454" spans="1:17" ht="51">
      <c r="A454" s="3">
        <v>450</v>
      </c>
      <c r="B454" s="3" t="s">
        <v>1839</v>
      </c>
      <c r="C454" s="4" t="s">
        <v>1694</v>
      </c>
      <c r="D454" s="4" t="s">
        <v>1840</v>
      </c>
      <c r="E454" s="4" t="s">
        <v>1830</v>
      </c>
      <c r="F454" s="4" t="s">
        <v>1841</v>
      </c>
      <c r="G454" s="4" t="s">
        <v>1842</v>
      </c>
      <c r="H454" s="4" t="s">
        <v>1843</v>
      </c>
      <c r="I454" s="4" t="s">
        <v>1713</v>
      </c>
      <c r="J454" s="4" t="s">
        <v>1844</v>
      </c>
      <c r="K454" s="4" t="s">
        <v>1699</v>
      </c>
      <c r="L454" s="4" t="s">
        <v>407</v>
      </c>
      <c r="M454" s="4" t="s">
        <v>408</v>
      </c>
      <c r="N454" s="4" t="s">
        <v>209</v>
      </c>
      <c r="O454" s="4" t="s">
        <v>1700</v>
      </c>
      <c r="P454" s="4" t="s">
        <v>1762</v>
      </c>
      <c r="Q454" s="4" t="s">
        <v>1763</v>
      </c>
    </row>
    <row r="455" spans="1:17" ht="51">
      <c r="A455" s="3">
        <v>451</v>
      </c>
      <c r="B455" s="3" t="s">
        <v>1845</v>
      </c>
      <c r="C455" s="4" t="s">
        <v>1694</v>
      </c>
      <c r="D455" s="4" t="s">
        <v>1840</v>
      </c>
      <c r="E455" s="4" t="s">
        <v>1846</v>
      </c>
      <c r="F455" s="4" t="s">
        <v>1847</v>
      </c>
      <c r="G455" s="4" t="s">
        <v>1848</v>
      </c>
      <c r="H455" s="4" t="s">
        <v>1843</v>
      </c>
      <c r="I455" s="4" t="s">
        <v>1713</v>
      </c>
      <c r="J455" s="4" t="s">
        <v>1844</v>
      </c>
      <c r="K455" s="4" t="s">
        <v>1699</v>
      </c>
      <c r="L455" s="4" t="s">
        <v>407</v>
      </c>
      <c r="M455" s="4" t="s">
        <v>408</v>
      </c>
      <c r="N455" s="4" t="s">
        <v>209</v>
      </c>
      <c r="O455" s="4" t="s">
        <v>1700</v>
      </c>
      <c r="P455" s="4" t="s">
        <v>1755</v>
      </c>
      <c r="Q455" s="4" t="s">
        <v>1756</v>
      </c>
    </row>
    <row r="456" spans="1:17" ht="51">
      <c r="A456" s="3">
        <v>452</v>
      </c>
      <c r="B456" s="3" t="s">
        <v>1849</v>
      </c>
      <c r="C456" s="4" t="s">
        <v>1694</v>
      </c>
      <c r="D456" s="4" t="s">
        <v>1840</v>
      </c>
      <c r="E456" s="4" t="s">
        <v>274</v>
      </c>
      <c r="F456" s="4" t="s">
        <v>1850</v>
      </c>
      <c r="G456" s="4" t="s">
        <v>1851</v>
      </c>
      <c r="H456" s="4" t="s">
        <v>1843</v>
      </c>
      <c r="I456" s="4" t="s">
        <v>1713</v>
      </c>
      <c r="J456" s="4" t="s">
        <v>1844</v>
      </c>
      <c r="K456" s="4" t="s">
        <v>1699</v>
      </c>
      <c r="L456" s="4" t="s">
        <v>407</v>
      </c>
      <c r="M456" s="4" t="s">
        <v>408</v>
      </c>
      <c r="N456" s="4" t="s">
        <v>209</v>
      </c>
      <c r="O456" s="4" t="s">
        <v>1700</v>
      </c>
      <c r="P456" s="4" t="s">
        <v>1767</v>
      </c>
      <c r="Q456" s="4" t="s">
        <v>1768</v>
      </c>
    </row>
    <row r="457" spans="1:17" ht="51">
      <c r="A457" s="3">
        <v>453</v>
      </c>
      <c r="B457" s="3" t="s">
        <v>1852</v>
      </c>
      <c r="C457" s="4" t="s">
        <v>1694</v>
      </c>
      <c r="D457" s="4" t="s">
        <v>1840</v>
      </c>
      <c r="E457" s="4" t="s">
        <v>1770</v>
      </c>
      <c r="F457" s="4" t="s">
        <v>1853</v>
      </c>
      <c r="G457" s="4" t="s">
        <v>1854</v>
      </c>
      <c r="H457" s="4" t="s">
        <v>1843</v>
      </c>
      <c r="I457" s="4" t="s">
        <v>1713</v>
      </c>
      <c r="J457" s="4" t="s">
        <v>1844</v>
      </c>
      <c r="K457" s="4" t="s">
        <v>1699</v>
      </c>
      <c r="L457" s="4" t="s">
        <v>407</v>
      </c>
      <c r="M457" s="4" t="s">
        <v>408</v>
      </c>
      <c r="N457" s="4" t="s">
        <v>209</v>
      </c>
      <c r="O457" s="4" t="s">
        <v>1700</v>
      </c>
      <c r="P457" s="4" t="s">
        <v>1773</v>
      </c>
      <c r="Q457" s="4" t="s">
        <v>1774</v>
      </c>
    </row>
  </sheetData>
  <mergeCells count="2">
    <mergeCell ref="A1:Q1"/>
    <mergeCell ref="A2:Q2"/>
  </mergeCells>
  <conditionalFormatting sqref="L5:L457">
    <cfRule type="expression" dxfId="4" priority="1" stopIfTrue="1">
      <formula>$L5="Must"</formula>
    </cfRule>
    <cfRule type="expression" dxfId="3" priority="2" stopIfTrue="1">
      <formula>$L5="Should"</formula>
    </cfRule>
    <cfRule type="expression" dxfId="2" priority="3" stopIfTrue="1">
      <formula>$L5="Could"</formula>
    </cfRule>
    <cfRule type="expression" dxfId="1" priority="4" stopIfTrue="1">
      <formula>$L5="Won't/Để sau"</formula>
    </cfRule>
  </conditionalFormatting>
  <conditionalFormatting sqref="N5:N457">
    <cfRule type="expression" dxfId="0" priority="5" stopIfTrue="1">
      <formula>$N5="Cần xác nhận"</formula>
    </cfRule>
  </conditionalFormatting>
  <dataValidations count="3">
    <dataValidation type="list" allowBlank="1" showInputMessage="1" showErrorMessage="1" sqref="N5:N457">
      <formula1>FSL_ScopeStatus</formula1>
    </dataValidation>
    <dataValidation type="list" allowBlank="1" showInputMessage="1" showErrorMessage="1" sqref="M5:M457">
      <formula1>FSL_Release</formula1>
    </dataValidation>
    <dataValidation type="list" allowBlank="1" showInputMessage="1" showErrorMessage="1" sqref="L5:L457">
      <formula1>FSL_Priority</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showGridLines="0" workbookViewId="0"/>
  </sheetViews>
  <sheetFormatPr defaultRowHeight="12.75"/>
  <cols>
    <col min="1" max="6" width="24.7109375" style="1" customWidth="1"/>
    <col min="7" max="16384" width="9.140625" style="1"/>
  </cols>
  <sheetData>
    <row r="1" spans="1:6" ht="33.950000000000003" customHeight="1">
      <c r="A1" s="5" t="s">
        <v>1855</v>
      </c>
      <c r="B1" s="5" t="s">
        <v>13</v>
      </c>
      <c r="C1" s="5" t="s">
        <v>1856</v>
      </c>
      <c r="D1" s="5" t="s">
        <v>1857</v>
      </c>
      <c r="E1" s="5" t="s">
        <v>1858</v>
      </c>
      <c r="F1" s="5" t="s">
        <v>1859</v>
      </c>
    </row>
    <row r="2" spans="1:6">
      <c r="A2" s="1" t="s">
        <v>1860</v>
      </c>
      <c r="B2" s="1" t="s">
        <v>28</v>
      </c>
      <c r="C2" s="1" t="s">
        <v>29</v>
      </c>
      <c r="D2" s="1" t="s">
        <v>30</v>
      </c>
      <c r="E2" s="1" t="s">
        <v>1865</v>
      </c>
      <c r="F2" s="1" t="s">
        <v>1870</v>
      </c>
    </row>
    <row r="3" spans="1:6">
      <c r="A3" s="1" t="s">
        <v>1861</v>
      </c>
      <c r="B3" s="1" t="s">
        <v>71</v>
      </c>
      <c r="C3" s="1" t="s">
        <v>125</v>
      </c>
      <c r="D3" s="1" t="s">
        <v>209</v>
      </c>
      <c r="E3" s="1" t="s">
        <v>1866</v>
      </c>
      <c r="F3" s="1" t="s">
        <v>1871</v>
      </c>
    </row>
    <row r="4" spans="1:6">
      <c r="A4" s="1" t="s">
        <v>1862</v>
      </c>
      <c r="B4" s="1" t="s">
        <v>407</v>
      </c>
      <c r="C4" s="1" t="s">
        <v>408</v>
      </c>
      <c r="E4" s="1" t="s">
        <v>1867</v>
      </c>
      <c r="F4" s="1" t="s">
        <v>1872</v>
      </c>
    </row>
    <row r="5" spans="1:6">
      <c r="A5" s="1" t="s">
        <v>1863</v>
      </c>
      <c r="E5" s="1" t="s">
        <v>1868</v>
      </c>
      <c r="F5" s="1" t="s">
        <v>1873</v>
      </c>
    </row>
    <row r="6" spans="1:6">
      <c r="A6" s="1" t="s">
        <v>1864</v>
      </c>
      <c r="E6" s="1" t="s">
        <v>1869</v>
      </c>
      <c r="F6" s="1" t="s">
        <v>1874</v>
      </c>
    </row>
    <row r="7" spans="1:6">
      <c r="F7" s="1" t="s">
        <v>1875</v>
      </c>
    </row>
    <row r="8" spans="1:6">
      <c r="F8" s="1" t="s">
        <v>1876</v>
      </c>
    </row>
    <row r="9" spans="1:6">
      <c r="F9" s="1" t="s">
        <v>1877</v>
      </c>
    </row>
    <row r="10" spans="1:6">
      <c r="F10" s="1" t="s">
        <v>1878</v>
      </c>
    </row>
    <row r="11" spans="1:6">
      <c r="F11" s="1" t="s">
        <v>1879</v>
      </c>
    </row>
    <row r="12" spans="1:6">
      <c r="F12" s="1" t="s">
        <v>1880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Dashboard</vt:lpstr>
      <vt:lpstr>WBS</vt:lpstr>
      <vt:lpstr>Work Packages</vt:lpstr>
      <vt:lpstr>Milestones</vt:lpstr>
      <vt:lpstr>CAP Coverage</vt:lpstr>
      <vt:lpstr>Dependencies</vt:lpstr>
      <vt:lpstr>Gates &amp; Decisions</vt:lpstr>
      <vt:lpstr>FSL Source</vt:lpstr>
      <vt:lpstr>Lists</vt:lpstr>
      <vt:lpstr>FSL_Priority</vt:lpstr>
      <vt:lpstr>FSL_Release</vt:lpstr>
      <vt:lpstr>FSL_ScopeStatus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Thái Doãn Phúc (493510)</dc:creator>
  <cp:lastModifiedBy>Thái Doãn Phúc (493510)</cp:lastModifiedBy>
  <dcterms:created xsi:type="dcterms:W3CDTF">2026-07-17T09:11:29Z</dcterms:created>
  <dcterms:modified xsi:type="dcterms:W3CDTF">2026-07-17T09:26:29Z</dcterms:modified>
</cp:coreProperties>
</file>