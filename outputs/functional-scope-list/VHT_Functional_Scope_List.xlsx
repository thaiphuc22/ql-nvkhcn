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uctd7\ql-nvkhcn\outputs\functional-scope-list\"/>
    </mc:Choice>
  </mc:AlternateContent>
  <bookViews>
    <workbookView xWindow="0" yWindow="0" windowWidth="21570" windowHeight="10125"/>
  </bookViews>
  <sheets>
    <sheet name="00_Tong_quan" sheetId="6" r:id="rId1"/>
    <sheet name="01_Functional_Scope" sheetId="5" r:id="rId2"/>
    <sheet name="02_Phan_he" sheetId="4" r:id="rId3"/>
    <sheet name="03_Danh_muc" sheetId="3" r:id="rId4"/>
    <sheet name="04_Thay_doi" sheetId="2" r:id="rId5"/>
    <sheet name="99_Danh_sach_goc" sheetId="1" r:id="rId6"/>
  </sheets>
  <definedNames>
    <definedName name="FSL_Priority">'03_Danh_muc'!$A$2:$A$5</definedName>
    <definedName name="FSL_Release">'03_Danh_muc'!$B$2:$B$5</definedName>
    <definedName name="FSL_ScopeStatus">'03_Danh_muc'!$C$2:$C$5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6" l="1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J5" i="6"/>
  <c r="G5" i="6"/>
  <c r="D5" i="6"/>
  <c r="A5" i="6"/>
  <c r="H21" i="4"/>
  <c r="G21" i="4"/>
  <c r="F21" i="4"/>
  <c r="E21" i="4"/>
  <c r="D21" i="4"/>
  <c r="H20" i="4"/>
  <c r="G20" i="4"/>
  <c r="F20" i="4"/>
  <c r="E20" i="4"/>
  <c r="D20" i="4"/>
  <c r="H19" i="4"/>
  <c r="G19" i="4"/>
  <c r="F19" i="4"/>
  <c r="E19" i="4"/>
  <c r="D19" i="4"/>
  <c r="H18" i="4"/>
  <c r="G18" i="4"/>
  <c r="F18" i="4"/>
  <c r="E18" i="4"/>
  <c r="D18" i="4"/>
  <c r="H17" i="4"/>
  <c r="G17" i="4"/>
  <c r="F17" i="4"/>
  <c r="E17" i="4"/>
  <c r="D17" i="4"/>
  <c r="H16" i="4"/>
  <c r="G16" i="4"/>
  <c r="F16" i="4"/>
  <c r="E16" i="4"/>
  <c r="D16" i="4"/>
  <c r="H15" i="4"/>
  <c r="G15" i="4"/>
  <c r="F15" i="4"/>
  <c r="E15" i="4"/>
  <c r="D15" i="4"/>
  <c r="H14" i="4"/>
  <c r="G14" i="4"/>
  <c r="F14" i="4"/>
  <c r="E14" i="4"/>
  <c r="D14" i="4"/>
  <c r="H13" i="4"/>
  <c r="G13" i="4"/>
  <c r="F13" i="4"/>
  <c r="E13" i="4"/>
  <c r="D13" i="4"/>
  <c r="H12" i="4"/>
  <c r="G12" i="4"/>
  <c r="F12" i="4"/>
  <c r="E12" i="4"/>
  <c r="D12" i="4"/>
  <c r="H11" i="4"/>
  <c r="G11" i="4"/>
  <c r="F11" i="4"/>
  <c r="E11" i="4"/>
  <c r="D11" i="4"/>
  <c r="H10" i="4"/>
  <c r="G10" i="4"/>
  <c r="F10" i="4"/>
  <c r="E10" i="4"/>
  <c r="D10" i="4"/>
  <c r="H9" i="4"/>
  <c r="G9" i="4"/>
  <c r="F9" i="4"/>
  <c r="E9" i="4"/>
  <c r="D9" i="4"/>
  <c r="H8" i="4"/>
  <c r="G8" i="4"/>
  <c r="F8" i="4"/>
  <c r="E8" i="4"/>
  <c r="D8" i="4"/>
  <c r="H7" i="4"/>
  <c r="G7" i="4"/>
  <c r="F7" i="4"/>
  <c r="E7" i="4"/>
  <c r="D7" i="4"/>
  <c r="H6" i="4"/>
  <c r="G6" i="4"/>
  <c r="F6" i="4"/>
  <c r="E6" i="4"/>
  <c r="D6" i="4"/>
  <c r="H5" i="4"/>
  <c r="G5" i="4"/>
  <c r="F5" i="4"/>
  <c r="E5" i="4"/>
  <c r="D5" i="4"/>
  <c r="H4" i="4"/>
  <c r="G4" i="4"/>
  <c r="F4" i="4"/>
  <c r="E4" i="4"/>
  <c r="D4" i="4"/>
</calcChain>
</file>

<file path=xl/sharedStrings.xml><?xml version="1.0" encoding="utf-8"?>
<sst xmlns="http://schemas.openxmlformats.org/spreadsheetml/2006/main" count="5271" uniqueCount="1619">
  <si>
    <t>Priority</t>
  </si>
  <si>
    <t>Must</t>
  </si>
  <si>
    <t>Should</t>
  </si>
  <si>
    <t>Could</t>
  </si>
  <si>
    <t>Won't/Để sau</t>
  </si>
  <si>
    <t>Release</t>
  </si>
  <si>
    <t>Pha 1</t>
  </si>
  <si>
    <t>Pha 2</t>
  </si>
  <si>
    <t>Pha 3</t>
  </si>
  <si>
    <t>Chưa xếp pha</t>
  </si>
  <si>
    <t>Trạng thái phạm vi</t>
  </si>
  <si>
    <t>Đề xuất trong phạm vi</t>
  </si>
  <si>
    <t>Cần xác nhận</t>
  </si>
  <si>
    <t>Ngoài phạm vi</t>
  </si>
  <si>
    <t>Hoãn</t>
  </si>
  <si>
    <t>Loại</t>
  </si>
  <si>
    <t>Nghiệp vụ</t>
  </si>
  <si>
    <t>Workflow</t>
  </si>
  <si>
    <t>Nền tảng</t>
  </si>
  <si>
    <t>Cấu hình</t>
  </si>
  <si>
    <t>Tích hợp</t>
  </si>
  <si>
    <t>Báo cáo</t>
  </si>
  <si>
    <t>Phân quyền</t>
  </si>
  <si>
    <t>Bảo mật</t>
  </si>
  <si>
    <t>Audit</t>
  </si>
  <si>
    <t>Vận hành</t>
  </si>
  <si>
    <t>Hỗ trợ</t>
  </si>
  <si>
    <t>Nguồn</t>
  </si>
  <si>
    <t>Giữ từ VHT_WBS</t>
  </si>
  <si>
    <t>Hiệu chỉnh từ VHT_WBS</t>
  </si>
  <si>
    <t>Bổ sung</t>
  </si>
  <si>
    <t>Bổ sung theo tài liệu kiến trúc</t>
  </si>
  <si>
    <t>FUNCTIONAL SCOPE LIST – HỆ THỐNG QUẢN LÝ NHIỆM VỤ KHCN</t>
  </si>
  <si>
    <t>Phiên bản khởi tạo từ VHT_WBS và bổ sung theo tài liệu kiến trúc/nghiệp vụ trong docs/research. Đây là danh mục phạm vi chức năng, chưa phải WBS ước lượng.</t>
  </si>
  <si>
    <t>STT</t>
  </si>
  <si>
    <t>Feature ID</t>
  </si>
  <si>
    <t>Phân hệ</t>
  </si>
  <si>
    <t>Module</t>
  </si>
  <si>
    <t>Nhóm chức năng</t>
  </si>
  <si>
    <t>Chức năng</t>
  </si>
  <si>
    <t>Mô tả phạm vi</t>
  </si>
  <si>
    <t>Vai trò chính</t>
  </si>
  <si>
    <t>Quy trình/RD</t>
  </si>
  <si>
    <t>Release đề xuất</t>
  </si>
  <si>
    <t>Nguồn/Thay đổi</t>
  </si>
  <si>
    <t>Định hướng nghiệm thu/Ghi chú</t>
  </si>
  <si>
    <t>IAM-SSO-001</t>
  </si>
  <si>
    <t>Truy cập, Tổ chức &amp; Phân quyền</t>
  </si>
  <si>
    <t>Đăng nhập &amp; SSO</t>
  </si>
  <si>
    <t>Xác thực</t>
  </si>
  <si>
    <t>Đăng nhập qua SSO/OIDC</t>
  </si>
  <si>
    <t>Chuyển hướng đến Identity Provider, nhận token và tạo phiên làm việc hợp lệ.</t>
  </si>
  <si>
    <t>Tất cả người dùng</t>
  </si>
  <si>
    <t>Đăng nhập thành công bằng tài khoản hợp lệ; lỗi xác thực không làm lộ thông tin nhạy cảm.</t>
  </si>
  <si>
    <t>IAM-SSO-002</t>
  </si>
  <si>
    <t>Đăng xuất tập trung</t>
  </si>
  <si>
    <t>Kết thúc phiên ứng dụng và phiên SSO theo chính sách tổ chức.</t>
  </si>
  <si>
    <t>IAM-SSO-003</t>
  </si>
  <si>
    <t>Bảo mật phiên</t>
  </si>
  <si>
    <t>Gia hạn và hết hạn phiên</t>
  </si>
  <si>
    <t>Quản lý refresh token, timeout không hoạt động và bắt buộc đăng nhập lại.</t>
  </si>
  <si>
    <t>IAM-SSO-004</t>
  </si>
  <si>
    <t>Hồ sơ người dùng</t>
  </si>
  <si>
    <t>Xem hồ sơ và ngữ cảnh đăng nhập</t>
  </si>
  <si>
    <t>Hiển thị người dùng, đơn vị, vai trò, phạm vi dữ liệu và quyền hiệu lực.</t>
  </si>
  <si>
    <t>IAM-ORG-001</t>
  </si>
  <si>
    <t>Cơ cấu tổ chức</t>
  </si>
  <si>
    <t>Đơn vị tổ chức</t>
  </si>
  <si>
    <t>Xem danh sách Đơn vị tổ chức</t>
  </si>
  <si>
    <t>Tra cứu danh sách, phân trang, sắp xếp và lọc Đơn vị tổ chức theo các tiêu chí nghiệp vụ.</t>
  </si>
  <si>
    <t>Quản trị hệ thống</t>
  </si>
  <si>
    <t>Bổ sung theo EPIC01</t>
  </si>
  <si>
    <t>Danh sách hiển thị đúng phạm vi dữ liệu và hỗ trợ lọc/xuất theo quyền.</t>
  </si>
  <si>
    <t>IAM-ORG-002</t>
  </si>
  <si>
    <t>Tạo mới Đơn vị tổ chức</t>
  </si>
  <si>
    <t>Khởi tạo Đơn vị tổ chức, kiểm tra dữ liệu bắt buộc và lưu nháp trước khi hoàn tất.</t>
  </si>
  <si>
    <t>Dữ liệu hợp lệ được lưu; lỗi validation hiển thị tại trường tương ứng.</t>
  </si>
  <si>
    <t>IAM-ORG-003</t>
  </si>
  <si>
    <t>Xem chi tiết Đơn vị tổ chức</t>
  </si>
  <si>
    <t>Hiển thị thông tin tổng quan, dữ liệu chi tiết, tài liệu liên quan và trạng thái của Đơn vị tổ chức.</t>
  </si>
  <si>
    <t>Thông tin hiển thị đúng phiên bản và quyền truy cập.</t>
  </si>
  <si>
    <t>IAM-ORG-004</t>
  </si>
  <si>
    <t>Chỉnh sửa Đơn vị tổ chức</t>
  </si>
  <si>
    <t>Cập nhật Đơn vị tổ chức khi trạng thái và quyền người dùng cho phép; kiểm soát xung đột cập nhật.</t>
  </si>
  <si>
    <t>Chỉ trường được phép sửa có hiệu lực và thay đổi được ghi lịch sử.</t>
  </si>
  <si>
    <t>IAM-ORG-005</t>
  </si>
  <si>
    <t>Xóa/Ngừng sử dụng Đơn vị tổ chức</t>
  </si>
  <si>
    <t>Xóa logic hoặc ngừng sử dụng Đơn vị tổ chức sau khi kiểm tra ràng buộc tham chiếu.</t>
  </si>
  <si>
    <t>Quản trị/Cán bộ nghiệp vụ</t>
  </si>
  <si>
    <t>Không xóa vật lý dữ liệu đã phát sinh giao dịch; cảnh báo rõ quan hệ phụ thuộc.</t>
  </si>
  <si>
    <t>IAM-ORG-006</t>
  </si>
  <si>
    <t>Xem lịch sử Đơn vị tổ chức</t>
  </si>
  <si>
    <t>Theo dõi phiên bản, thay đổi dữ liệu, người thực hiện và lịch sử xử lý của Đơn vị tổ chức.</t>
  </si>
  <si>
    <t>Cán bộ nghiệp vụ/Quản trị</t>
  </si>
  <si>
    <t>IAM-ORG-007</t>
  </si>
  <si>
    <t>Cây tổ chức</t>
  </si>
  <si>
    <t>Quản lý cây tổ chức đa cấp</t>
  </si>
  <si>
    <t>Thiết lập quan hệ cha-con, cấp đơn vị, hiệu lực và lịch sử thay đổi cơ cấu.</t>
  </si>
  <si>
    <t>IAM-ORG-008</t>
  </si>
  <si>
    <t>Chức danh</t>
  </si>
  <si>
    <t>Quản lý chức danh và vị trí công việc</t>
  </si>
  <si>
    <t>Khai báo chức danh, vị trí, cấp quản lý và ánh xạ dữ liệu nhân sự.</t>
  </si>
  <si>
    <t>IAM-USR-001</t>
  </si>
  <si>
    <t>Người dùng &amp; định danh</t>
  </si>
  <si>
    <t>Người dùng ứng dụng</t>
  </si>
  <si>
    <t>Xem danh sách Người dùng ứng dụng</t>
  </si>
  <si>
    <t>Tra cứu danh sách, phân trang, sắp xếp và lọc Người dùng ứng dụng theo các tiêu chí nghiệp vụ.</t>
  </si>
  <si>
    <t>Bổ sung theo EPIC02</t>
  </si>
  <si>
    <t>IAM-USR-002</t>
  </si>
  <si>
    <t>Tạo mới Người dùng ứng dụng</t>
  </si>
  <si>
    <t>Khởi tạo Người dùng ứng dụng, kiểm tra dữ liệu bắt buộc và lưu nháp trước khi hoàn tất.</t>
  </si>
  <si>
    <t>IAM-USR-003</t>
  </si>
  <si>
    <t>Xem chi tiết Người dùng ứng dụng</t>
  </si>
  <si>
    <t>Hiển thị thông tin tổng quan, dữ liệu chi tiết, tài liệu liên quan và trạng thái của Người dùng ứng dụng.</t>
  </si>
  <si>
    <t>IAM-USR-004</t>
  </si>
  <si>
    <t>Chỉnh sửa Người dùng ứng dụng</t>
  </si>
  <si>
    <t>Cập nhật Người dùng ứng dụng khi trạng thái và quyền người dùng cho phép; kiểm soát xung đột cập nhật.</t>
  </si>
  <si>
    <t>IAM-USR-005</t>
  </si>
  <si>
    <t>Xóa/Ngừng sử dụng Người dùng ứng dụng</t>
  </si>
  <si>
    <t>Xóa logic hoặc ngừng sử dụng Người dùng ứng dụng sau khi kiểm tra ràng buộc tham chiếu.</t>
  </si>
  <si>
    <t>IAM-USR-006</t>
  </si>
  <si>
    <t>Xem lịch sử Người dùng ứng dụng</t>
  </si>
  <si>
    <t>Theo dõi phiên bản, thay đổi dữ liệu, người thực hiện và lịch sử xử lý của Người dùng ứng dụng.</t>
  </si>
  <si>
    <t>IAM-USR-007</t>
  </si>
  <si>
    <t>Đồng bộ</t>
  </si>
  <si>
    <t>Đồng bộ người dùng từ AD/QLNS</t>
  </si>
  <si>
    <t>Đồng bộ hồ sơ, đơn vị, chức danh và trạng thái người dùng; ghi nhận sai lệch.</t>
  </si>
  <si>
    <t>IAM-USR-008</t>
  </si>
  <si>
    <t>Phân công</t>
  </si>
  <si>
    <t>Gán vai trò và phạm vi dữ liệu cho người dùng</t>
  </si>
  <si>
    <t>Mỗi assignment gồm user, role, data scope, đơn vị/nhiệm vụ và thời hạn hiệu lực.</t>
  </si>
  <si>
    <t>Bổ sung theo recfactor-module-user-role</t>
  </si>
  <si>
    <t>IAM-USR-009</t>
  </si>
  <si>
    <t>Ủy quyền và người thay thế</t>
  </si>
  <si>
    <t>Thiết lập ủy quyền theo thời gian, phạm vi task/quy trình và ngăn xung đột phân quyền.</t>
  </si>
  <si>
    <t>Người dùng/Quản trị</t>
  </si>
  <si>
    <t>IAM-RBAC-001</t>
  </si>
  <si>
    <t>Vai trò &amp; phân quyền</t>
  </si>
  <si>
    <t>Vai trò nghiệp vụ</t>
  </si>
  <si>
    <t>Xem danh sách Vai trò nghiệp vụ</t>
  </si>
  <si>
    <t>Tra cứu danh sách, phân trang, sắp xếp và lọc Vai trò nghiệp vụ theo các tiêu chí nghiệp vụ.</t>
  </si>
  <si>
    <t>Bổ sung theo EPIC03</t>
  </si>
  <si>
    <t>IAM-RBAC-002</t>
  </si>
  <si>
    <t>Tạo mới Vai trò nghiệp vụ</t>
  </si>
  <si>
    <t>Khởi tạo Vai trò nghiệp vụ, kiểm tra dữ liệu bắt buộc và lưu nháp trước khi hoàn tất.</t>
  </si>
  <si>
    <t>IAM-RBAC-003</t>
  </si>
  <si>
    <t>Xem chi tiết Vai trò nghiệp vụ</t>
  </si>
  <si>
    <t>Hiển thị thông tin tổng quan, dữ liệu chi tiết, tài liệu liên quan và trạng thái của Vai trò nghiệp vụ.</t>
  </si>
  <si>
    <t>IAM-RBAC-004</t>
  </si>
  <si>
    <t>Chỉnh sửa Vai trò nghiệp vụ</t>
  </si>
  <si>
    <t>Cập nhật Vai trò nghiệp vụ khi trạng thái và quyền người dùng cho phép; kiểm soát xung đột cập nhật.</t>
  </si>
  <si>
    <t>IAM-RBAC-005</t>
  </si>
  <si>
    <t>Xóa/Ngừng sử dụng Vai trò nghiệp vụ</t>
  </si>
  <si>
    <t>Xóa logic hoặc ngừng sử dụng Vai trò nghiệp vụ sau khi kiểm tra ràng buộc tham chiếu.</t>
  </si>
  <si>
    <t>IAM-RBAC-006</t>
  </si>
  <si>
    <t>Xem lịch sử Vai trò nghiệp vụ</t>
  </si>
  <si>
    <t>Theo dõi phiên bản, thay đổi dữ liệu, người thực hiện và lịch sử xử lý của Vai trò nghiệp vụ.</t>
  </si>
  <si>
    <t>IAM-RBAC-007</t>
  </si>
  <si>
    <t>Ma trận quyền</t>
  </si>
  <si>
    <t>Cấu hình ma trận Role × Chức năng × Quyền</t>
  </si>
  <si>
    <t>Quản lý quyền xem, tạo, sửa, xóa, trình, duyệt, xuất và quản trị theo vai trò.</t>
  </si>
  <si>
    <t>IAM-RBAC-008</t>
  </si>
  <si>
    <t>Phạm vi dữ liệu</t>
  </si>
  <si>
    <t>Cấu hình loại phạm vi dữ liệu</t>
  </si>
  <si>
    <t>Hỗ trợ bản thân, đơn vị, cây đơn vị, nhiệm vụ được giao và toàn hệ thống.</t>
  </si>
  <si>
    <t>IAM-RBAC-009</t>
  </si>
  <si>
    <t>Mô phỏng</t>
  </si>
  <si>
    <t>Mô phỏng quyền hiệu lực</t>
  </si>
  <si>
    <t>Giải thích quyền thao tác từ role policy và phạm vi dữ liệu từ user assignment.</t>
  </si>
  <si>
    <t>Quản trị hệ thống/Audit</t>
  </si>
  <si>
    <t>MIS-MISSION-001</t>
  </si>
  <si>
    <t>Quản lý Nhiệm vụ KHCN</t>
  </si>
  <si>
    <t>Hồ sơ nhiệm vụ</t>
  </si>
  <si>
    <t>Nhiệm vụ KHCN</t>
  </si>
  <si>
    <t>Xem danh sách Nhiệm vụ KHCN</t>
  </si>
  <si>
    <t>Tra cứu danh sách, phân trang, sắp xếp và lọc Nhiệm vụ KHCN theo các tiêu chí nghiệp vụ.</t>
  </si>
  <si>
    <t>Cán bộ KHCN/Chủ nhiệm</t>
  </si>
  <si>
    <t>MIS-MISSION-002</t>
  </si>
  <si>
    <t>Tạo mới Nhiệm vụ KHCN</t>
  </si>
  <si>
    <t>Khởi tạo Nhiệm vụ KHCN, kiểm tra dữ liệu bắt buộc và lưu nháp trước khi hoàn tất.</t>
  </si>
  <si>
    <t>MIS-MISSION-003</t>
  </si>
  <si>
    <t>Xem chi tiết Nhiệm vụ KHCN</t>
  </si>
  <si>
    <t>Hiển thị thông tin tổng quan, dữ liệu chi tiết, tài liệu liên quan và trạng thái của Nhiệm vụ KHCN.</t>
  </si>
  <si>
    <t>MIS-MISSION-004</t>
  </si>
  <si>
    <t>Chỉnh sửa Nhiệm vụ KHCN</t>
  </si>
  <si>
    <t>Cập nhật Nhiệm vụ KHCN khi trạng thái và quyền người dùng cho phép; kiểm soát xung đột cập nhật.</t>
  </si>
  <si>
    <t>MIS-MISSION-005</t>
  </si>
  <si>
    <t>Xóa/Ngừng sử dụng Nhiệm vụ KHCN</t>
  </si>
  <si>
    <t>Xóa logic hoặc ngừng sử dụng Nhiệm vụ KHCN sau khi kiểm tra ràng buộc tham chiếu.</t>
  </si>
  <si>
    <t>MIS-MISSION-006</t>
  </si>
  <si>
    <t>Xem lịch sử Nhiệm vụ KHCN</t>
  </si>
  <si>
    <t>Theo dõi phiên bản, thay đổi dữ liệu, người thực hiện và lịch sử xử lý của Nhiệm vụ KHCN.</t>
  </si>
  <si>
    <t>MIS-MISSION-007</t>
  </si>
  <si>
    <t>Vòng đời</t>
  </si>
  <si>
    <t>Quản lý trạng thái vòng đời nhiệm vụ</t>
  </si>
  <si>
    <t>Quản lý chuyển trạng thái từ đề xuất, phê duyệt, thực hiện, điều chỉnh, nghiệm thu, quyết toán đến đóng nhiệm vụ.</t>
  </si>
  <si>
    <t>Cán bộ KHCN</t>
  </si>
  <si>
    <t>RD01-RD10</t>
  </si>
  <si>
    <t>MIS-MISSION-008</t>
  </si>
  <si>
    <t>Quan hệ hồ sơ</t>
  </si>
  <si>
    <t>Liên kết nhiệm vụ với các hồ sơ quy trình</t>
  </si>
  <si>
    <t>Tổng hợp toàn bộ dossier, process instance, quyết định, tài liệu và sản phẩm theo missionId.</t>
  </si>
  <si>
    <t>MIS-MISSION-009</t>
  </si>
  <si>
    <t>Tra cứu</t>
  </si>
  <si>
    <t>Tìm kiếm nâng cao nhiệm vụ</t>
  </si>
  <si>
    <t>Tìm theo mã, tên, lĩnh vực, cấp, đơn vị, chủ nhiệm, trạng thái, thời gian và nguồn kinh phí.</t>
  </si>
  <si>
    <t>Người dùng nghiệp vụ</t>
  </si>
  <si>
    <t>MIS-MISSION-010</t>
  </si>
  <si>
    <t>Mã hóa</t>
  </si>
  <si>
    <t>Sinh và quản lý mã nhiệm vụ</t>
  </si>
  <si>
    <t>Sinh mã theo quy tắc cấu hình, bảo đảm duy nhất và hỗ trợ mã kế thừa từ hệ thống ngoài.</t>
  </si>
  <si>
    <t>MIS-MISSION-011</t>
  </si>
  <si>
    <t>Tổng quan 360°</t>
  </si>
  <si>
    <t>Xem hồ sơ nhiệm vụ 360°</t>
  </si>
  <si>
    <t>Hiển thị thông tin, tiến độ, kinh phí, nhân sự, hồ sơ, hội đồng, sản phẩm, rủi ro và lịch sử trên một màn hình.</t>
  </si>
  <si>
    <t>Cán bộ KHCN/Lãnh đạo/Chủ nhiệm</t>
  </si>
  <si>
    <t>MIS-MISSION-012</t>
  </si>
  <si>
    <t>Phân loại</t>
  </si>
  <si>
    <t>Quản lý lĩnh vực, cấp và loại nhiệm vụ</t>
  </si>
  <si>
    <t>Áp dụng danh mục và rule theo lĩnh vực nghiên cứu, cấp quản lý, loại hình và mức độ bảo mật.</t>
  </si>
  <si>
    <t>PRP-RD01-001</t>
  </si>
  <si>
    <t>Chủ trương &amp; Xét duyệt</t>
  </si>
  <si>
    <t>Xét duyệt chủ trương</t>
  </si>
  <si>
    <t>Hồ sơ chủ trương</t>
  </si>
  <si>
    <t>Xem danh sách Hồ sơ chủ trương</t>
  </si>
  <si>
    <t>Tra cứu danh sách, phân trang, sắp xếp và lọc Hồ sơ chủ trương theo các tiêu chí nghiệp vụ.</t>
  </si>
  <si>
    <t>Người đề xuất/Cán bộ KHCN</t>
  </si>
  <si>
    <t>RD01</t>
  </si>
  <si>
    <t>PRP-RD01-002</t>
  </si>
  <si>
    <t>Tạo mới Hồ sơ chủ trương</t>
  </si>
  <si>
    <t>Khởi tạo Hồ sơ chủ trương, kiểm tra dữ liệu bắt buộc và lưu nháp trước khi hoàn tất.</t>
  </si>
  <si>
    <t>PRP-RD01-003</t>
  </si>
  <si>
    <t>Xem chi tiết Hồ sơ chủ trương</t>
  </si>
  <si>
    <t>Hiển thị thông tin tổng quan, dữ liệu chi tiết, tài liệu liên quan và trạng thái của Hồ sơ chủ trương.</t>
  </si>
  <si>
    <t>PRP-RD01-004</t>
  </si>
  <si>
    <t>Chỉnh sửa Hồ sơ chủ trương</t>
  </si>
  <si>
    <t>Cập nhật Hồ sơ chủ trương khi trạng thái và quyền người dùng cho phép; kiểm soát xung đột cập nhật.</t>
  </si>
  <si>
    <t>PRP-RD01-005</t>
  </si>
  <si>
    <t>Xóa/Ngừng sử dụng Hồ sơ chủ trương</t>
  </si>
  <si>
    <t>Xóa logic hoặc ngừng sử dụng Hồ sơ chủ trương sau khi kiểm tra ràng buộc tham chiếu.</t>
  </si>
  <si>
    <t>PRP-RD01-006</t>
  </si>
  <si>
    <t>Trình duyệt Hồ sơ chủ trương</t>
  </si>
  <si>
    <t>Kiểm tra điều kiện, khóa phiên bản trình và khởi tạo/tiếp tục quy trình phê duyệt Hồ sơ chủ trương.</t>
  </si>
  <si>
    <t>Người lập/Chủ nhiệm nhiệm vụ</t>
  </si>
  <si>
    <t>PRP-RD01-007</t>
  </si>
  <si>
    <t>Xem lịch sử Hồ sơ chủ trương</t>
  </si>
  <si>
    <t>Theo dõi phiên bản, thay đổi dữ liệu, người thực hiện và lịch sử xử lý của Hồ sơ chủ trương.</t>
  </si>
  <si>
    <t>PRP-RD01-008</t>
  </si>
  <si>
    <t>Nội dung đề xuất</t>
  </si>
  <si>
    <t>Khai báo căn cứ, mục tiêu, phạm vi và hiệu quả dự kiến</t>
  </si>
  <si>
    <t>Ghi nhận đầy đủ cơ sở hình thành, mục tiêu, phạm vi, sản phẩm và giá trị dự kiến của chủ trương.</t>
  </si>
  <si>
    <t>Người đề xuất</t>
  </si>
  <si>
    <t>PRP-RD01-009</t>
  </si>
  <si>
    <t>Dự kiến nguồn lực</t>
  </si>
  <si>
    <t>Khai báo kinh phí, tiến độ và nguồn lực dự kiến</t>
  </si>
  <si>
    <t>Quản lý tổng mức dự kiến, nguồn vốn, thời gian và đơn vị chủ trì/phối hợp.</t>
  </si>
  <si>
    <t>PRP-RD01-010</t>
  </si>
  <si>
    <t>Kết quả</t>
  </si>
  <si>
    <t>Lập và ban hành quyết định chủ trương</t>
  </si>
  <si>
    <t>Tạo quyết định từ mẫu, ký số/ban hành và cập nhật kết quả vào nhiệm vụ.</t>
  </si>
  <si>
    <t>Cán bộ KHCN/Lãnh đạo</t>
  </si>
  <si>
    <t>PRP-RD02-001</t>
  </si>
  <si>
    <t>Xét duyệt nhiệm vụ</t>
  </si>
  <si>
    <t>Hồ sơ xét duyệt nhiệm vụ</t>
  </si>
  <si>
    <t>Xem danh sách Hồ sơ xét duyệt nhiệm vụ</t>
  </si>
  <si>
    <t>Tra cứu danh sách, phân trang, sắp xếp và lọc Hồ sơ xét duyệt nhiệm vụ theo các tiêu chí nghiệp vụ.</t>
  </si>
  <si>
    <t>Chủ nhiệm/Cán bộ KHCN</t>
  </si>
  <si>
    <t>RD02</t>
  </si>
  <si>
    <t>PRP-RD02-002</t>
  </si>
  <si>
    <t>Tạo mới Hồ sơ xét duyệt nhiệm vụ</t>
  </si>
  <si>
    <t>Khởi tạo Hồ sơ xét duyệt nhiệm vụ, kiểm tra dữ liệu bắt buộc và lưu nháp trước khi hoàn tất.</t>
  </si>
  <si>
    <t>PRP-RD02-003</t>
  </si>
  <si>
    <t>Xem chi tiết Hồ sơ xét duyệt nhiệm vụ</t>
  </si>
  <si>
    <t>Hiển thị thông tin tổng quan, dữ liệu chi tiết, tài liệu liên quan và trạng thái của Hồ sơ xét duyệt nhiệm vụ.</t>
  </si>
  <si>
    <t>PRP-RD02-004</t>
  </si>
  <si>
    <t>Chỉnh sửa Hồ sơ xét duyệt nhiệm vụ</t>
  </si>
  <si>
    <t>Cập nhật Hồ sơ xét duyệt nhiệm vụ khi trạng thái và quyền người dùng cho phép; kiểm soát xung đột cập nhật.</t>
  </si>
  <si>
    <t>PRP-RD02-005</t>
  </si>
  <si>
    <t>Xóa/Ngừng sử dụng Hồ sơ xét duyệt nhiệm vụ</t>
  </si>
  <si>
    <t>Xóa logic hoặc ngừng sử dụng Hồ sơ xét duyệt nhiệm vụ sau khi kiểm tra ràng buộc tham chiếu.</t>
  </si>
  <si>
    <t>PRP-RD02-006</t>
  </si>
  <si>
    <t>Trình duyệt Hồ sơ xét duyệt nhiệm vụ</t>
  </si>
  <si>
    <t>Kiểm tra điều kiện, khóa phiên bản trình và khởi tạo/tiếp tục quy trình phê duyệt Hồ sơ xét duyệt nhiệm vụ.</t>
  </si>
  <si>
    <t>PRP-RD02-007</t>
  </si>
  <si>
    <t>Xem lịch sử Hồ sơ xét duyệt nhiệm vụ</t>
  </si>
  <si>
    <t>Theo dõi phiên bản, thay đổi dữ liệu, người thực hiện và lịch sử xử lý của Hồ sơ xét duyệt nhiệm vụ.</t>
  </si>
  <si>
    <t>PRP-RD02-008</t>
  </si>
  <si>
    <t>Thuyết minh</t>
  </si>
  <si>
    <t>Lập thuyết minh nhiệm vụ</t>
  </si>
  <si>
    <t>Quản lý mục tiêu, nội dung nghiên cứu, phương pháp, sản phẩm, kế hoạch và tổ chức thực hiện.</t>
  </si>
  <si>
    <t>Chủ nhiệm nhiệm vụ</t>
  </si>
  <si>
    <t>PRP-RD02-009</t>
  </si>
  <si>
    <t>Dự toán</t>
  </si>
  <si>
    <t>Lập và thẩm định dự toán</t>
  </si>
  <si>
    <t>Khai báo khoản mục, nguồn kinh phí, năm thực hiện; kiểm tra định mức và tổng hợp thẩm định.</t>
  </si>
  <si>
    <t>Chủ nhiệm/Tài chính/Cán bộ KHCN</t>
  </si>
  <si>
    <t>PRP-RD02-010</t>
  </si>
  <si>
    <t>Thẩm định</t>
  </si>
  <si>
    <t>Phân công thẩm định và tổng hợp ý kiến</t>
  </si>
  <si>
    <t>Phân công chuyên gia/đơn vị, thu nhận ý kiến, yêu cầu bổ sung và tổng hợp kết quả.</t>
  </si>
  <si>
    <t>Cán bộ KHCN/Chuyên gia</t>
  </si>
  <si>
    <t>PRP-RD02-011</t>
  </si>
  <si>
    <t>Ban hành quyết định giao nhiệm vụ</t>
  </si>
  <si>
    <t>Sinh quyết định từ kết quả duyệt, ký số, cấp mã và kích hoạt giai đoạn thực hiện.</t>
  </si>
  <si>
    <t>TSK-WORK-001</t>
  </si>
  <si>
    <t>Không gian làm việc &amp; Task</t>
  </si>
  <si>
    <t>Việc của tôi</t>
  </si>
  <si>
    <t>Danh sách công việc</t>
  </si>
  <si>
    <t>Xem danh sách việc của tôi</t>
  </si>
  <si>
    <t>Tổng hợp task Camunda và ngữ cảnh nghiệp vụ, phân nhóm chờ xử lý, đã xử lý, quá hạn và được ủy quyền.</t>
  </si>
  <si>
    <t>Tất cả người dùng nghiệp vụ</t>
  </si>
  <si>
    <t>TSK-WORK-002</t>
  </si>
  <si>
    <t>Tìm kiếm, lọc và lưu chế độ xem</t>
  </si>
  <si>
    <t>Lọc theo quy trình, loại hồ sơ, đơn vị, hạn xử lý, trạng thái và mức ưu tiên; lưu bộ lọc cá nhân.</t>
  </si>
  <si>
    <t>TSK-WORK-003</t>
  </si>
  <si>
    <t>Chi tiết task</t>
  </si>
  <si>
    <t>Xem màn hình xử lý task hợp nhất</t>
  </si>
  <si>
    <t>Hiển thị nhiệm vụ, hồ sơ, tài liệu, biểu mẫu, lịch sử, SLA và action khả dụng.</t>
  </si>
  <si>
    <t>Người xử lý</t>
  </si>
  <si>
    <t>TSK-ACTION-001</t>
  </si>
  <si>
    <t>Xử lý task</t>
  </si>
  <si>
    <t>Thao tác chuẩn</t>
  </si>
  <si>
    <t>Nhận/claim task</t>
  </si>
  <si>
    <t>Nhận xử lý task đang ở nhóm ứng viên.</t>
  </si>
  <si>
    <t>Người xử lý/Người lập</t>
  </si>
  <si>
    <t>TSK-ACTION-002</t>
  </si>
  <si>
    <t>Gửi duyệt hồ sơ</t>
  </si>
  <si>
    <t>Khóa phiên bản hồ sơ và chuyển vào tuyến xử lý.</t>
  </si>
  <si>
    <t>TSK-ACTION-003</t>
  </si>
  <si>
    <t>Đồng ý duyệt</t>
  </si>
  <si>
    <t>Hoàn tất task với outcome APPROVE và định tuyến bước tiếp theo.</t>
  </si>
  <si>
    <t>TSK-ACTION-004</t>
  </si>
  <si>
    <t>Yêu cầu điều chỉnh/bổ sung</t>
  </si>
  <si>
    <t>Trả hồ sơ theo nhánh RETURN, bắt buộc ghi lý do và nội dung cần bổ sung.</t>
  </si>
  <si>
    <t>TSK-ACTION-005</t>
  </si>
  <si>
    <t>Từ chối duyệt</t>
  </si>
  <si>
    <t>Hoàn tất task theo nhánh REJECT, bắt buộc lý do và xác nhận.</t>
  </si>
  <si>
    <t>TSK-ACTION-006</t>
  </si>
  <si>
    <t>Bổ sung ý kiến/thảo luận</t>
  </si>
  <si>
    <t>Trao đổi theo hồ sơ/task, hỗ trợ mention và thông báo.</t>
  </si>
  <si>
    <t>TSK-ACTION-007</t>
  </si>
  <si>
    <t>Tải lên và xem tài liệu</t>
  </si>
  <si>
    <t>Quản lý tài liệu hỗ trợ theo quyền xem/tải.</t>
  </si>
  <si>
    <t>TSK-ACTION-008</t>
  </si>
  <si>
    <t>Xuất PDF/In hồ sơ</t>
  </si>
  <si>
    <t>Kết xuất hồ sơ theo mẫu và quyền dữ liệu.</t>
  </si>
  <si>
    <t>TSK-ACTION-009</t>
  </si>
  <si>
    <t>Xem lịch sử và audit</t>
  </si>
  <si>
    <t>Theo dõi timeline xử lý, action và thay đổi dữ liệu.</t>
  </si>
  <si>
    <t>TSK-ACTION-010</t>
  </si>
  <si>
    <t>Ủy quyền/chuyển giao task</t>
  </si>
  <si>
    <t>Delegate hoặc reassign theo quyền, thời hạn và audit.</t>
  </si>
  <si>
    <t>TSK-ACTION-011</t>
  </si>
  <si>
    <t>Gửi thay mặt</t>
  </si>
  <si>
    <t>Cho phép người có quyền tạo/trình hồ sơ thay mặt người khác với audit rõ ràng.</t>
  </si>
  <si>
    <t>TSK-EXC-001</t>
  </si>
  <si>
    <t>Xử lý ngoại lệ có kiểm soát</t>
  </si>
  <si>
    <t>Exception action</t>
  </si>
  <si>
    <t>Yêu cầu bỏ qua Hội đồng</t>
  </si>
  <si>
    <t>Tạo exception request, yêu cầu lý do/bằng chứng và cấp duyệt độc lập.</t>
  </si>
  <si>
    <t>Người yêu cầu/Người duyệt ngoại lệ</t>
  </si>
  <si>
    <t>Bổ sung theo controlled-exception-handling</t>
  </si>
  <si>
    <t>TSK-EXC-002</t>
  </si>
  <si>
    <t>Yêu cầu trình cấp cao hơn</t>
  </si>
  <si>
    <t>Xin thay đổi tuyến phê duyệt chuẩn theo exception policy.</t>
  </si>
  <si>
    <t>TSK-EXC-003</t>
  </si>
  <si>
    <t>Yêu cầu bỏ qua bước</t>
  </si>
  <si>
    <t>Xin bỏ qua bước được phép và ghi rõ bước bị bỏ qua.</t>
  </si>
  <si>
    <t>TSK-EXC-004</t>
  </si>
  <si>
    <t>Yêu cầu thêm người thẩm định</t>
  </si>
  <si>
    <t>Bổ sung reviewer ngoài tuyến chuẩn theo chính sách.</t>
  </si>
  <si>
    <t>TSK-EXC-005</t>
  </si>
  <si>
    <t>Yêu cầu thay người xử lý</t>
  </si>
  <si>
    <t>Thay approver khi vắng mặt, sai phân công hoặc đổi thẩm quyền.</t>
  </si>
  <si>
    <t>TSK-EXC-006</t>
  </si>
  <si>
    <t>Yêu cầu mở lại bước</t>
  </si>
  <si>
    <t>Mở lại bước đã hoàn tất với kiểm soát chặt và bằng chứng.</t>
  </si>
  <si>
    <t>TSK-EXC-007</t>
  </si>
  <si>
    <t>Yêu cầu hoàn tất thủ công</t>
  </si>
  <si>
    <t>Xử lý trường hợp lỗi tích hợp/Camunda, yêu cầu quyền vận hành.</t>
  </si>
  <si>
    <t>TSK-EXC-008</t>
  </si>
  <si>
    <t>Yêu cầu phê duyệt khẩn</t>
  </si>
  <si>
    <t>Áp dụng tuyến khẩn, SLA riêng và audit đầy đủ.</t>
  </si>
  <si>
    <t>DOC-DOS-001</t>
  </si>
  <si>
    <t>Hồ sơ, Tài liệu &amp; Biểu mẫu</t>
  </si>
  <si>
    <t>Quản trị hồ sơ</t>
  </si>
  <si>
    <t>Hồ sơ dùng chung</t>
  </si>
  <si>
    <t>Quản lý hồ sơ theo loại và phiên bản</t>
  </si>
  <si>
    <t>Dùng mô hình dossier chung cho RD01-RD10; lưu trạng thái, phiên bản, chủ thể và business key.</t>
  </si>
  <si>
    <t>DOC-DOS-002</t>
  </si>
  <si>
    <t>Checklist thành phần hồ sơ</t>
  </si>
  <si>
    <t>Cấu hình và kiểm tra thành phần bắt buộc theo loại hồ sơ, bước và điều kiện nghiệp vụ.</t>
  </si>
  <si>
    <t>Người lập/Cán bộ KHCN</t>
  </si>
  <si>
    <t>DOC-DOS-003</t>
  </si>
  <si>
    <t>So sánh phiên bản hồ sơ</t>
  </si>
  <si>
    <t>Hiển thị khác biệt dữ liệu và tài liệu giữa các lần trình/bổ sung.</t>
  </si>
  <si>
    <t>Người xử lý/Audit</t>
  </si>
  <si>
    <t>DOC-DOS-004</t>
  </si>
  <si>
    <t>Khóa/mở khóa phiên bản trình duyệt</t>
  </si>
  <si>
    <t>Ngăn sửa dữ liệu đã trình; chỉ tạo phiên bản bổ sung theo đúng luồng.</t>
  </si>
  <si>
    <t>DOC-FORM-001</t>
  </si>
  <si>
    <t>Biểu mẫu động</t>
  </si>
  <si>
    <t>Biểu mẫu điện tử (eForm)</t>
  </si>
  <si>
    <t>Xem danh sách Biểu mẫu điện tử (eForm)</t>
  </si>
  <si>
    <t>Tra cứu danh sách, phân trang, sắp xếp và lọc Biểu mẫu điện tử (eForm) theo các tiêu chí nghiệp vụ.</t>
  </si>
  <si>
    <t>Quản trị cấu hình</t>
  </si>
  <si>
    <t>DOC-FORM-002</t>
  </si>
  <si>
    <t>Tạo mới Biểu mẫu điện tử (eForm)</t>
  </si>
  <si>
    <t>Khởi tạo Biểu mẫu điện tử (eForm), kiểm tra dữ liệu bắt buộc và lưu nháp trước khi hoàn tất.</t>
  </si>
  <si>
    <t>DOC-FORM-003</t>
  </si>
  <si>
    <t>Sao chép Biểu mẫu điện tử (eForm)</t>
  </si>
  <si>
    <t>Tạo bản mới từ một Biểu mẫu điện tử (eForm) hiện hữu và loại bỏ các thông tin không được kế thừa.</t>
  </si>
  <si>
    <t>Bản sao có mã/phiên bản mới và không làm thay đổi bản nguồn.</t>
  </si>
  <si>
    <t>DOC-FORM-004</t>
  </si>
  <si>
    <t>Xem chi tiết Biểu mẫu điện tử (eForm)</t>
  </si>
  <si>
    <t>Hiển thị thông tin tổng quan, dữ liệu chi tiết, tài liệu liên quan và trạng thái của Biểu mẫu điện tử (eForm).</t>
  </si>
  <si>
    <t>DOC-FORM-005</t>
  </si>
  <si>
    <t>Chỉnh sửa Biểu mẫu điện tử (eForm)</t>
  </si>
  <si>
    <t>Cập nhật Biểu mẫu điện tử (eForm) khi trạng thái và quyền người dùng cho phép; kiểm soát xung đột cập nhật.</t>
  </si>
  <si>
    <t>DOC-FORM-006</t>
  </si>
  <si>
    <t>Xóa/Ngừng sử dụng Biểu mẫu điện tử (eForm)</t>
  </si>
  <si>
    <t>Xóa logic hoặc ngừng sử dụng Biểu mẫu điện tử (eForm) sau khi kiểm tra ràng buộc tham chiếu.</t>
  </si>
  <si>
    <t>DOC-FORM-007</t>
  </si>
  <si>
    <t>Xem lịch sử Biểu mẫu điện tử (eForm)</t>
  </si>
  <si>
    <t>Theo dõi phiên bản, thay đổi dữ liệu, người thực hiện và lịch sử xử lý của Biểu mẫu điện tử (eForm).</t>
  </si>
  <si>
    <t>DOC-FORM-008</t>
  </si>
  <si>
    <t>Thiết kế biểu mẫu</t>
  </si>
  <si>
    <t>Thiết kế section, field và layout</t>
  </si>
  <si>
    <t>Thiết kế form kéo-thả hoặc cấu hình schema với nhóm trường, cột và tab.</t>
  </si>
  <si>
    <t>Quản trị cấu hình/BA</t>
  </si>
  <si>
    <t>DOC-FORM-009</t>
  </si>
  <si>
    <t>Cấu hình kiểu dữ liệu và validation</t>
  </si>
  <si>
    <t>Khai báo text, number, date, list, table, attachment và rule validation.</t>
  </si>
  <si>
    <t>DOC-FORM-010</t>
  </si>
  <si>
    <t>Điều kiện hiển thị/readonly/bắt buộc</t>
  </si>
  <si>
    <t>Điều khiển trường theo vai trò, bước, trạng thái và business rule.</t>
  </si>
  <si>
    <t>DOC-FORM-011</t>
  </si>
  <si>
    <t>Gắn eForm vào quy trình và bước</t>
  </si>
  <si>
    <t>Version-lock form schema theo workflow version.</t>
  </si>
  <si>
    <t>DOC-FORM-012</t>
  </si>
  <si>
    <t>Xem trước và kiểm thử eForm</t>
  </si>
  <si>
    <t>Mô phỏng form với dữ liệu và ngữ cảnh quyền khác nhau.</t>
  </si>
  <si>
    <t>DOC-FORM-013</t>
  </si>
  <si>
    <t>Import/Export schema eForm</t>
  </si>
  <si>
    <t>Trao đổi schema có kiểm tra phiên bản và tính hợp lệ.</t>
  </si>
  <si>
    <t>DOC-TPL-001</t>
  </si>
  <si>
    <t>Mẫu văn bản</t>
  </si>
  <si>
    <t>Mẫu tài liệu Word/PDF</t>
  </si>
  <si>
    <t>Xem danh sách Mẫu tài liệu Word/PDF</t>
  </si>
  <si>
    <t>Tra cứu danh sách, phân trang, sắp xếp và lọc Mẫu tài liệu Word/PDF theo các tiêu chí nghiệp vụ.</t>
  </si>
  <si>
    <t>Bổ sung theo EPIC08</t>
  </si>
  <si>
    <t>DOC-TPL-002</t>
  </si>
  <si>
    <t>Tạo mới Mẫu tài liệu Word/PDF</t>
  </si>
  <si>
    <t>Khởi tạo Mẫu tài liệu Word/PDF, kiểm tra dữ liệu bắt buộc và lưu nháp trước khi hoàn tất.</t>
  </si>
  <si>
    <t>DOC-TPL-003</t>
  </si>
  <si>
    <t>Sao chép Mẫu tài liệu Word/PDF</t>
  </si>
  <si>
    <t>Tạo bản mới từ một Mẫu tài liệu Word/PDF hiện hữu và loại bỏ các thông tin không được kế thừa.</t>
  </si>
  <si>
    <t>DOC-TPL-004</t>
  </si>
  <si>
    <t>Xem chi tiết Mẫu tài liệu Word/PDF</t>
  </si>
  <si>
    <t>Hiển thị thông tin tổng quan, dữ liệu chi tiết, tài liệu liên quan và trạng thái của Mẫu tài liệu Word/PDF.</t>
  </si>
  <si>
    <t>DOC-TPL-005</t>
  </si>
  <si>
    <t>Chỉnh sửa Mẫu tài liệu Word/PDF</t>
  </si>
  <si>
    <t>Cập nhật Mẫu tài liệu Word/PDF khi trạng thái và quyền người dùng cho phép; kiểm soát xung đột cập nhật.</t>
  </si>
  <si>
    <t>DOC-TPL-006</t>
  </si>
  <si>
    <t>Xóa/Ngừng sử dụng Mẫu tài liệu Word/PDF</t>
  </si>
  <si>
    <t>Xóa logic hoặc ngừng sử dụng Mẫu tài liệu Word/PDF sau khi kiểm tra ràng buộc tham chiếu.</t>
  </si>
  <si>
    <t>DOC-TPL-007</t>
  </si>
  <si>
    <t>Xem lịch sử Mẫu tài liệu Word/PDF</t>
  </si>
  <si>
    <t>Theo dõi phiên bản, thay đổi dữ liệu, người thực hiện và lịch sử xử lý của Mẫu tài liệu Word/PDF.</t>
  </si>
  <si>
    <t>DOC-TPL-008</t>
  </si>
  <si>
    <t>Merge field</t>
  </si>
  <si>
    <t>Quản lý biến trộn dữ liệu</t>
  </si>
  <si>
    <t>Khai báo và kiểm tra biến như mã nhiệm vụ, chủ nhiệm, kinh phí, kết quả duyệt.</t>
  </si>
  <si>
    <t>DOC-TPL-009</t>
  </si>
  <si>
    <t>Sinh tài liệu</t>
  </si>
  <si>
    <t>Sinh Word/PDF từ mẫu</t>
  </si>
  <si>
    <t>Trộn dữ liệu đúng phiên bản, lưu file sinh ra và liên kết với hồ sơ.</t>
  </si>
  <si>
    <t>DOC-FILE-001</t>
  </si>
  <si>
    <t>Quản lý tệp</t>
  </si>
  <si>
    <t>Tài liệu đính kèm</t>
  </si>
  <si>
    <t>Tải lên, tải xuống và xem trước tài liệu</t>
  </si>
  <si>
    <t>Lưu file ở object storage/DMS, metadata trong Core System; kiểm soát loại, dung lượng và virus.</t>
  </si>
  <si>
    <t>DOC-FILE-002</t>
  </si>
  <si>
    <t>Phiên bản hóa tài liệu</t>
  </si>
  <si>
    <t>Lưu nhiều phiên bản, người tải lên, checksum và trạng thái tài liệu.</t>
  </si>
  <si>
    <t>DOC-FILE-003</t>
  </si>
  <si>
    <t>Bảo mật tài liệu</t>
  </si>
  <si>
    <t>Phân quyền tài liệu và hồ sơ mật</t>
  </si>
  <si>
    <t>Kiểm soát quyền xem/tải/in theo vai trò, nhiệm vụ, mức mật và watermark.</t>
  </si>
  <si>
    <t>Quản trị/Người dùng nghiệp vụ</t>
  </si>
  <si>
    <t>DOC-FILE-004</t>
  </si>
  <si>
    <t>Ký số</t>
  </si>
  <si>
    <t>Ký số và kiểm tra chữ ký</t>
  </si>
  <si>
    <t>Tích hợp dịch vụ ký số, lưu chứng thư, thời gian ký và trạng thái kiểm tra.</t>
  </si>
  <si>
    <t>Lãnh đạo/Cán bộ KHCN</t>
  </si>
  <si>
    <t>Bổ sung theo kiến trúc</t>
  </si>
  <si>
    <t>COU-COUNCIL-001</t>
  </si>
  <si>
    <t>Hội đồng &amp; Thẩm định</t>
  </si>
  <si>
    <t>Quản lý hội đồng</t>
  </si>
  <si>
    <t>Hội đồng KHCN</t>
  </si>
  <si>
    <t>Xem danh sách Hội đồng KHCN</t>
  </si>
  <si>
    <t>Tra cứu danh sách, phân trang, sắp xếp và lọc Hội đồng KHCN theo các tiêu chí nghiệp vụ.</t>
  </si>
  <si>
    <t>Cán bộ KHCN/Thư ký</t>
  </si>
  <si>
    <t>RD02,RD05</t>
  </si>
  <si>
    <t>Bổ sung theo decomposite-diagram</t>
  </si>
  <si>
    <t>COU-COUNCIL-002</t>
  </si>
  <si>
    <t>Tạo mới Hội đồng KHCN</t>
  </si>
  <si>
    <t>Khởi tạo Hội đồng KHCN, kiểm tra dữ liệu bắt buộc và lưu nháp trước khi hoàn tất.</t>
  </si>
  <si>
    <t>COU-COUNCIL-003</t>
  </si>
  <si>
    <t>Xem chi tiết Hội đồng KHCN</t>
  </si>
  <si>
    <t>Hiển thị thông tin tổng quan, dữ liệu chi tiết, tài liệu liên quan và trạng thái của Hội đồng KHCN.</t>
  </si>
  <si>
    <t>COU-COUNCIL-004</t>
  </si>
  <si>
    <t>Chỉnh sửa Hội đồng KHCN</t>
  </si>
  <si>
    <t>Cập nhật Hội đồng KHCN khi trạng thái và quyền người dùng cho phép; kiểm soát xung đột cập nhật.</t>
  </si>
  <si>
    <t>COU-COUNCIL-005</t>
  </si>
  <si>
    <t>Xóa/Ngừng sử dụng Hội đồng KHCN</t>
  </si>
  <si>
    <t>Xóa logic hoặc ngừng sử dụng Hội đồng KHCN sau khi kiểm tra ràng buộc tham chiếu.</t>
  </si>
  <si>
    <t>COU-COUNCIL-006</t>
  </si>
  <si>
    <t>Xem lịch sử Hội đồng KHCN</t>
  </si>
  <si>
    <t>Theo dõi phiên bản, thay đổi dữ liệu, người thực hiện và lịch sử xử lý của Hội đồng KHCN.</t>
  </si>
  <si>
    <t>COU-COUNCIL-007</t>
  </si>
  <si>
    <t>Thành viên</t>
  </si>
  <si>
    <t>Quản lý thành viên, vai trò và xung đột lợi ích</t>
  </si>
  <si>
    <t>Gán chủ tịch, thư ký, phản biện, ủy viên; kiểm tra điều kiện và xung đột lợi ích.</t>
  </si>
  <si>
    <t>COU-COUNCIL-008</t>
  </si>
  <si>
    <t>Lịch họp</t>
  </si>
  <si>
    <t>Lập lịch và mời họp hội đồng</t>
  </si>
  <si>
    <t>Quản lý thời gian, địa điểm/online, tài liệu, RSVP và thông báo thay đổi.</t>
  </si>
  <si>
    <t>Thư ký/Thành viên hội đồng</t>
  </si>
  <si>
    <t>COU-APPRAISAL-001</t>
  </si>
  <si>
    <t>Đánh giá &amp; thẩm định</t>
  </si>
  <si>
    <t>Phiếu đánh giá</t>
  </si>
  <si>
    <t>Cấu hình và nhập phiếu đánh giá</t>
  </si>
  <si>
    <t>Phiếu theo loại hội đồng, tiêu chí, trọng số, nhận xét và kết luận.</t>
  </si>
  <si>
    <t>Chuyên gia/Thành viên hội đồng</t>
  </si>
  <si>
    <t>COU-APPRAISAL-002</t>
  </si>
  <si>
    <t>Tổng hợp</t>
  </si>
  <si>
    <t>Tổng hợp kết quả chấm và ý kiến</t>
  </si>
  <si>
    <t>Tổng hợp điểm, ý kiến khác biệt, quorum và đề xuất kết luận.</t>
  </si>
  <si>
    <t>Thư ký/Cán bộ KHCN</t>
  </si>
  <si>
    <t>COU-APPRAISAL-003</t>
  </si>
  <si>
    <t>Biên bản</t>
  </si>
  <si>
    <t>Lập và ban hành biên bản hội đồng</t>
  </si>
  <si>
    <t>Sinh biên bản từ mẫu, thu chữ ký và gắn vào hồ sơ.</t>
  </si>
  <si>
    <t>Thư ký/Chủ tịch hội đồng</t>
  </si>
  <si>
    <t>COU-APPRAISAL-004</t>
  </si>
  <si>
    <t>Chuyên gia</t>
  </si>
  <si>
    <t>Quản lý kho chuyên gia</t>
  </si>
  <si>
    <t>Quản lý chuyên môn, đơn vị, kinh nghiệm, tình trạng và lịch sử tham gia.</t>
  </si>
  <si>
    <t>EXE-PLAN-001</t>
  </si>
  <si>
    <t>Thực hiện Nhiệm vụ</t>
  </si>
  <si>
    <t>Kế hoạch &amp; tiến độ</t>
  </si>
  <si>
    <t>Kế hoạch thực hiện</t>
  </si>
  <si>
    <t>Lập cấu trúc công việc và mốc tiến độ</t>
  </si>
  <si>
    <t>Quản lý work package, milestone, deliverable, thời hạn, phụ thuộc và người phụ trách.</t>
  </si>
  <si>
    <t>RD03</t>
  </si>
  <si>
    <t>EXE-PLAN-002</t>
  </si>
  <si>
    <t>Theo dõi tiến độ</t>
  </si>
  <si>
    <t>Cập nhật phần trăm hoàn thành và bằng chứng</t>
  </si>
  <si>
    <t>Ghi nhận tiến độ, kết quả, vướng mắc và file minh chứng theo kỳ.</t>
  </si>
  <si>
    <t>Chủ nhiệm/Thành viên</t>
  </si>
  <si>
    <t>EXE-PLAN-003</t>
  </si>
  <si>
    <t>Cảnh báo</t>
  </si>
  <si>
    <t>Cảnh báo chậm tiến độ và milestone</t>
  </si>
  <si>
    <t>So sánh kế hoạch/thực tế, phát hiện quá hạn và tạo cảnh báo/escalation.</t>
  </si>
  <si>
    <t>Chủ nhiệm/Cán bộ KHCN/Lãnh đạo</t>
  </si>
  <si>
    <t>EXE-HR-001</t>
  </si>
  <si>
    <t>Nhân sự đề tài</t>
  </si>
  <si>
    <t>Quản lý nhân sự tham gia nhiệm vụ</t>
  </si>
  <si>
    <t>Quản lý vai trò, thời gian tham gia, khối lượng, đơn vị và thay đổi nhân sự.</t>
  </si>
  <si>
    <t>EXE-HR-002</t>
  </si>
  <si>
    <t>Chi phí nhân sự</t>
  </si>
  <si>
    <t>Theo dõi công sức và chi phí nhân sự</t>
  </si>
  <si>
    <t>Ghi nhận workload/timesheet khi áp dụng, đơn giá và chi phí theo nguồn.</t>
  </si>
  <si>
    <t>Chủ nhiệm/Tài chính</t>
  </si>
  <si>
    <t>EXE-BUD-001</t>
  </si>
  <si>
    <t>Kinh phí thực hiện</t>
  </si>
  <si>
    <t>Ngân sách</t>
  </si>
  <si>
    <t>Quản lý ngân sách được duyệt</t>
  </si>
  <si>
    <t>Theo dõi tổng mức, khoản mục, nguồn kinh phí, năm và điều chỉnh được duyệt.</t>
  </si>
  <si>
    <t>EXE-BUD-002</t>
  </si>
  <si>
    <t>Giải ngân</t>
  </si>
  <si>
    <t>Theo dõi giải ngân và chi phí thực tế</t>
  </si>
  <si>
    <t>Nhận dữ liệu từ SAP hoặc nhập có kiểm soát; đối chiếu kế hoạch, cam kết và thực chi.</t>
  </si>
  <si>
    <t>Tài chính/Chủ nhiệm</t>
  </si>
  <si>
    <t>EXE-PROC-001</t>
  </si>
  <si>
    <t>Mua sắm</t>
  </si>
  <si>
    <t>Nhu cầu mua sắm</t>
  </si>
  <si>
    <t>Quản lý nhu cầu và gói mua sắm</t>
  </si>
  <si>
    <t>Liên kết nhu cầu với nhiệm vụ, dự toán, kế hoạch và trạng thái hệ thống mua sắm.</t>
  </si>
  <si>
    <t>Chủ nhiệm/Mua sắm</t>
  </si>
  <si>
    <t>EXE-ASSET-001</t>
  </si>
  <si>
    <t>Tài sản/Vật tư</t>
  </si>
  <si>
    <t>Tài sản hình thành</t>
  </si>
  <si>
    <t>Theo dõi tài sản, vật tư, linh kiện và CCDC</t>
  </si>
  <si>
    <t>Đối soát tài sản hình thành từ nhiệm vụ với hệ thống QLTS và trạng thái bàn giao.</t>
  </si>
  <si>
    <t>Chủ nhiệm/Quản lý tài sản</t>
  </si>
  <si>
    <t>EXE-REPORT-001</t>
  </si>
  <si>
    <t>Báo cáo thực hiện</t>
  </si>
  <si>
    <t>Báo cáo định kỳ/đột xuất</t>
  </si>
  <si>
    <t>Xem danh sách Báo cáo định kỳ/đột xuất</t>
  </si>
  <si>
    <t>Tra cứu danh sách, phân trang, sắp xếp và lọc Báo cáo định kỳ/đột xuất theo các tiêu chí nghiệp vụ.</t>
  </si>
  <si>
    <t>RD03.06</t>
  </si>
  <si>
    <t>EXE-REPORT-002</t>
  </si>
  <si>
    <t>Tạo mới Báo cáo định kỳ/đột xuất</t>
  </si>
  <si>
    <t>Khởi tạo Báo cáo định kỳ/đột xuất, kiểm tra dữ liệu bắt buộc và lưu nháp trước khi hoàn tất.</t>
  </si>
  <si>
    <t>EXE-REPORT-003</t>
  </si>
  <si>
    <t>Xem chi tiết Báo cáo định kỳ/đột xuất</t>
  </si>
  <si>
    <t>Hiển thị thông tin tổng quan, dữ liệu chi tiết, tài liệu liên quan và trạng thái của Báo cáo định kỳ/đột xuất.</t>
  </si>
  <si>
    <t>EXE-REPORT-004</t>
  </si>
  <si>
    <t>Chỉnh sửa Báo cáo định kỳ/đột xuất</t>
  </si>
  <si>
    <t>Cập nhật Báo cáo định kỳ/đột xuất khi trạng thái và quyền người dùng cho phép; kiểm soát xung đột cập nhật.</t>
  </si>
  <si>
    <t>EXE-REPORT-005</t>
  </si>
  <si>
    <t>Xóa/Ngừng sử dụng Báo cáo định kỳ/đột xuất</t>
  </si>
  <si>
    <t>Xóa logic hoặc ngừng sử dụng Báo cáo định kỳ/đột xuất sau khi kiểm tra ràng buộc tham chiếu.</t>
  </si>
  <si>
    <t>EXE-REPORT-006</t>
  </si>
  <si>
    <t>Trình duyệt Báo cáo định kỳ/đột xuất</t>
  </si>
  <si>
    <t>Kiểm tra điều kiện, khóa phiên bản trình và khởi tạo/tiếp tục quy trình phê duyệt Báo cáo định kỳ/đột xuất.</t>
  </si>
  <si>
    <t>EXE-REPORT-007</t>
  </si>
  <si>
    <t>Xem lịch sử Báo cáo định kỳ/đột xuất</t>
  </si>
  <si>
    <t>Theo dõi phiên bản, thay đổi dữ liệu, người thực hiện và lịch sử xử lý của Báo cáo định kỳ/đột xuất.</t>
  </si>
  <si>
    <t>EXE-REPORT-008</t>
  </si>
  <si>
    <t>Tổng hợp tiến độ, kinh phí, sản phẩm và rủi ro</t>
  </si>
  <si>
    <t>Tạo báo cáo kỳ từ dữ liệu thực hiện và cho phép giải trình sai lệch.</t>
  </si>
  <si>
    <t>ADJ-RD04-001</t>
  </si>
  <si>
    <t>Điều chỉnh, Tạm dừng &amp; Dừng</t>
  </si>
  <si>
    <t>Điều chỉnh nhiệm vụ</t>
  </si>
  <si>
    <t>Hồ sơ đổi chủ nhiệm</t>
  </si>
  <si>
    <t>Xem danh sách Hồ sơ đổi chủ nhiệm</t>
  </si>
  <si>
    <t>Tra cứu danh sách, phân trang, sắp xếp và lọc Hồ sơ đổi chủ nhiệm theo các tiêu chí nghiệp vụ.</t>
  </si>
  <si>
    <t>RD04</t>
  </si>
  <si>
    <t>Hiệu chỉnh và bổ sung</t>
  </si>
  <si>
    <t>ADJ-RD04-002</t>
  </si>
  <si>
    <t>Tạo mới Hồ sơ đổi chủ nhiệm</t>
  </si>
  <si>
    <t>Khởi tạo Hồ sơ đổi chủ nhiệm, kiểm tra dữ liệu bắt buộc và lưu nháp trước khi hoàn tất.</t>
  </si>
  <si>
    <t>ADJ-RD04-003</t>
  </si>
  <si>
    <t>Xem chi tiết Hồ sơ đổi chủ nhiệm</t>
  </si>
  <si>
    <t>Hiển thị thông tin tổng quan, dữ liệu chi tiết, tài liệu liên quan và trạng thái của Hồ sơ đổi chủ nhiệm.</t>
  </si>
  <si>
    <t>ADJ-RD04-004</t>
  </si>
  <si>
    <t>Chỉnh sửa Hồ sơ đổi chủ nhiệm</t>
  </si>
  <si>
    <t>Cập nhật Hồ sơ đổi chủ nhiệm khi trạng thái và quyền người dùng cho phép; kiểm soát xung đột cập nhật.</t>
  </si>
  <si>
    <t>ADJ-RD04-005</t>
  </si>
  <si>
    <t>Xóa/Ngừng sử dụng Hồ sơ đổi chủ nhiệm</t>
  </si>
  <si>
    <t>Xóa logic hoặc ngừng sử dụng Hồ sơ đổi chủ nhiệm sau khi kiểm tra ràng buộc tham chiếu.</t>
  </si>
  <si>
    <t>ADJ-RD04-006</t>
  </si>
  <si>
    <t>Trình duyệt Hồ sơ đổi chủ nhiệm</t>
  </si>
  <si>
    <t>Kiểm tra điều kiện, khóa phiên bản trình và khởi tạo/tiếp tục quy trình phê duyệt Hồ sơ đổi chủ nhiệm.</t>
  </si>
  <si>
    <t>ADJ-RD04-007</t>
  </si>
  <si>
    <t>Xem lịch sử Hồ sơ đổi chủ nhiệm</t>
  </si>
  <si>
    <t>Theo dõi phiên bản, thay đổi dữ liệu, người thực hiện và lịch sử xử lý của Hồ sơ đổi chủ nhiệm.</t>
  </si>
  <si>
    <t>ADJ-RD04-008</t>
  </si>
  <si>
    <t>Hồ sơ điều chỉnh nội dung/thời gian/dự toán</t>
  </si>
  <si>
    <t>Xem danh sách Hồ sơ điều chỉnh nội dung/thời gian/dự toán</t>
  </si>
  <si>
    <t>Tra cứu danh sách, phân trang, sắp xếp và lọc Hồ sơ điều chỉnh nội dung/thời gian/dự toán theo các tiêu chí nghiệp vụ.</t>
  </si>
  <si>
    <t>ADJ-RD04-009</t>
  </si>
  <si>
    <t>Tạo mới Hồ sơ điều chỉnh nội dung/thời gian/dự toán</t>
  </si>
  <si>
    <t>Khởi tạo Hồ sơ điều chỉnh nội dung/thời gian/dự toán, kiểm tra dữ liệu bắt buộc và lưu nháp trước khi hoàn tất.</t>
  </si>
  <si>
    <t>ADJ-RD04-010</t>
  </si>
  <si>
    <t>Xem chi tiết Hồ sơ điều chỉnh nội dung/thời gian/dự toán</t>
  </si>
  <si>
    <t>Hiển thị thông tin tổng quan, dữ liệu chi tiết, tài liệu liên quan và trạng thái của Hồ sơ điều chỉnh nội dung/thời gian/dự toán.</t>
  </si>
  <si>
    <t>ADJ-RD04-011</t>
  </si>
  <si>
    <t>Chỉnh sửa Hồ sơ điều chỉnh nội dung/thời gian/dự toán</t>
  </si>
  <si>
    <t>Cập nhật Hồ sơ điều chỉnh nội dung/thời gian/dự toán khi trạng thái và quyền người dùng cho phép; kiểm soát xung đột cập nhật.</t>
  </si>
  <si>
    <t>ADJ-RD04-012</t>
  </si>
  <si>
    <t>Xóa/Ngừng sử dụng Hồ sơ điều chỉnh nội dung/thời gian/dự toán</t>
  </si>
  <si>
    <t>Xóa logic hoặc ngừng sử dụng Hồ sơ điều chỉnh nội dung/thời gian/dự toán sau khi kiểm tra ràng buộc tham chiếu.</t>
  </si>
  <si>
    <t>ADJ-RD04-013</t>
  </si>
  <si>
    <t>Trình duyệt Hồ sơ điều chỉnh nội dung/thời gian/dự toán</t>
  </si>
  <si>
    <t>Kiểm tra điều kiện, khóa phiên bản trình và khởi tạo/tiếp tục quy trình phê duyệt Hồ sơ điều chỉnh nội dung/thời gian/dự toán.</t>
  </si>
  <si>
    <t>ADJ-RD04-014</t>
  </si>
  <si>
    <t>Xem lịch sử Hồ sơ điều chỉnh nội dung/thời gian/dự toán</t>
  </si>
  <si>
    <t>Theo dõi phiên bản, thay đổi dữ liệu, người thực hiện và lịch sử xử lý của Hồ sơ điều chỉnh nội dung/thời gian/dự toán.</t>
  </si>
  <si>
    <t>ADJ-RD04-015</t>
  </si>
  <si>
    <t>Hồ sơ tạm dừng nhiệm vụ</t>
  </si>
  <si>
    <t>Xem danh sách Hồ sơ tạm dừng nhiệm vụ</t>
  </si>
  <si>
    <t>Tra cứu danh sách, phân trang, sắp xếp và lọc Hồ sơ tạm dừng nhiệm vụ theo các tiêu chí nghiệp vụ.</t>
  </si>
  <si>
    <t>ADJ-RD04-016</t>
  </si>
  <si>
    <t>Tạo mới Hồ sơ tạm dừng nhiệm vụ</t>
  </si>
  <si>
    <t>Khởi tạo Hồ sơ tạm dừng nhiệm vụ, kiểm tra dữ liệu bắt buộc và lưu nháp trước khi hoàn tất.</t>
  </si>
  <si>
    <t>ADJ-RD04-017</t>
  </si>
  <si>
    <t>Xem chi tiết Hồ sơ tạm dừng nhiệm vụ</t>
  </si>
  <si>
    <t>Hiển thị thông tin tổng quan, dữ liệu chi tiết, tài liệu liên quan và trạng thái của Hồ sơ tạm dừng nhiệm vụ.</t>
  </si>
  <si>
    <t>ADJ-RD04-018</t>
  </si>
  <si>
    <t>Chỉnh sửa Hồ sơ tạm dừng nhiệm vụ</t>
  </si>
  <si>
    <t>Cập nhật Hồ sơ tạm dừng nhiệm vụ khi trạng thái và quyền người dùng cho phép; kiểm soát xung đột cập nhật.</t>
  </si>
  <si>
    <t>ADJ-RD04-019</t>
  </si>
  <si>
    <t>Xóa/Ngừng sử dụng Hồ sơ tạm dừng nhiệm vụ</t>
  </si>
  <si>
    <t>Xóa logic hoặc ngừng sử dụng Hồ sơ tạm dừng nhiệm vụ sau khi kiểm tra ràng buộc tham chiếu.</t>
  </si>
  <si>
    <t>ADJ-RD04-020</t>
  </si>
  <si>
    <t>Trình duyệt Hồ sơ tạm dừng nhiệm vụ</t>
  </si>
  <si>
    <t>Kiểm tra điều kiện, khóa phiên bản trình và khởi tạo/tiếp tục quy trình phê duyệt Hồ sơ tạm dừng nhiệm vụ.</t>
  </si>
  <si>
    <t>ADJ-RD04-021</t>
  </si>
  <si>
    <t>Xem lịch sử Hồ sơ tạm dừng nhiệm vụ</t>
  </si>
  <si>
    <t>Theo dõi phiên bản, thay đổi dữ liệu, người thực hiện và lịch sử xử lý của Hồ sơ tạm dừng nhiệm vụ.</t>
  </si>
  <si>
    <t>ADJ-RD04-022</t>
  </si>
  <si>
    <t>Hồ sơ dừng nhiệm vụ</t>
  </si>
  <si>
    <t>Xem danh sách Hồ sơ dừng nhiệm vụ</t>
  </si>
  <si>
    <t>Tra cứu danh sách, phân trang, sắp xếp và lọc Hồ sơ dừng nhiệm vụ theo các tiêu chí nghiệp vụ.</t>
  </si>
  <si>
    <t>ADJ-RD04-023</t>
  </si>
  <si>
    <t>Tạo mới Hồ sơ dừng nhiệm vụ</t>
  </si>
  <si>
    <t>Khởi tạo Hồ sơ dừng nhiệm vụ, kiểm tra dữ liệu bắt buộc và lưu nháp trước khi hoàn tất.</t>
  </si>
  <si>
    <t>ADJ-RD04-024</t>
  </si>
  <si>
    <t>Xem chi tiết Hồ sơ dừng nhiệm vụ</t>
  </si>
  <si>
    <t>Hiển thị thông tin tổng quan, dữ liệu chi tiết, tài liệu liên quan và trạng thái của Hồ sơ dừng nhiệm vụ.</t>
  </si>
  <si>
    <t>ADJ-RD04-025</t>
  </si>
  <si>
    <t>Chỉnh sửa Hồ sơ dừng nhiệm vụ</t>
  </si>
  <si>
    <t>Cập nhật Hồ sơ dừng nhiệm vụ khi trạng thái và quyền người dùng cho phép; kiểm soát xung đột cập nhật.</t>
  </si>
  <si>
    <t>ADJ-RD04-026</t>
  </si>
  <si>
    <t>Xóa/Ngừng sử dụng Hồ sơ dừng nhiệm vụ</t>
  </si>
  <si>
    <t>Xóa logic hoặc ngừng sử dụng Hồ sơ dừng nhiệm vụ sau khi kiểm tra ràng buộc tham chiếu.</t>
  </si>
  <si>
    <t>ADJ-RD04-027</t>
  </si>
  <si>
    <t>Trình duyệt Hồ sơ dừng nhiệm vụ</t>
  </si>
  <si>
    <t>Kiểm tra điều kiện, khóa phiên bản trình và khởi tạo/tiếp tục quy trình phê duyệt Hồ sơ dừng nhiệm vụ.</t>
  </si>
  <si>
    <t>ADJ-RD04-028</t>
  </si>
  <si>
    <t>Xem lịch sử Hồ sơ dừng nhiệm vụ</t>
  </si>
  <si>
    <t>Theo dõi phiên bản, thay đổi dữ liệu, người thực hiện và lịch sử xử lý của Hồ sơ dừng nhiệm vụ.</t>
  </si>
  <si>
    <t>ADJ-RD04-029</t>
  </si>
  <si>
    <t>Đánh giá tác động</t>
  </si>
  <si>
    <t>So sánh trước/sau và đánh giá tác động điều chỉnh</t>
  </si>
  <si>
    <t>Hiển thị thay đổi phạm vi, thời gian, kinh phí, nhân sự, sản phẩm và các hồ sơ phụ thuộc.</t>
  </si>
  <si>
    <t>Cán bộ KHCN/Người duyệt</t>
  </si>
  <si>
    <t>ADJ-RD04-030</t>
  </si>
  <si>
    <t>Áp dụng kết quả</t>
  </si>
  <si>
    <t>Cập nhật baseline sau phê duyệt</t>
  </si>
  <si>
    <t>Chỉ cập nhật dữ liệu nhiệm vụ khi quyết định điều chỉnh đã được ban hành; giữ lịch sử baseline cũ.</t>
  </si>
  <si>
    <t>ACC-RD05-001</t>
  </si>
  <si>
    <t>Nghiệm thu</t>
  </si>
  <si>
    <t>Nghiệm thu nhiệm vụ</t>
  </si>
  <si>
    <t>Hồ sơ nghiệm thu</t>
  </si>
  <si>
    <t>Xem danh sách Hồ sơ nghiệm thu</t>
  </si>
  <si>
    <t>Tra cứu danh sách, phân trang, sắp xếp và lọc Hồ sơ nghiệm thu theo các tiêu chí nghiệp vụ.</t>
  </si>
  <si>
    <t>RD05</t>
  </si>
  <si>
    <t>ACC-RD05-002</t>
  </si>
  <si>
    <t>Tạo mới Hồ sơ nghiệm thu</t>
  </si>
  <si>
    <t>Khởi tạo Hồ sơ nghiệm thu, kiểm tra dữ liệu bắt buộc và lưu nháp trước khi hoàn tất.</t>
  </si>
  <si>
    <t>ACC-RD05-003</t>
  </si>
  <si>
    <t>Xem chi tiết Hồ sơ nghiệm thu</t>
  </si>
  <si>
    <t>Hiển thị thông tin tổng quan, dữ liệu chi tiết, tài liệu liên quan và trạng thái của Hồ sơ nghiệm thu.</t>
  </si>
  <si>
    <t>ACC-RD05-004</t>
  </si>
  <si>
    <t>Chỉnh sửa Hồ sơ nghiệm thu</t>
  </si>
  <si>
    <t>Cập nhật Hồ sơ nghiệm thu khi trạng thái và quyền người dùng cho phép; kiểm soát xung đột cập nhật.</t>
  </si>
  <si>
    <t>ACC-RD05-005</t>
  </si>
  <si>
    <t>Xóa/Ngừng sử dụng Hồ sơ nghiệm thu</t>
  </si>
  <si>
    <t>Xóa logic hoặc ngừng sử dụng Hồ sơ nghiệm thu sau khi kiểm tra ràng buộc tham chiếu.</t>
  </si>
  <si>
    <t>ACC-RD05-006</t>
  </si>
  <si>
    <t>Trình duyệt Hồ sơ nghiệm thu</t>
  </si>
  <si>
    <t>Kiểm tra điều kiện, khóa phiên bản trình và khởi tạo/tiếp tục quy trình phê duyệt Hồ sơ nghiệm thu.</t>
  </si>
  <si>
    <t>ACC-RD05-007</t>
  </si>
  <si>
    <t>Xem lịch sử Hồ sơ nghiệm thu</t>
  </si>
  <si>
    <t>Theo dõi phiên bản, thay đổi dữ liệu, người thực hiện và lịch sử xử lý của Hồ sơ nghiệm thu.</t>
  </si>
  <si>
    <t>ACC-RD05-008</t>
  </si>
  <si>
    <t>Điều kiện</t>
  </si>
  <si>
    <t>Kiểm tra điều kiện đăng ký nghiệm thu</t>
  </si>
  <si>
    <t>Kiểm tra tiến độ, sản phẩm, báo cáo, tài chính, tài liệu và nghĩa vụ cần hoàn thành.</t>
  </si>
  <si>
    <t>ACC-RD05-009</t>
  </si>
  <si>
    <t>Sản phẩm</t>
  </si>
  <si>
    <t>Đối chiếu sản phẩm đăng ký và thực tế</t>
  </si>
  <si>
    <t>So sánh số lượng, chất lượng, chỉ tiêu, bằng chứng và trạng thái bàn giao.</t>
  </si>
  <si>
    <t>Hội đồng/Cán bộ KHCN</t>
  </si>
  <si>
    <t>ACC-RD05-010</t>
  </si>
  <si>
    <t>Kết luận</t>
  </si>
  <si>
    <t>Xếp loại và công nhận kết quả nghiệm thu</t>
  </si>
  <si>
    <t>Tổng hợp hội đồng, xếp loại, yêu cầu hoàn thiện và ban hành quyết định công nhận.</t>
  </si>
  <si>
    <t>Hội đồng/Lãnh đạo/Cán bộ KHCN</t>
  </si>
  <si>
    <t>ACC-RD05-011</t>
  </si>
  <si>
    <t>Sau nghiệm thu</t>
  </si>
  <si>
    <t>Theo dõi hoàn thiện sau nghiệm thu</t>
  </si>
  <si>
    <t>Quản lý yêu cầu chỉnh sửa, hạn hoàn thành và xác nhận hồ sơ cuối cùng.</t>
  </si>
  <si>
    <t>SET-RD06-001</t>
  </si>
  <si>
    <t>Quyết toán</t>
  </si>
  <si>
    <t>Quyết toán nhiệm vụ</t>
  </si>
  <si>
    <t>Hồ sơ quyết toán</t>
  </si>
  <si>
    <t>Xem danh sách Hồ sơ quyết toán</t>
  </si>
  <si>
    <t>Tra cứu danh sách, phân trang, sắp xếp và lọc Hồ sơ quyết toán theo các tiêu chí nghiệp vụ.</t>
  </si>
  <si>
    <t>RD06</t>
  </si>
  <si>
    <t>SET-RD06-002</t>
  </si>
  <si>
    <t>Tạo mới Hồ sơ quyết toán</t>
  </si>
  <si>
    <t>Khởi tạo Hồ sơ quyết toán, kiểm tra dữ liệu bắt buộc và lưu nháp trước khi hoàn tất.</t>
  </si>
  <si>
    <t>SET-RD06-003</t>
  </si>
  <si>
    <t>Xem chi tiết Hồ sơ quyết toán</t>
  </si>
  <si>
    <t>Hiển thị thông tin tổng quan, dữ liệu chi tiết, tài liệu liên quan và trạng thái của Hồ sơ quyết toán.</t>
  </si>
  <si>
    <t>SET-RD06-004</t>
  </si>
  <si>
    <t>Chỉnh sửa Hồ sơ quyết toán</t>
  </si>
  <si>
    <t>Cập nhật Hồ sơ quyết toán khi trạng thái và quyền người dùng cho phép; kiểm soát xung đột cập nhật.</t>
  </si>
  <si>
    <t>SET-RD06-005</t>
  </si>
  <si>
    <t>Xóa/Ngừng sử dụng Hồ sơ quyết toán</t>
  </si>
  <si>
    <t>Xóa logic hoặc ngừng sử dụng Hồ sơ quyết toán sau khi kiểm tra ràng buộc tham chiếu.</t>
  </si>
  <si>
    <t>SET-RD06-006</t>
  </si>
  <si>
    <t>Trình duyệt Hồ sơ quyết toán</t>
  </si>
  <si>
    <t>Kiểm tra điều kiện, khóa phiên bản trình và khởi tạo/tiếp tục quy trình phê duyệt Hồ sơ quyết toán.</t>
  </si>
  <si>
    <t>SET-RD06-007</t>
  </si>
  <si>
    <t>Xem lịch sử Hồ sơ quyết toán</t>
  </si>
  <si>
    <t>Theo dõi phiên bản, thay đổi dữ liệu, người thực hiện và lịch sử xử lý của Hồ sơ quyết toán.</t>
  </si>
  <si>
    <t>SET-RD06-008</t>
  </si>
  <si>
    <t>Tổng hợp tài chính</t>
  </si>
  <si>
    <t>Tổng hợp dự toán, giải ngân và thực chi</t>
  </si>
  <si>
    <t>Đối chiếu theo nguồn, khoản mục, năm và chứng từ; tính chênh lệch có giải trình.</t>
  </si>
  <si>
    <t>SET-RD06-009</t>
  </si>
  <si>
    <t>Chứng từ</t>
  </si>
  <si>
    <t>Quản lý chứng từ quyết toán</t>
  </si>
  <si>
    <t>Liên kết chứng từ SAP/DMS, kiểm tra trùng, trạng thái hợp lệ và tài liệu bổ sung.</t>
  </si>
  <si>
    <t>SET-RD06-010</t>
  </si>
  <si>
    <t>Đối soát</t>
  </si>
  <si>
    <t>Đối soát dữ liệu tài chính với SAP</t>
  </si>
  <si>
    <t>Ghi nhận sai lệch, trạng thái xử lý và lịch sử đồng bộ/đối soát.</t>
  </si>
  <si>
    <t>Tài chính/Quản trị tích hợp</t>
  </si>
  <si>
    <t>SET-RD06-011</t>
  </si>
  <si>
    <t>Ban hành kết quả quyết toán và đóng tài chính</t>
  </si>
  <si>
    <t>Sinh quyết định/biên bản, cập nhật số quyết toán và khóa dữ liệu tài chính.</t>
  </si>
  <si>
    <t>Tài chính/Lãnh đạo</t>
  </si>
  <si>
    <t>OUT-PROD-001</t>
  </si>
  <si>
    <t>Sản phẩm Nghiên cứu &amp; SHTT</t>
  </si>
  <si>
    <t>Sản phẩm nghiên cứu</t>
  </si>
  <si>
    <t>Xem danh sách Sản phẩm nghiên cứu</t>
  </si>
  <si>
    <t>Tra cứu danh sách, phân trang, sắp xếp và lọc Sản phẩm nghiên cứu theo các tiêu chí nghiệp vụ.</t>
  </si>
  <si>
    <t>RD07</t>
  </si>
  <si>
    <t>OUT-PROD-002</t>
  </si>
  <si>
    <t>Tạo mới Sản phẩm nghiên cứu</t>
  </si>
  <si>
    <t>Khởi tạo Sản phẩm nghiên cứu, kiểm tra dữ liệu bắt buộc và lưu nháp trước khi hoàn tất.</t>
  </si>
  <si>
    <t>OUT-PROD-003</t>
  </si>
  <si>
    <t>Xem chi tiết Sản phẩm nghiên cứu</t>
  </si>
  <si>
    <t>Hiển thị thông tin tổng quan, dữ liệu chi tiết, tài liệu liên quan và trạng thái của Sản phẩm nghiên cứu.</t>
  </si>
  <si>
    <t>OUT-PROD-004</t>
  </si>
  <si>
    <t>Chỉnh sửa Sản phẩm nghiên cứu</t>
  </si>
  <si>
    <t>Cập nhật Sản phẩm nghiên cứu khi trạng thái và quyền người dùng cho phép; kiểm soát xung đột cập nhật.</t>
  </si>
  <si>
    <t>OUT-PROD-005</t>
  </si>
  <si>
    <t>Xóa/Ngừng sử dụng Sản phẩm nghiên cứu</t>
  </si>
  <si>
    <t>Xóa logic hoặc ngừng sử dụng Sản phẩm nghiên cứu sau khi kiểm tra ràng buộc tham chiếu.</t>
  </si>
  <si>
    <t>OUT-PROD-006</t>
  </si>
  <si>
    <t>Xem lịch sử Sản phẩm nghiên cứu</t>
  </si>
  <si>
    <t>Theo dõi phiên bản, thay đổi dữ liệu, người thực hiện và lịch sử xử lý của Sản phẩm nghiên cứu.</t>
  </si>
  <si>
    <t>OUT-PROD-007</t>
  </si>
  <si>
    <t>Đối chiếu</t>
  </si>
  <si>
    <t>Đối chiếu sản phẩm cam kết và thực tế</t>
  </si>
  <si>
    <t>Theo dõi chỉ tiêu, số lượng, chất lượng, trạng thái nghiệm thu, bàn giao và ứng dụng.</t>
  </si>
  <si>
    <t>OUT-IP-001</t>
  </si>
  <si>
    <t>Sở hữu trí tuệ</t>
  </si>
  <si>
    <t>Hồ sơ sở hữu trí tuệ</t>
  </si>
  <si>
    <t>Xem danh sách Hồ sơ sở hữu trí tuệ</t>
  </si>
  <si>
    <t>Tra cứu danh sách, phân trang, sắp xếp và lọc Hồ sơ sở hữu trí tuệ theo các tiêu chí nghiệp vụ.</t>
  </si>
  <si>
    <t>Chủ nhiệm/Cán bộ SHTT</t>
  </si>
  <si>
    <t>RD08</t>
  </si>
  <si>
    <t>OUT-IP-002</t>
  </si>
  <si>
    <t>Tạo mới Hồ sơ sở hữu trí tuệ</t>
  </si>
  <si>
    <t>Khởi tạo Hồ sơ sở hữu trí tuệ, kiểm tra dữ liệu bắt buộc và lưu nháp trước khi hoàn tất.</t>
  </si>
  <si>
    <t>OUT-IP-003</t>
  </si>
  <si>
    <t>Xem chi tiết Hồ sơ sở hữu trí tuệ</t>
  </si>
  <si>
    <t>Hiển thị thông tin tổng quan, dữ liệu chi tiết, tài liệu liên quan và trạng thái của Hồ sơ sở hữu trí tuệ.</t>
  </si>
  <si>
    <t>OUT-IP-004</t>
  </si>
  <si>
    <t>Chỉnh sửa Hồ sơ sở hữu trí tuệ</t>
  </si>
  <si>
    <t>Cập nhật Hồ sơ sở hữu trí tuệ khi trạng thái và quyền người dùng cho phép; kiểm soát xung đột cập nhật.</t>
  </si>
  <si>
    <t>OUT-IP-005</t>
  </si>
  <si>
    <t>Xóa/Ngừng sử dụng Hồ sơ sở hữu trí tuệ</t>
  </si>
  <si>
    <t>Xóa logic hoặc ngừng sử dụng Hồ sơ sở hữu trí tuệ sau khi kiểm tra ràng buộc tham chiếu.</t>
  </si>
  <si>
    <t>OUT-IP-006</t>
  </si>
  <si>
    <t>Trình duyệt Hồ sơ sở hữu trí tuệ</t>
  </si>
  <si>
    <t>Kiểm tra điều kiện, khóa phiên bản trình và khởi tạo/tiếp tục quy trình phê duyệt Hồ sơ sở hữu trí tuệ.</t>
  </si>
  <si>
    <t>OUT-IP-007</t>
  </si>
  <si>
    <t>Xem lịch sử Hồ sơ sở hữu trí tuệ</t>
  </si>
  <si>
    <t>Theo dõi phiên bản, thay đổi dữ liệu, người thực hiện và lịch sử xử lý của Hồ sơ sở hữu trí tuệ.</t>
  </si>
  <si>
    <t>OUT-IP-008</t>
  </si>
  <si>
    <t>Quyền sở hữu</t>
  </si>
  <si>
    <t>Quản lý tác giả, chủ sở hữu và tỷ lệ quyền</t>
  </si>
  <si>
    <t>Theo dõi cá nhân/tổ chức, quyền và căn cứ phân chia cho từng tài sản SHTT.</t>
  </si>
  <si>
    <t>Cán bộ SHTT</t>
  </si>
  <si>
    <t>OUT-IP-009</t>
  </si>
  <si>
    <t>Đăng ký bảo hộ</t>
  </si>
  <si>
    <t>Theo dõi trạng thái đơn và văn bằng bảo hộ</t>
  </si>
  <si>
    <t>Quản lý số đơn, ngày nộp, quốc gia, giai đoạn thẩm định, hiệu lực và gia hạn.</t>
  </si>
  <si>
    <t>OUT-PUB-001</t>
  </si>
  <si>
    <t>Công bố khoa học</t>
  </si>
  <si>
    <t>Bài báo/Sáng chế/Giải pháp hữu ích</t>
  </si>
  <si>
    <t>Xem danh sách Bài báo/Sáng chế/Giải pháp hữu ích</t>
  </si>
  <si>
    <t>Tra cứu danh sách, phân trang, sắp xếp và lọc Bài báo/Sáng chế/Giải pháp hữu ích theo các tiêu chí nghiệp vụ.</t>
  </si>
  <si>
    <t>RD07,RD08</t>
  </si>
  <si>
    <t>OUT-PUB-002</t>
  </si>
  <si>
    <t>Tạo mới Bài báo/Sáng chế/Giải pháp hữu ích</t>
  </si>
  <si>
    <t>Khởi tạo Bài báo/Sáng chế/Giải pháp hữu ích, kiểm tra dữ liệu bắt buộc và lưu nháp trước khi hoàn tất.</t>
  </si>
  <si>
    <t>OUT-PUB-003</t>
  </si>
  <si>
    <t>Xem chi tiết Bài báo/Sáng chế/Giải pháp hữu ích</t>
  </si>
  <si>
    <t>Hiển thị thông tin tổng quan, dữ liệu chi tiết, tài liệu liên quan và trạng thái của Bài báo/Sáng chế/Giải pháp hữu ích.</t>
  </si>
  <si>
    <t>OUT-PUB-004</t>
  </si>
  <si>
    <t>Chỉnh sửa Bài báo/Sáng chế/Giải pháp hữu ích</t>
  </si>
  <si>
    <t>Cập nhật Bài báo/Sáng chế/Giải pháp hữu ích khi trạng thái và quyền người dùng cho phép; kiểm soát xung đột cập nhật.</t>
  </si>
  <si>
    <t>OUT-PUB-005</t>
  </si>
  <si>
    <t>Xóa/Ngừng sử dụng Bài báo/Sáng chế/Giải pháp hữu ích</t>
  </si>
  <si>
    <t>Xóa logic hoặc ngừng sử dụng Bài báo/Sáng chế/Giải pháp hữu ích sau khi kiểm tra ràng buộc tham chiếu.</t>
  </si>
  <si>
    <t>OUT-PUB-006</t>
  </si>
  <si>
    <t>Xem lịch sử Bài báo/Sáng chế/Giải pháp hữu ích</t>
  </si>
  <si>
    <t>Theo dõi phiên bản, thay đổi dữ liệu, người thực hiện và lịch sử xử lý của Bài báo/Sáng chế/Giải pháp hữu ích.</t>
  </si>
  <si>
    <t>OUT-TECH-001</t>
  </si>
  <si>
    <t>Công nghệ &amp; chuyển giao</t>
  </si>
  <si>
    <t>Công nghệ lõi</t>
  </si>
  <si>
    <t>Quản lý công nghệ hình thành từ nhiệm vụ</t>
  </si>
  <si>
    <t>Theo dõi mô tả, TRL, khả năng ứng dụng, đơn vị tiếp nhận và bằng chứng chuyển giao.</t>
  </si>
  <si>
    <t>RPT-DASH-001</t>
  </si>
  <si>
    <t>Báo cáo &amp; Điều hành</t>
  </si>
  <si>
    <t>Dashboard lãnh đạo</t>
  </si>
  <si>
    <t>Tổng quan</t>
  </si>
  <si>
    <t>Dashboard đa cấp theo phạm vi dữ liệu</t>
  </si>
  <si>
    <t>Hiển thị KPI theo tập đoàn/đơn vị/lĩnh vực/cấp nhiệm vụ và hỗ trợ drill-down.</t>
  </si>
  <si>
    <t>RD09</t>
  </si>
  <si>
    <t>RPT-DASH-002</t>
  </si>
  <si>
    <t>KPI</t>
  </si>
  <si>
    <t>KPI vòng đời nhiệm vụ</t>
  </si>
  <si>
    <t>Số lượng và trạng thái nhiệm vụ theo giai đoạn, đơn vị và lĩnh vực.</t>
  </si>
  <si>
    <t>RPT-DASH-003</t>
  </si>
  <si>
    <t>KPI tiến độ và SLA</t>
  </si>
  <si>
    <t>Tỷ lệ đúng hạn, task quá hạn, thời gian phê duyệt và bottleneck.</t>
  </si>
  <si>
    <t>RPT-DASH-004</t>
  </si>
  <si>
    <t>KPI kinh phí</t>
  </si>
  <si>
    <t>Dự toán, giải ngân, thực chi, quyết toán và chênh lệch.</t>
  </si>
  <si>
    <t>RPT-DASH-005</t>
  </si>
  <si>
    <t>KPI nhân sự</t>
  </si>
  <si>
    <t>Phân bổ chủ nhiệm, thành viên, chuyên gia và tải công việc.</t>
  </si>
  <si>
    <t>RPT-DASH-006</t>
  </si>
  <si>
    <t>KPI sản phẩm/SHTT</t>
  </si>
  <si>
    <t>Sản phẩm cam kết/thực tế, bài báo, sáng chế và trạng thái bảo hộ.</t>
  </si>
  <si>
    <t>RPT-DASH-007</t>
  </si>
  <si>
    <t>Cảnh báo điều hành</t>
  </si>
  <si>
    <t>Nhiệm vụ trễ, vượt dự toán, hồ sơ thiếu, hội đồng chậm và tích hợp lỗi.</t>
  </si>
  <si>
    <t>RPT-REPORT-001</t>
  </si>
  <si>
    <t>Báo cáo nghiệp vụ</t>
  </si>
  <si>
    <t>Báo cáo chuẩn</t>
  </si>
  <si>
    <t>Danh mục báo cáo chuẩn RD09</t>
  </si>
  <si>
    <t>Cung cấp báo cáo tổng hợp nhiệm vụ, hồ sơ, tiến độ, kinh phí, nhân sự, sản phẩm và phê duyệt.</t>
  </si>
  <si>
    <t>RPT-REPORT-002</t>
  </si>
  <si>
    <t>Bộ lọc</t>
  </si>
  <si>
    <t>Lọc, nhóm và drill-down báo cáo</t>
  </si>
  <si>
    <t>Áp dụng thời gian, đơn vị, lĩnh vực, cấp nhiệm vụ, trạng thái và quyền dữ liệu.</t>
  </si>
  <si>
    <t>Người xem báo cáo</t>
  </si>
  <si>
    <t>RPT-REPORT-003</t>
  </si>
  <si>
    <t>Kết xuất</t>
  </si>
  <si>
    <t>Xuất Excel/PDF và lập lịch gửi báo cáo</t>
  </si>
  <si>
    <t>Kết xuất đúng dữ liệu theo quyền, lưu cấu hình và gửi định kỳ.</t>
  </si>
  <si>
    <t>ARC-LEGAL-001</t>
  </si>
  <si>
    <t>Lưu trữ, Pháp lý &amp; Tra cứu</t>
  </si>
  <si>
    <t>Hồ sơ pháp lý</t>
  </si>
  <si>
    <t>Xem danh sách Hồ sơ pháp lý</t>
  </si>
  <si>
    <t>Tra cứu danh sách, phân trang, sắp xếp và lọc Hồ sơ pháp lý theo các tiêu chí nghiệp vụ.</t>
  </si>
  <si>
    <t>Cán bộ KHCN/Pháp chế</t>
  </si>
  <si>
    <t>RD10</t>
  </si>
  <si>
    <t>ARC-LEGAL-002</t>
  </si>
  <si>
    <t>Tạo mới Hồ sơ pháp lý</t>
  </si>
  <si>
    <t>Khởi tạo Hồ sơ pháp lý, kiểm tra dữ liệu bắt buộc và lưu nháp trước khi hoàn tất.</t>
  </si>
  <si>
    <t>ARC-LEGAL-003</t>
  </si>
  <si>
    <t>Xem chi tiết Hồ sơ pháp lý</t>
  </si>
  <si>
    <t>Hiển thị thông tin tổng quan, dữ liệu chi tiết, tài liệu liên quan và trạng thái của Hồ sơ pháp lý.</t>
  </si>
  <si>
    <t>ARC-LEGAL-004</t>
  </si>
  <si>
    <t>Chỉnh sửa Hồ sơ pháp lý</t>
  </si>
  <si>
    <t>Cập nhật Hồ sơ pháp lý khi trạng thái và quyền người dùng cho phép; kiểm soát xung đột cập nhật.</t>
  </si>
  <si>
    <t>ARC-LEGAL-005</t>
  </si>
  <si>
    <t>Xóa/Ngừng sử dụng Hồ sơ pháp lý</t>
  </si>
  <si>
    <t>Xóa logic hoặc ngừng sử dụng Hồ sơ pháp lý sau khi kiểm tra ràng buộc tham chiếu.</t>
  </si>
  <si>
    <t>ARC-LEGAL-006</t>
  </si>
  <si>
    <t>Trình duyệt Hồ sơ pháp lý</t>
  </si>
  <si>
    <t>Kiểm tra điều kiện, khóa phiên bản trình và khởi tạo/tiếp tục quy trình phê duyệt Hồ sơ pháp lý.</t>
  </si>
  <si>
    <t>ARC-LEGAL-007</t>
  </si>
  <si>
    <t>Xem lịch sử Hồ sơ pháp lý</t>
  </si>
  <si>
    <t>Theo dõi phiên bản, thay đổi dữ liệu, người thực hiện và lịch sử xử lý của Hồ sơ pháp lý.</t>
  </si>
  <si>
    <t>ARC-LEGAL-008</t>
  </si>
  <si>
    <t>Phân loại quyết định, hợp đồng, phụ lục và biên bản</t>
  </si>
  <si>
    <t>Gắn loại tài liệu, nhiệm vụ, hiệu lực, mức mật và thời hạn lưu trữ.</t>
  </si>
  <si>
    <t>ARC-ARCH-001</t>
  </si>
  <si>
    <t>Lưu trữ điện tử</t>
  </si>
  <si>
    <t>Nộp lưu</t>
  </si>
  <si>
    <t>Đóng gói và nộp lưu hồ sơ hoàn tất</t>
  </si>
  <si>
    <t>Kiểm tra checklist, tạo gói hồ sơ, checksum, metadata và biên bản nộp lưu.</t>
  </si>
  <si>
    <t>Văn thư/Cán bộ KHCN</t>
  </si>
  <si>
    <t>ARC-ARCH-002</t>
  </si>
  <si>
    <t>Vòng đời lưu trữ</t>
  </si>
  <si>
    <t>Quản lý thời hạn lưu và tiêu hủy</t>
  </si>
  <si>
    <t>Áp dụng retention schedule, legal hold và quy trình phê duyệt tiêu hủy.</t>
  </si>
  <si>
    <t>Văn thư/Pháp chế</t>
  </si>
  <si>
    <t>ARC-SEARCH-001</t>
  </si>
  <si>
    <t>Tra cứu toàn văn</t>
  </si>
  <si>
    <t>Tìm kiếm</t>
  </si>
  <si>
    <t>Tìm kiếm toàn cục</t>
  </si>
  <si>
    <t>Tìm nhiệm vụ, hồ sơ, quyết định, tài liệu, sản phẩm và metadata theo quyền.</t>
  </si>
  <si>
    <t>ARC-SEARCH-002</t>
  </si>
  <si>
    <t>Tìm kiếm toàn văn tài liệu</t>
  </si>
  <si>
    <t>Đánh chỉ mục nội dung được phép, hỗ trợ từ khóa, bộ lọc và highlight.</t>
  </si>
  <si>
    <t>CFG-WFD-001</t>
  </si>
  <si>
    <t>Quy trình &amp; Cấu hình Nghiệp vụ</t>
  </si>
  <si>
    <t>Định nghĩa quy trình</t>
  </si>
  <si>
    <t>Quy trình nghiệp vụ</t>
  </si>
  <si>
    <t>Xem danh sách Quy trình nghiệp vụ</t>
  </si>
  <si>
    <t>Tra cứu danh sách, phân trang, sắp xếp và lọc Quy trình nghiệp vụ theo các tiêu chí nghiệp vụ.</t>
  </si>
  <si>
    <t>Quản trị quy trình/BA</t>
  </si>
  <si>
    <t>CFG-WFD-002</t>
  </si>
  <si>
    <t>Tạo mới Quy trình nghiệp vụ</t>
  </si>
  <si>
    <t>Khởi tạo Quy trình nghiệp vụ, kiểm tra dữ liệu bắt buộc và lưu nháp trước khi hoàn tất.</t>
  </si>
  <si>
    <t>CFG-WFD-003</t>
  </si>
  <si>
    <t>Sao chép Quy trình nghiệp vụ</t>
  </si>
  <si>
    <t>Tạo bản mới từ một Quy trình nghiệp vụ hiện hữu và loại bỏ các thông tin không được kế thừa.</t>
  </si>
  <si>
    <t>CFG-WFD-004</t>
  </si>
  <si>
    <t>Xem chi tiết Quy trình nghiệp vụ</t>
  </si>
  <si>
    <t>Hiển thị thông tin tổng quan, dữ liệu chi tiết, tài liệu liên quan và trạng thái của Quy trình nghiệp vụ.</t>
  </si>
  <si>
    <t>CFG-WFD-005</t>
  </si>
  <si>
    <t>Chỉnh sửa Quy trình nghiệp vụ</t>
  </si>
  <si>
    <t>Cập nhật Quy trình nghiệp vụ khi trạng thái và quyền người dùng cho phép; kiểm soát xung đột cập nhật.</t>
  </si>
  <si>
    <t>CFG-WFD-006</t>
  </si>
  <si>
    <t>Xóa/Ngừng sử dụng Quy trình nghiệp vụ</t>
  </si>
  <si>
    <t>Xóa logic hoặc ngừng sử dụng Quy trình nghiệp vụ sau khi kiểm tra ràng buộc tham chiếu.</t>
  </si>
  <si>
    <t>CFG-WFD-007</t>
  </si>
  <si>
    <t>Xem lịch sử Quy trình nghiệp vụ</t>
  </si>
  <si>
    <t>Theo dõi phiên bản, thay đổi dữ liệu, người thực hiện và lịch sử xử lý của Quy trình nghiệp vụ.</t>
  </si>
  <si>
    <t>CFG-WFD-008</t>
  </si>
  <si>
    <t>Quản lý trạng thái Draft/Test/Deployed/Suspended/Retired</t>
  </si>
  <si>
    <t>Kiểm soát chuyển trạng thái, quyền thao tác và điều kiện triển khai/ngừng sử dụng.</t>
  </si>
  <si>
    <t>Quản trị quy trình</t>
  </si>
  <si>
    <t>CFG-WFD-009</t>
  </si>
  <si>
    <t>Phiên bản</t>
  </si>
  <si>
    <t>So sánh và rollback phiên bản quy trình</t>
  </si>
  <si>
    <t>So sánh metadata/BPMN/DMN/form; rollback bằng phiên bản mới, không sửa bản production đang chạy.</t>
  </si>
  <si>
    <t>CFG-BPMN-001</t>
  </si>
  <si>
    <t>BPMN Designer</t>
  </si>
  <si>
    <t>Thiết kế</t>
  </si>
  <si>
    <t>Vẽ và import/export BPMN</t>
  </si>
  <si>
    <t>Canvas BPMN, palette, validation và import/export tệp .bpmn.</t>
  </si>
  <si>
    <t>BA/Quản trị quy trình</t>
  </si>
  <si>
    <t>CFG-BPMN-002</t>
  </si>
  <si>
    <t>Thư viện element và mẫu quy trình</t>
  </si>
  <si>
    <t>Cung cấp element mẫu, subprocess, boundary event và template tái sử dụng.</t>
  </si>
  <si>
    <t>CFG-BPMN-003</t>
  </si>
  <si>
    <t>Kiểm tra</t>
  </si>
  <si>
    <t>Validate BPMN và cấu hình liên quan</t>
  </si>
  <si>
    <t>Kiểm tra cú pháp, user task, service task, form, action, SLA, message và biến.</t>
  </si>
  <si>
    <t>CFG-BPMN-004</t>
  </si>
  <si>
    <t>Triển khai</t>
  </si>
  <si>
    <t>Test deploy và deploy Camunda 8</t>
  </si>
  <si>
    <t>Triển khai môi trường test/production, lưu deployment key và kết quả.</t>
  </si>
  <si>
    <t>CFG-BPMN-005</t>
  </si>
  <si>
    <t>Governance</t>
  </si>
  <si>
    <t>Review và phê duyệt phiên bản BPMN</t>
  </si>
  <si>
    <t>Áp dụng peer review, BA validation, technical validation, UAT và version lock.</t>
  </si>
  <si>
    <t>BA/Kỹ thuật/Quản trị quy trình</t>
  </si>
  <si>
    <t>CFG-DMN-001</t>
  </si>
  <si>
    <t>Luật nghiệp vụ &amp; DMN</t>
  </si>
  <si>
    <t>Quyết định DMN</t>
  </si>
  <si>
    <t>Xem danh sách Quyết định DMN</t>
  </si>
  <si>
    <t>Tra cứu danh sách, phân trang, sắp xếp và lọc Quyết định DMN theo các tiêu chí nghiệp vụ.</t>
  </si>
  <si>
    <t>BA/Quản trị cấu hình</t>
  </si>
  <si>
    <t>CFG-DMN-002</t>
  </si>
  <si>
    <t>Tạo mới Quyết định DMN</t>
  </si>
  <si>
    <t>Khởi tạo Quyết định DMN, kiểm tra dữ liệu bắt buộc và lưu nháp trước khi hoàn tất.</t>
  </si>
  <si>
    <t>CFG-DMN-003</t>
  </si>
  <si>
    <t>Sao chép Quyết định DMN</t>
  </si>
  <si>
    <t>Tạo bản mới từ một Quyết định DMN hiện hữu và loại bỏ các thông tin không được kế thừa.</t>
  </si>
  <si>
    <t>CFG-DMN-004</t>
  </si>
  <si>
    <t>Xem chi tiết Quyết định DMN</t>
  </si>
  <si>
    <t>Hiển thị thông tin tổng quan, dữ liệu chi tiết, tài liệu liên quan và trạng thái của Quyết định DMN.</t>
  </si>
  <si>
    <t>CFG-DMN-005</t>
  </si>
  <si>
    <t>Chỉnh sửa Quyết định DMN</t>
  </si>
  <si>
    <t>Cập nhật Quyết định DMN khi trạng thái và quyền người dùng cho phép; kiểm soát xung đột cập nhật.</t>
  </si>
  <si>
    <t>CFG-DMN-006</t>
  </si>
  <si>
    <t>Xóa/Ngừng sử dụng Quyết định DMN</t>
  </si>
  <si>
    <t>Xóa logic hoặc ngừng sử dụng Quyết định DMN sau khi kiểm tra ràng buộc tham chiếu.</t>
  </si>
  <si>
    <t>CFG-DMN-007</t>
  </si>
  <si>
    <t>Xem lịch sử Quyết định DMN</t>
  </si>
  <si>
    <t>Theo dõi phiên bản, thay đổi dữ liệu, người thực hiện và lịch sử xử lý của Quyết định DMN.</t>
  </si>
  <si>
    <t>CFG-DMN-008</t>
  </si>
  <si>
    <t>Thiết kế decision table, FEEL và DRD</t>
  </si>
  <si>
    <t>Quản lý input/output, hit policy, expression, quan hệ quyết định và kiểm tra cú pháp.</t>
  </si>
  <si>
    <t>CFG-DMN-009</t>
  </si>
  <si>
    <t>Kiểm thử</t>
  </si>
  <si>
    <t>Test và mô phỏng quyết định</t>
  </si>
  <si>
    <t>Chạy bộ dữ liệu test, hiển thị rule match và kết quả giải thích được.</t>
  </si>
  <si>
    <t>BA/QA</t>
  </si>
  <si>
    <t>CFG-DMN-010</t>
  </si>
  <si>
    <t>Tái sử dụng</t>
  </si>
  <si>
    <t>Quản lý rule set dùng chung</t>
  </si>
  <si>
    <t>Cho phép nhiều workflow/module gọi chung một quyết định có version.</t>
  </si>
  <si>
    <t>CFG-APM-001</t>
  </si>
  <si>
    <t>Ma trận phê duyệt</t>
  </si>
  <si>
    <t>Xem danh sách Ma trận phê duyệt</t>
  </si>
  <si>
    <t>Tra cứu danh sách, phân trang, sắp xếp và lọc Ma trận phê duyệt theo các tiêu chí nghiệp vụ.</t>
  </si>
  <si>
    <t>CFG-APM-002</t>
  </si>
  <si>
    <t>Tạo mới Ma trận phê duyệt</t>
  </si>
  <si>
    <t>Khởi tạo Ma trận phê duyệt, kiểm tra dữ liệu bắt buộc và lưu nháp trước khi hoàn tất.</t>
  </si>
  <si>
    <t>CFG-APM-003</t>
  </si>
  <si>
    <t>Sao chép Ma trận phê duyệt</t>
  </si>
  <si>
    <t>Tạo bản mới từ một Ma trận phê duyệt hiện hữu và loại bỏ các thông tin không được kế thừa.</t>
  </si>
  <si>
    <t>CFG-APM-004</t>
  </si>
  <si>
    <t>Xem chi tiết Ma trận phê duyệt</t>
  </si>
  <si>
    <t>Hiển thị thông tin tổng quan, dữ liệu chi tiết, tài liệu liên quan và trạng thái của Ma trận phê duyệt.</t>
  </si>
  <si>
    <t>CFG-APM-005</t>
  </si>
  <si>
    <t>Chỉnh sửa Ma trận phê duyệt</t>
  </si>
  <si>
    <t>Cập nhật Ma trận phê duyệt khi trạng thái và quyền người dùng cho phép; kiểm soát xung đột cập nhật.</t>
  </si>
  <si>
    <t>CFG-APM-006</t>
  </si>
  <si>
    <t>Xóa/Ngừng sử dụng Ma trận phê duyệt</t>
  </si>
  <si>
    <t>Xóa logic hoặc ngừng sử dụng Ma trận phê duyệt sau khi kiểm tra ràng buộc tham chiếu.</t>
  </si>
  <si>
    <t>CFG-APM-007</t>
  </si>
  <si>
    <t>Xem lịch sử Ma trận phê duyệt</t>
  </si>
  <si>
    <t>Theo dõi phiên bản, thay đổi dữ liệu, người thực hiện và lịch sử xử lý của Ma trận phê duyệt.</t>
  </si>
  <si>
    <t>CFG-APM-008</t>
  </si>
  <si>
    <t>Routing</t>
  </si>
  <si>
    <t>Cấu hình tuyến tuần tự/song song</t>
  </si>
  <si>
    <t>Định nghĩa step, approver resolver, quorum, sequence và điều kiện áp dụng.</t>
  </si>
  <si>
    <t>CFG-APM-009</t>
  </si>
  <si>
    <t>Resolver</t>
  </si>
  <si>
    <t>Xác định người xử lý động</t>
  </si>
  <si>
    <t>Resolve theo role, đơn vị, cấp trên, hội đồng, danh sách chỉ định, delegation và substitute.</t>
  </si>
  <si>
    <t>CFG-APM-010</t>
  </si>
  <si>
    <t>Mô phỏng tuyến phê duyệt</t>
  </si>
  <si>
    <t>Nhập ngữ cảnh nhiệm vụ và giải thích tuyến, người xử lý, rule áp dụng.</t>
  </si>
  <si>
    <t>CFG-APM-011</t>
  </si>
  <si>
    <t>Loại phê duyệt</t>
  </si>
  <si>
    <t>Quản lý danh mục loại phê duyệt</t>
  </si>
  <si>
    <t>CRUD, trạng thái, thứ tự, quan hệ với action/outcome và kiểm tra sử dụng.</t>
  </si>
  <si>
    <t>Sửa lỗi nhóm dòng 33-36 VHT_WBS</t>
  </si>
  <si>
    <t>CFG-ACT-001</t>
  </si>
  <si>
    <t>Cấu hình hành động</t>
  </si>
  <si>
    <t>Luật hiển thị hành động</t>
  </si>
  <si>
    <t>Xem danh sách Luật hiển thị hành động</t>
  </si>
  <si>
    <t>Tra cứu danh sách, phân trang, sắp xếp và lọc Luật hiển thị hành động theo các tiêu chí nghiệp vụ.</t>
  </si>
  <si>
    <t>CFG-ACT-002</t>
  </si>
  <si>
    <t>Tạo mới Luật hiển thị hành động</t>
  </si>
  <si>
    <t>Khởi tạo Luật hiển thị hành động, kiểm tra dữ liệu bắt buộc và lưu nháp trước khi hoàn tất.</t>
  </si>
  <si>
    <t>CFG-ACT-003</t>
  </si>
  <si>
    <t>Xem chi tiết Luật hiển thị hành động</t>
  </si>
  <si>
    <t>Hiển thị thông tin tổng quan, dữ liệu chi tiết, tài liệu liên quan và trạng thái của Luật hiển thị hành động.</t>
  </si>
  <si>
    <t>CFG-ACT-004</t>
  </si>
  <si>
    <t>Chỉnh sửa Luật hiển thị hành động</t>
  </si>
  <si>
    <t>Cập nhật Luật hiển thị hành động khi trạng thái và quyền người dùng cho phép; kiểm soát xung đột cập nhật.</t>
  </si>
  <si>
    <t>CFG-ACT-005</t>
  </si>
  <si>
    <t>Xóa/Ngừng sử dụng Luật hiển thị hành động</t>
  </si>
  <si>
    <t>Xóa logic hoặc ngừng sử dụng Luật hiển thị hành động sau khi kiểm tra ràng buộc tham chiếu.</t>
  </si>
  <si>
    <t>CFG-ACT-006</t>
  </si>
  <si>
    <t>Xem lịch sử Luật hiển thị hành động</t>
  </si>
  <si>
    <t>Theo dõi phiên bản, thay đổi dữ liệu, người thực hiện và lịch sử xử lý của Luật hiển thị hành động.</t>
  </si>
  <si>
    <t>CFG-ACT-007</t>
  </si>
  <si>
    <t>Action Registry</t>
  </si>
  <si>
    <t>Xem danh mục hành động hệ thống</t>
  </si>
  <si>
    <t>Quản lý metadata hiển thị cho action chuẩn/support/exception; không cho tạo logic action tùy ý.</t>
  </si>
  <si>
    <t>CFG-ACT-008</t>
  </si>
  <si>
    <t>Presentation</t>
  </si>
  <si>
    <t>Cấu hình nhãn, icon, tooltip, nhóm và thứ tự</t>
  </si>
  <si>
    <t>Tùy biến trình bày theo workflow/step mà không thay đổi hành vi backend.</t>
  </si>
  <si>
    <t>CFG-ACT-009</t>
  </si>
  <si>
    <t>Đối soát BPMN</t>
  </si>
  <si>
    <t>Đồng bộ và đối soát User Task với action policy</t>
  </si>
  <si>
    <t>Phát hiện step thiếu policy, action không hợp lệ và cấu hình không còn tham chiếu.</t>
  </si>
  <si>
    <t>CFG-ACT-010</t>
  </si>
  <si>
    <t>Mô phỏng available-actions</t>
  </si>
  <si>
    <t>Giải thích action hiển thị/ẩn theo workflow context, permission, rule, dossier state và exception policy.</t>
  </si>
  <si>
    <t>CFG-NTF-001</t>
  </si>
  <si>
    <t>Thông báo</t>
  </si>
  <si>
    <t>Mẫu thông báo</t>
  </si>
  <si>
    <t>Xem danh sách Mẫu thông báo</t>
  </si>
  <si>
    <t>Tra cứu danh sách, phân trang, sắp xếp và lọc Mẫu thông báo theo các tiêu chí nghiệp vụ.</t>
  </si>
  <si>
    <t>Bổ sung theo EPIC10</t>
  </si>
  <si>
    <t>CFG-NTF-002</t>
  </si>
  <si>
    <t>Tạo mới Mẫu thông báo</t>
  </si>
  <si>
    <t>Khởi tạo Mẫu thông báo, kiểm tra dữ liệu bắt buộc và lưu nháp trước khi hoàn tất.</t>
  </si>
  <si>
    <t>CFG-NTF-003</t>
  </si>
  <si>
    <t>Sao chép Mẫu thông báo</t>
  </si>
  <si>
    <t>Tạo bản mới từ một Mẫu thông báo hiện hữu và loại bỏ các thông tin không được kế thừa.</t>
  </si>
  <si>
    <t>CFG-NTF-004</t>
  </si>
  <si>
    <t>Xem chi tiết Mẫu thông báo</t>
  </si>
  <si>
    <t>Hiển thị thông tin tổng quan, dữ liệu chi tiết, tài liệu liên quan và trạng thái của Mẫu thông báo.</t>
  </si>
  <si>
    <t>CFG-NTF-005</t>
  </si>
  <si>
    <t>Chỉnh sửa Mẫu thông báo</t>
  </si>
  <si>
    <t>Cập nhật Mẫu thông báo khi trạng thái và quyền người dùng cho phép; kiểm soát xung đột cập nhật.</t>
  </si>
  <si>
    <t>CFG-NTF-006</t>
  </si>
  <si>
    <t>Xóa/Ngừng sử dụng Mẫu thông báo</t>
  </si>
  <si>
    <t>Xóa logic hoặc ngừng sử dụng Mẫu thông báo sau khi kiểm tra ràng buộc tham chiếu.</t>
  </si>
  <si>
    <t>CFG-NTF-007</t>
  </si>
  <si>
    <t>Xem lịch sử Mẫu thông báo</t>
  </si>
  <si>
    <t>Theo dõi phiên bản, thay đổi dữ liệu, người thực hiện và lịch sử xử lý của Mẫu thông báo.</t>
  </si>
  <si>
    <t>CFG-NTF-008</t>
  </si>
  <si>
    <t>Kênh</t>
  </si>
  <si>
    <t>Cấu hình Email/SMS/Web/App/Teams</t>
  </si>
  <si>
    <t>Quản lý kênh, endpoint, sender, giới hạn và fallback.</t>
  </si>
  <si>
    <t>CFG-NTF-009</t>
  </si>
  <si>
    <t>Trigger</t>
  </si>
  <si>
    <t>Gắn thông báo với sự kiện nghiệp vụ</t>
  </si>
  <si>
    <t>Cấu hình event, đối tượng nhận, mẫu, delay và điều kiện gửi.</t>
  </si>
  <si>
    <t>CFG-NTF-010</t>
  </si>
  <si>
    <t>Theo dõi</t>
  </si>
  <si>
    <t>Theo dõi trạng thái gửi và gửi lại</t>
  </si>
  <si>
    <t>Ghi nhận pending/sent/failed, retry có kiểm soát và audit.</t>
  </si>
  <si>
    <t>Quản trị vận hành</t>
  </si>
  <si>
    <t>CFG-SLA-001</t>
  </si>
  <si>
    <t>SLA &amp; Escalation</t>
  </si>
  <si>
    <t>Chính sách SLA</t>
  </si>
  <si>
    <t>Xem danh sách Chính sách SLA</t>
  </si>
  <si>
    <t>Tra cứu danh sách, phân trang, sắp xếp và lọc Chính sách SLA theo các tiêu chí nghiệp vụ.</t>
  </si>
  <si>
    <t>Bổ sung theo EPIC11</t>
  </si>
  <si>
    <t>CFG-SLA-002</t>
  </si>
  <si>
    <t>Tạo mới Chính sách SLA</t>
  </si>
  <si>
    <t>Khởi tạo Chính sách SLA, kiểm tra dữ liệu bắt buộc và lưu nháp trước khi hoàn tất.</t>
  </si>
  <si>
    <t>CFG-SLA-003</t>
  </si>
  <si>
    <t>Sao chép Chính sách SLA</t>
  </si>
  <si>
    <t>Tạo bản mới từ một Chính sách SLA hiện hữu và loại bỏ các thông tin không được kế thừa.</t>
  </si>
  <si>
    <t>CFG-SLA-004</t>
  </si>
  <si>
    <t>Xem chi tiết Chính sách SLA</t>
  </si>
  <si>
    <t>Hiển thị thông tin tổng quan, dữ liệu chi tiết, tài liệu liên quan và trạng thái của Chính sách SLA.</t>
  </si>
  <si>
    <t>CFG-SLA-005</t>
  </si>
  <si>
    <t>Chỉnh sửa Chính sách SLA</t>
  </si>
  <si>
    <t>Cập nhật Chính sách SLA khi trạng thái và quyền người dùng cho phép; kiểm soát xung đột cập nhật.</t>
  </si>
  <si>
    <t>CFG-SLA-006</t>
  </si>
  <si>
    <t>Xóa/Ngừng sử dụng Chính sách SLA</t>
  </si>
  <si>
    <t>Xóa logic hoặc ngừng sử dụng Chính sách SLA sau khi kiểm tra ràng buộc tham chiếu.</t>
  </si>
  <si>
    <t>CFG-SLA-007</t>
  </si>
  <si>
    <t>Xem lịch sử Chính sách SLA</t>
  </si>
  <si>
    <t>Theo dõi phiên bản, thay đổi dữ liệu, người thực hiện và lịch sử xử lý của Chính sách SLA.</t>
  </si>
  <si>
    <t>CFG-SLA-008</t>
  </si>
  <si>
    <t>Lịch làm việc</t>
  </si>
  <si>
    <t>Cấu hình lịch làm việc và ngày nghỉ</t>
  </si>
  <si>
    <t>Tính hạn theo timezone, ngày làm việc, ngày nghỉ và lịch đặc thù đơn vị.</t>
  </si>
  <si>
    <t>CFG-SLA-009</t>
  </si>
  <si>
    <t>Escalation</t>
  </si>
  <si>
    <t>Cấu hình nhắc việc và escalation chain</t>
  </si>
  <si>
    <t>Cấu hình mốc nhắc, người nhận, cấp escalation và action khi vi phạm.</t>
  </si>
  <si>
    <t>CFG-MST-001</t>
  </si>
  <si>
    <t>Danh mục dùng chung</t>
  </si>
  <si>
    <t>Danh mục nghiệp vụ</t>
  </si>
  <si>
    <t>Xem danh sách Danh mục nghiệp vụ</t>
  </si>
  <si>
    <t>Tra cứu danh sách, phân trang, sắp xếp và lọc Danh mục nghiệp vụ theo các tiêu chí nghiệp vụ.</t>
  </si>
  <si>
    <t>Quản trị dữ liệu</t>
  </si>
  <si>
    <t>Bổ sung theo EPIC12</t>
  </si>
  <si>
    <t>CFG-MST-002</t>
  </si>
  <si>
    <t>Tạo mới Danh mục nghiệp vụ</t>
  </si>
  <si>
    <t>Khởi tạo Danh mục nghiệp vụ, kiểm tra dữ liệu bắt buộc và lưu nháp trước khi hoàn tất.</t>
  </si>
  <si>
    <t>CFG-MST-003</t>
  </si>
  <si>
    <t>Xem chi tiết Danh mục nghiệp vụ</t>
  </si>
  <si>
    <t>Hiển thị thông tin tổng quan, dữ liệu chi tiết, tài liệu liên quan và trạng thái của Danh mục nghiệp vụ.</t>
  </si>
  <si>
    <t>CFG-MST-004</t>
  </si>
  <si>
    <t>Chỉnh sửa Danh mục nghiệp vụ</t>
  </si>
  <si>
    <t>Cập nhật Danh mục nghiệp vụ khi trạng thái và quyền người dùng cho phép; kiểm soát xung đột cập nhật.</t>
  </si>
  <si>
    <t>CFG-MST-005</t>
  </si>
  <si>
    <t>Xóa/Ngừng sử dụng Danh mục nghiệp vụ</t>
  </si>
  <si>
    <t>Xóa logic hoặc ngừng sử dụng Danh mục nghiệp vụ sau khi kiểm tra ràng buộc tham chiếu.</t>
  </si>
  <si>
    <t>CFG-MST-006</t>
  </si>
  <si>
    <t>Xem lịch sử Danh mục nghiệp vụ</t>
  </si>
  <si>
    <t>Theo dõi phiên bản, thay đổi dữ liệu, người thực hiện và lịch sử xử lý của Danh mục nghiệp vụ.</t>
  </si>
  <si>
    <t>CFG-MST-007</t>
  </si>
  <si>
    <t>Giá trị danh mục</t>
  </si>
  <si>
    <t>Import/Export và version danh mục</t>
  </si>
  <si>
    <t>Hỗ trợ hiệu lực, mã ngoài, mapping và kiểm tra tham chiếu trước khi ngừng dùng.</t>
  </si>
  <si>
    <t>CFG-DSH-001</t>
  </si>
  <si>
    <t>Cấu hình dashboard</t>
  </si>
  <si>
    <t>Dashboard</t>
  </si>
  <si>
    <t>Thiết kế dashboard và bố cục widget</t>
  </si>
  <si>
    <t>Tạo dashboard, widget, layout, filter, permission và view cá nhân.</t>
  </si>
  <si>
    <t>Quản trị báo cáo</t>
  </si>
  <si>
    <t>CFG-DSH-002</t>
  </si>
  <si>
    <t>Metric</t>
  </si>
  <si>
    <t>Quản lý metric và nguồn dữ liệu</t>
  </si>
  <si>
    <t>Khai báo công thức, đơn vị đo, dimension, refresh và quyền truy cập.</t>
  </si>
  <si>
    <t>INT-HUB-001</t>
  </si>
  <si>
    <t>Tích hợp Hệ thống</t>
  </si>
  <si>
    <t>Integration Hub</t>
  </si>
  <si>
    <t>Cấu hình tích hợp</t>
  </si>
  <si>
    <t>Xem danh sách Cấu hình tích hợp</t>
  </si>
  <si>
    <t>Tra cứu danh sách, phân trang, sắp xếp và lọc Cấu hình tích hợp theo các tiêu chí nghiệp vụ.</t>
  </si>
  <si>
    <t>Quản trị tích hợp</t>
  </si>
  <si>
    <t>Thay thế dòng Tích hợp chung trong VHT_WBS</t>
  </si>
  <si>
    <t>INT-HUB-002</t>
  </si>
  <si>
    <t>Tạo mới Cấu hình tích hợp</t>
  </si>
  <si>
    <t>Khởi tạo Cấu hình tích hợp, kiểm tra dữ liệu bắt buộc và lưu nháp trước khi hoàn tất.</t>
  </si>
  <si>
    <t>INT-HUB-003</t>
  </si>
  <si>
    <t>Sao chép Cấu hình tích hợp</t>
  </si>
  <si>
    <t>Tạo bản mới từ một Cấu hình tích hợp hiện hữu và loại bỏ các thông tin không được kế thừa.</t>
  </si>
  <si>
    <t>INT-HUB-004</t>
  </si>
  <si>
    <t>Xem chi tiết Cấu hình tích hợp</t>
  </si>
  <si>
    <t>Hiển thị thông tin tổng quan, dữ liệu chi tiết, tài liệu liên quan và trạng thái của Cấu hình tích hợp.</t>
  </si>
  <si>
    <t>INT-HUB-005</t>
  </si>
  <si>
    <t>Chỉnh sửa Cấu hình tích hợp</t>
  </si>
  <si>
    <t>Cập nhật Cấu hình tích hợp khi trạng thái và quyền người dùng cho phép; kiểm soát xung đột cập nhật.</t>
  </si>
  <si>
    <t>INT-HUB-006</t>
  </si>
  <si>
    <t>Xóa/Ngừng sử dụng Cấu hình tích hợp</t>
  </si>
  <si>
    <t>Xóa logic hoặc ngừng sử dụng Cấu hình tích hợp sau khi kiểm tra ràng buộc tham chiếu.</t>
  </si>
  <si>
    <t>INT-HUB-007</t>
  </si>
  <si>
    <t>Xem lịch sử Cấu hình tích hợp</t>
  </si>
  <si>
    <t>Theo dõi phiên bản, thay đổi dữ liệu, người thực hiện và lịch sử xử lý của Cấu hình tích hợp.</t>
  </si>
  <si>
    <t>INT-CONN-001</t>
  </si>
  <si>
    <t>Connector hệ thống</t>
  </si>
  <si>
    <t>Connector</t>
  </si>
  <si>
    <t>Tích hợp QLNS/AD</t>
  </si>
  <si>
    <t>Đồng bộ người dùng, tổ chức, chức danh và trạng thái nhân sự.</t>
  </si>
  <si>
    <t>Quản trị tích hợp/Worker</t>
  </si>
  <si>
    <t>INT-CONN-002</t>
  </si>
  <si>
    <t>Tích hợp MS/Mua sắm</t>
  </si>
  <si>
    <t>Đồng bộ nhu cầu, gói mua sắm và trạng thái thực hiện.</t>
  </si>
  <si>
    <t>INT-CONN-003</t>
  </si>
  <si>
    <t>Tích hợp SAP/Tài chính</t>
  </si>
  <si>
    <t>Đồng bộ ngân sách, giải ngân, chi phí, chứng từ và quyết toán.</t>
  </si>
  <si>
    <t>INT-CONN-004</t>
  </si>
  <si>
    <t>Tích hợp QLTS</t>
  </si>
  <si>
    <t>Đồng bộ tài sản hình thành, bàn giao và trạng thái quản lý.</t>
  </si>
  <si>
    <t>INT-CONN-005</t>
  </si>
  <si>
    <t>Tích hợp PLM</t>
  </si>
  <si>
    <t>Đồng bộ milestone, deliverable và tiến độ kỹ thuật.</t>
  </si>
  <si>
    <t>INT-CONN-006</t>
  </si>
  <si>
    <t>Tích hợp Storage/DMS</t>
  </si>
  <si>
    <t>Lưu trữ, phiên bản, tìm kiếm và ký số tài liệu.</t>
  </si>
  <si>
    <t>INT-CONN-007</t>
  </si>
  <si>
    <t>Tích hợp CRM/Hệ thống khác</t>
  </si>
  <si>
    <t>Trao đổi dữ liệu đối tác, ứng dụng/chuyển giao và thông tin liên quan.</t>
  </si>
  <si>
    <t>INT-CONN-008</t>
  </si>
  <si>
    <t>Tích hợp Camunda 8</t>
  </si>
  <si>
    <t>Tích hợp Zeebe/REST cho deploy, start, task, variable, incident và monitoring.</t>
  </si>
  <si>
    <t>INT-OPS-001</t>
  </si>
  <si>
    <t>Vận hành tích hợp</t>
  </si>
  <si>
    <t>Giám sát</t>
  </si>
  <si>
    <t>Theo dõi giao dịch và lỗi tích hợp</t>
  </si>
  <si>
    <t>Tra cứu request/response đã che dữ liệu nhạy cảm, trạng thái, retry và correlation id.</t>
  </si>
  <si>
    <t>INT-OPS-002</t>
  </si>
  <si>
    <t>Độ tin cậy</t>
  </si>
  <si>
    <t>Outbox/Inbox, idempotency và retry</t>
  </si>
  <si>
    <t>Bảo đảm không mất/trùng event, hỗ trợ dead-letter và replay có kiểm soát.</t>
  </si>
  <si>
    <t>Quản trị tích hợp/Kỹ thuật</t>
  </si>
  <si>
    <t>INT-OPS-003</t>
  </si>
  <si>
    <t>Đối soát dữ liệu định kỳ</t>
  </si>
  <si>
    <t>So sánh dữ liệu hai hệ thống, ghi nhận sai lệch, phân công và xác nhận xử lý.</t>
  </si>
  <si>
    <t>Quản trị tích hợp/Cán bộ nghiệp vụ</t>
  </si>
  <si>
    <t>OPS-RUNTIME-001</t>
  </si>
  <si>
    <t>Vận hành Workflow &amp; Hệ thống</t>
  </si>
  <si>
    <t>Workflow Runtime Administration</t>
  </si>
  <si>
    <t>Process operation</t>
  </si>
  <si>
    <t>Tra cứu process instance</t>
  </si>
  <si>
    <t>Tìm theo business key, process, version, trạng thái, thời gian và đơn vị.</t>
  </si>
  <si>
    <t>Bổ sung theo EPIC16</t>
  </si>
  <si>
    <t>OPS-RUNTIME-002</t>
  </si>
  <si>
    <t>Xem sơ đồ và bước đang chạy</t>
  </si>
  <si>
    <t>Hiển thị BPMN overlay, active token, completed activity và timeline.</t>
  </si>
  <si>
    <t>OPS-RUNTIME-003</t>
  </si>
  <si>
    <t>Xem process variables an toàn</t>
  </si>
  <si>
    <t>Che dữ liệu nhạy cảm và giới hạn chỉnh sửa theo quyền.</t>
  </si>
  <si>
    <t>OPS-RUNTIME-004</t>
  </si>
  <si>
    <t>Quản lý incident và failed job</t>
  </si>
  <si>
    <t>Xem nguyên nhân, stack/correlation và tác động nghiệp vụ.</t>
  </si>
  <si>
    <t>OPS-RUNTIME-005</t>
  </si>
  <si>
    <t>Retry failed job</t>
  </si>
  <si>
    <t>Retry đơn lẻ/batch với xác nhận, giới hạn và audit.</t>
  </si>
  <si>
    <t>OPS-RUNTIME-006</t>
  </si>
  <si>
    <t>Reassign/Delegate task</t>
  </si>
  <si>
    <t>Can thiệp task theo quy trình phê duyệt vận hành và audit.</t>
  </si>
  <si>
    <t>OPS-RUNTIME-007</t>
  </si>
  <si>
    <t>Cancel/Terminate instance</t>
  </si>
  <si>
    <t>Kết thúc instance có lý do, kiểm tra tác động và đồng bộ trạng thái nghiệp vụ.</t>
  </si>
  <si>
    <t>OPS-RUNTIME-008</t>
  </si>
  <si>
    <t>Restart từ một bước</t>
  </si>
  <si>
    <t>Tạo instance mới hoặc process modification theo chính sách, giữ liên kết instance cũ.</t>
  </si>
  <si>
    <t>OPS-RUNTIME-009</t>
  </si>
  <si>
    <t>Batch operation</t>
  </si>
  <si>
    <t>Thực hiện thao tác hàng loạt có preview, quyền riêng và báo cáo kết quả.</t>
  </si>
  <si>
    <t>OPS-RUNTIME-010</t>
  </si>
  <si>
    <t>Theo dõi SLA instance</t>
  </si>
  <si>
    <t>Xem hạn, vi phạm, escalation và thời gian chờ theo từng bước.</t>
  </si>
  <si>
    <t>OPS-MON-001</t>
  </si>
  <si>
    <t>Giám sát hệ thống</t>
  </si>
  <si>
    <t>Application</t>
  </si>
  <si>
    <t>Theo dõi sức khỏe ứng dụng và worker</t>
  </si>
  <si>
    <t>Dashboard API latency, error rate, DB, queue, worker failure và tài nguyên.</t>
  </si>
  <si>
    <t>Quản trị vận hành/Kỹ thuật</t>
  </si>
  <si>
    <t>OPS-MON-002</t>
  </si>
  <si>
    <t>Business</t>
  </si>
  <si>
    <t>Theo dõi cảnh báo nghiệp vụ</t>
  </si>
  <si>
    <t>Hồ sơ quá hạn, nhiệm vụ trễ, quyết toán chậm, hội đồng chưa hoàn tất và đồng bộ lỗi.</t>
  </si>
  <si>
    <t>Quản trị vận hành/Cán bộ KHCN</t>
  </si>
  <si>
    <t>SYS-AUD-001</t>
  </si>
  <si>
    <t>Audit, An toàn &amp; Cấu hình Hệ thống</t>
  </si>
  <si>
    <t>Audit &amp; tuân thủ</t>
  </si>
  <si>
    <t>Audit đăng nhập và phiên</t>
  </si>
  <si>
    <t>Ghi nhận đăng nhập, đăng xuất, thất bại, thiết bị và phiên.</t>
  </si>
  <si>
    <t>Audit/Quản trị hệ thống</t>
  </si>
  <si>
    <t>Bổ sung theo EPIC14</t>
  </si>
  <si>
    <t>SYS-AUD-002</t>
  </si>
  <si>
    <t>Audit thay đổi dữ liệu</t>
  </si>
  <si>
    <t>Ghi trước/sau, actor, nguồn, thời gian và correlation id.</t>
  </si>
  <si>
    <t>SYS-AUD-003</t>
  </si>
  <si>
    <t>Audit phê duyệt và workflow</t>
  </si>
  <si>
    <t>Ghi task, outcome, lý do, người đại diện, process/step/version.</t>
  </si>
  <si>
    <t>SYS-AUD-004</t>
  </si>
  <si>
    <t>Audit chữ ký số</t>
  </si>
  <si>
    <t>Ghi chứng thư, kết quả xác minh, thời gian và tài liệu ký.</t>
  </si>
  <si>
    <t>SYS-AUD-005</t>
  </si>
  <si>
    <t>Audit tích hợp</t>
  </si>
  <si>
    <t>Ghi hệ thống nguồn/đích, giao dịch, retry và kết quả đối soát.</t>
  </si>
  <si>
    <t>SYS-AUD-006</t>
  </si>
  <si>
    <t>Tra cứu và xuất audit</t>
  </si>
  <si>
    <t>Lọc theo đối tượng, người dùng, thời gian, action và xuất theo quyền.</t>
  </si>
  <si>
    <t>SYS-CFG-001</t>
  </si>
  <si>
    <t>Cấu hình hệ thống</t>
  </si>
  <si>
    <t>Tham số</t>
  </si>
  <si>
    <t>Quản lý tham số hệ thống</t>
  </si>
  <si>
    <t>Quản lý key/value, kiểu dữ liệu, môi trường, hiệu lực, secret masking và lịch sử.</t>
  </si>
  <si>
    <t>SYS-CFG-002</t>
  </si>
  <si>
    <t>Feature toggle</t>
  </si>
  <si>
    <t>Quản lý feature toggle</t>
  </si>
  <si>
    <t>Bật/tắt theo môi trường, đơn vị hoặc nhóm người dùng; có audit và thời hạn.</t>
  </si>
  <si>
    <t>SYS-CFG-003</t>
  </si>
  <si>
    <t>Job</t>
  </si>
  <si>
    <t>Quản lý tác vụ nền và lịch chạy</t>
  </si>
  <si>
    <t>Theo dõi scheduler, trạng thái, chạy lại và khóa chạy trùng.</t>
  </si>
  <si>
    <t>SYS-SEC-001</t>
  </si>
  <si>
    <t>An toàn thông tin</t>
  </si>
  <si>
    <t>Phân loại và che dữ liệu nhạy cảm</t>
  </si>
  <si>
    <t>Áp dụng mask, encryption, field/document permission và chính sách tải xuống.</t>
  </si>
  <si>
    <t>Quản trị an toàn thông tin</t>
  </si>
  <si>
    <t>SYS-SEC-002</t>
  </si>
  <si>
    <t>Quản lý phiên và chính sách truy cập</t>
  </si>
  <si>
    <t>Timeout, khóa tài khoản ứng dụng, giới hạn phiên, IP/device policy khi áp dụng.</t>
  </si>
  <si>
    <t>HLP-HELP-001</t>
  </si>
  <si>
    <t>Trợ giúp &amp; Hỗ trợ Người dùng</t>
  </si>
  <si>
    <t>Hướng dẫn sử dụng</t>
  </si>
  <si>
    <t>Nội dung</t>
  </si>
  <si>
    <t>Tra cứu hướng dẫn theo chức năng</t>
  </si>
  <si>
    <t>Cung cấp hướng dẫn, quy trình thao tác, FAQ và liên kết từ màn hình hiện tại.</t>
  </si>
  <si>
    <t>HLP-HELP-002</t>
  </si>
  <si>
    <t>Onboarding</t>
  </si>
  <si>
    <t>Hướng dẫn người dùng mới</t>
  </si>
  <si>
    <t>Tour theo vai trò, checklist bắt đầu và dữ liệu mẫu khi được phép.</t>
  </si>
  <si>
    <t>HLP-SUP-001</t>
  </si>
  <si>
    <t>Yêu cầu hỗ trợ</t>
  </si>
  <si>
    <t>Gửi yêu cầu hỗ trợ kèm ngữ cảnh</t>
  </si>
  <si>
    <t>Gửi màn hình, mã lỗi/correlation id và mô tả; không đính kèm dữ liệu nhạy cảm mặc định.</t>
  </si>
  <si>
    <t>MA TRẬN PHÂN HỆ VÀ MỨC BAO PHỦ</t>
  </si>
  <si>
    <t>Tổng chức năng</t>
  </si>
  <si>
    <t>SSO, tổ chức, người dùng, vai trò, quyền và phạm vi dữ liệu.</t>
  </si>
  <si>
    <t>Hồ sơ nhiệm vụ trung tâm và vòng đời RD01–RD10.</t>
  </si>
  <si>
    <t>RD01 chủ trương và RD02 xét duyệt/giao nhiệm vụ.</t>
  </si>
  <si>
    <t>Worklist, task UI, action chuẩn và ngoại lệ có kiểm soát.</t>
  </si>
  <si>
    <t>Dossier, eForm, mẫu văn bản, file và ký số.</t>
  </si>
  <si>
    <t>Hội đồng, chuyên gia, lịch họp, phiếu và biên bản.</t>
  </si>
  <si>
    <t>Kế hoạch, nhân sự, kinh phí, mua sắm, tài sản và báo cáo.</t>
  </si>
  <si>
    <t>Các loại điều chỉnh nhiệm vụ thuộc RD04.</t>
  </si>
  <si>
    <t>Hồ sơ, điều kiện, hội đồng và kết quả RD05.</t>
  </si>
  <si>
    <t>Hồ sơ, chứng từ, đối soát và kết quả RD06.</t>
  </si>
  <si>
    <t>Sản phẩm, công bố, công nghệ và SHTT RD07–RD08.</t>
  </si>
  <si>
    <t>Dashboard, KPI, cảnh báo và báo cáo RD09.</t>
  </si>
  <si>
    <t>Hồ sơ pháp lý, nộp lưu và tìm kiếm RD10.</t>
  </si>
  <si>
    <t>Workflow definition, BPMN, DMN, approval, action, notification, SLA, master data.</t>
  </si>
  <si>
    <t>Integration Hub, connector, đối soát và độ tin cậy.</t>
  </si>
  <si>
    <t>Runtime administration, incident, monitoring và SLA instance.</t>
  </si>
  <si>
    <t>Audit bất biến, tham số, feature toggle và bảo mật.</t>
  </si>
  <si>
    <t>Hướng dẫn, onboarding và yêu cầu hỗ trợ.</t>
  </si>
  <si>
    <t>FUNCTIONAL SCOPE LIST – QTKHCN</t>
  </si>
  <si>
    <t>Priority Must</t>
  </si>
  <si>
    <t>1. Sheet 01 là nguồn chính: lọc theo phân hệ, module, priority, release và trạng thái phạm vi.</t>
  </si>
  <si>
    <t>2. Priority dùng MoSCoW; Release chỉ là đề xuất sơ bộ, cần chốt sau workshop nghiệp vụ.</t>
  </si>
  <si>
    <t>3. Các dòng “Cần xác nhận” là giả định hoặc phạm vi phụ thuộc hệ thống ngoài/chính sách.</t>
  </si>
  <si>
    <t>4. Functional Scope List chưa chứa effort, owner và timeline; các trường này thuộc WBS/roadmap tiếp theo.</t>
  </si>
  <si>
    <t>5. Sheet 99 giữ danh sách gốc để truy vết các sửa đổi và phần bổ sung.</t>
  </si>
  <si>
    <t>Số chức năng</t>
  </si>
  <si>
    <t>NHẬT KÝ HIỆU CHỈNH VÀ BỔ SUNG PHẠM VI</t>
  </si>
  <si>
    <t>Loại thay đổi</t>
  </si>
  <si>
    <t>Tham chiếu gốc</t>
  </si>
  <si>
    <t>Xử lý trong FSL</t>
  </si>
  <si>
    <t>Ghi chú</t>
  </si>
  <si>
    <t>Sửa cấu trúc</t>
  </si>
  <si>
    <t>Cột D</t>
  </si>
  <si>
    <t>Cột không có tiêu đề</t>
  </si>
  <si>
    <t>Đặt tên thành Nhóm chức năng/Sub-module và chuẩn hóa thành trường Nhóm chức năng.</t>
  </si>
  <si>
    <t>Bổ sung mã</t>
  </si>
  <si>
    <t>Cột TT</t>
  </si>
  <si>
    <t>Cột trống toàn bộ</t>
  </si>
  <si>
    <t>Sinh STT và Feature ID duy nhất theo phân hệ/module.</t>
  </si>
  <si>
    <t>Bổ sung ưu tiên</t>
  </si>
  <si>
    <t>Cột Priority</t>
  </si>
  <si>
    <t>Gán MoSCoW sơ bộ và thêm dropdown để hiệu chỉnh.</t>
  </si>
  <si>
    <t>Cần workshop chốt.</t>
  </si>
  <si>
    <t>Sửa lỗi</t>
  </si>
  <si>
    <t>Dòng 22</t>
  </si>
  <si>
    <t>ma trạn quyết định</t>
  </si>
  <si>
    <t>Chuẩn hóa thành ma trận quyết định/DMN.</t>
  </si>
  <si>
    <t>Dòng 27</t>
  </si>
  <si>
    <t>Copy ma trận quyết định trong module phê duyệt</t>
  </si>
  <si>
    <t>Chuẩn hóa thành sao chép ma trận phê duyệt.</t>
  </si>
  <si>
    <t>Dòng 34–36</t>
  </si>
  <si>
    <t>Trùng tạo Loại phê duyệt, thiếu CRUD</t>
  </si>
  <si>
    <t>Thay bằng chức năng quản lý danh mục loại phê duyệt đầy đủ.</t>
  </si>
  <si>
    <t>Dòng 113</t>
  </si>
  <si>
    <t>Lịch sử Hồ sơ quyết toán trong eForm</t>
  </si>
  <si>
    <t>Thay bằng quản lý lịch sử eForm.</t>
  </si>
  <si>
    <t>Phân rã</t>
  </si>
  <si>
    <t>Dòng 55</t>
  </si>
  <si>
    <t>Tách Integration Hub, 8 connector, monitoring, retry và đối soát.</t>
  </si>
  <si>
    <t>Phạm vi từng connector cần xác nhận.</t>
  </si>
  <si>
    <t>Dòng 107</t>
  </si>
  <si>
    <t>Dashboard đa cấp</t>
  </si>
  <si>
    <t>Tách KPI nhiệm vụ, SLA, kinh phí, nhân sự, sản phẩm và cảnh báo.</t>
  </si>
  <si>
    <t>Bổ sung phân hệ</t>
  </si>
  <si>
    <t>Không có</t>
  </si>
  <si>
    <t>Bổ sung hội đồng, chuyên gia, lịch, phiếu, tổng hợp và biên bản.</t>
  </si>
  <si>
    <t>Thực hiện nhiệm vụ</t>
  </si>
  <si>
    <t>Bổ sung tiến độ, nhân sự, kinh phí, mua sắm, tài sản và báo cáo.</t>
  </si>
  <si>
    <t>Sản phẩm nghiên cứu &amp; SHTT</t>
  </si>
  <si>
    <t>Bổ sung RD07, RD08, công bố và công nghệ lõi.</t>
  </si>
  <si>
    <t>Runtime Administration</t>
  </si>
  <si>
    <t>Bổ sung instance, incident, retry, reassign, cancel, restart và batch.</t>
  </si>
  <si>
    <t>Bổ sung nền tảng</t>
  </si>
  <si>
    <t>SSO/RBAC/Audit/SLA/Notification/Search</t>
  </si>
  <si>
    <t>Bổ sung các capability xuyên suốt theo kiến trúc mục tiêu.</t>
  </si>
  <si>
    <t>DANH SÁCH GỐC – VHT_WBS.xlsx (THAM CHIẾU, KHÔNG CHỈNH SỬA)</t>
  </si>
  <si>
    <t>TT</t>
  </si>
  <si>
    <t>FS / Chức năng</t>
  </si>
  <si>
    <t>Đăng nhập SSO</t>
  </si>
  <si>
    <t>Đăng nhập/ Đăng xuất trên cổng SSO</t>
  </si>
  <si>
    <t>Quản trị Quy trình</t>
  </si>
  <si>
    <t xml:space="preserve"> Quản lý quy trình</t>
  </si>
  <si>
    <t>Xem Danh sách quy trình</t>
  </si>
  <si>
    <t>Tìm kiếm/ Lọc quy trình theo nhiều tiêu chí</t>
  </si>
  <si>
    <t>BPMN Core</t>
  </si>
  <si>
    <t>Kết nối Camunda 8</t>
  </si>
  <si>
    <t>Canvas BPMN</t>
  </si>
  <si>
    <t>Vẽ BPMN và các tiện ích trên Canvas BPMN</t>
  </si>
  <si>
    <t>Khởi tạo các Element BPMN mẫu</t>
  </si>
  <si>
    <t>Tạo mới quy trình thông qua vẽ BPMN trực tiếp</t>
  </si>
  <si>
    <t>Thông tin chung + BPMN</t>
  </si>
  <si>
    <t>Tạo mới quy trình thông qua import file .bpmn</t>
  </si>
  <si>
    <t>Xem chi tiết quy trình</t>
  </si>
  <si>
    <t>Chỉnh sửa quy trình</t>
  </si>
  <si>
    <t>Xóa quy trình</t>
  </si>
  <si>
    <t>Test quy trình</t>
  </si>
  <si>
    <t>Test trước Deploy</t>
  </si>
  <si>
    <t>Ban hành quy trình</t>
  </si>
  <si>
    <t>Deploy lên Camunda 8</t>
  </si>
  <si>
    <t>Tạm ngừng quy trình</t>
  </si>
  <si>
    <t>Quản lý lịch sử quy trình</t>
  </si>
  <si>
    <t>Xem tổng quan sơ đồ quy trình bao gồm BPMN + Luồng chi tiết</t>
  </si>
  <si>
    <t xml:space="preserve"> Ma trận quyết định (DMN)</t>
  </si>
  <si>
    <t>Xem danh sách Ma trận quyết định</t>
  </si>
  <si>
    <t>Tạo mới ma trận quyết định thủ công từ giao diện</t>
  </si>
  <si>
    <t>Tạo mới ma trận quyết định thông qua copy một ma trận quyết định hiện hữu trên hệ thống</t>
  </si>
  <si>
    <t>Xem chi tiết ma trận quyết định</t>
  </si>
  <si>
    <t>Chỉnh sửa ma trạn quyết định</t>
  </si>
  <si>
    <t>Xóa ma trận quyết định</t>
  </si>
  <si>
    <t>Quản lý lịch sử ma trận quyết định</t>
  </si>
  <si>
    <t xml:space="preserve"> Ma trận phê duyệt</t>
  </si>
  <si>
    <t>Tạo mới ma trận phê duyệt thủ công từ giao diện</t>
  </si>
  <si>
    <t>Tạo mới ma trận phê duyệt thông qua copy một ma trận quyết định hiện hữu trên hệ thống</t>
  </si>
  <si>
    <t>Xem chi tiết ma trận phê duyệt</t>
  </si>
  <si>
    <t>Chỉnh sửa ma trận phê duyệt</t>
  </si>
  <si>
    <t>Xóa ma trận phê duyệt</t>
  </si>
  <si>
    <t>Quản lý lịch sử ma trận phê duyệt</t>
  </si>
  <si>
    <t>Test mô phỏng ma trận phê duyệt</t>
  </si>
  <si>
    <t>Xem danh sách Loại phê duyệt</t>
  </si>
  <si>
    <t>Tạo Loại phê duyệt</t>
  </si>
  <si>
    <t>Chỉnh sửa Loại phê duyệt</t>
  </si>
  <si>
    <t>Tạo mới Loại phê duyệt</t>
  </si>
  <si>
    <t>Ma trận hành động</t>
  </si>
  <si>
    <t>Luật hiển thị nút</t>
  </si>
  <si>
    <t>Xem danh sách Luật hiển thị nút</t>
  </si>
  <si>
    <t>Tạo mới Luật hiển thị nút</t>
  </si>
  <si>
    <t>Xem chi tiết Luật hiển thị nút</t>
  </si>
  <si>
    <t>Chỉnh sửa Luật hiển thị nút</t>
  </si>
  <si>
    <t>Xóa Luật hiển thị nút</t>
  </si>
  <si>
    <t>Test mô phỏng luật hiển thị nút</t>
  </si>
  <si>
    <t>Quản lý lịch sử Luật hiển thị nút</t>
  </si>
  <si>
    <t>Xem danh mục nút</t>
  </si>
  <si>
    <t>Chỉnh sửa hiển thị của nút trên hệ thống</t>
  </si>
  <si>
    <t>Đối soát luật hiển thị nút với danh sách các quy trình đã ban hành (DEPLOYED)</t>
  </si>
  <si>
    <t>Đồng bộ các User Task thành các luật hiển thị nút tương ứng</t>
  </si>
  <si>
    <t>Luồng chi tiết</t>
  </si>
  <si>
    <t>Xem danh sách Luồng chi tiết</t>
  </si>
  <si>
    <t>Tạo mới  Luồng chi tiết</t>
  </si>
  <si>
    <t>Xem chi tiết  Luồng chi tiết</t>
  </si>
  <si>
    <t>Chỉnh sửa  Luồng chi tiết</t>
  </si>
  <si>
    <t>Xóa  Luồng chi tiết</t>
  </si>
  <si>
    <t>Test mô phỏng Luồng chi tiết</t>
  </si>
  <si>
    <t>Quản lý lịch sử  Luồng chi tiết</t>
  </si>
  <si>
    <t>Quản lý NV KHCN</t>
  </si>
  <si>
    <t>Quản trị Nhiệm vụ KHCN</t>
  </si>
  <si>
    <t>Xóa Nhiệm vụ KHCN</t>
  </si>
  <si>
    <t>Trình duyệt Nhiệm vụ KHCN</t>
  </si>
  <si>
    <t>Quản lý lịch sử Nhiệm vụ KHCN</t>
  </si>
  <si>
    <t>Quản trị Hồ sơ</t>
  </si>
  <si>
    <t>Xóa Hồ sơ chủ trương</t>
  </si>
  <si>
    <t>Quản lý lịch sử Hồ sơ chủ trương</t>
  </si>
  <si>
    <t>Hồ sơ xét duyệt</t>
  </si>
  <si>
    <t>Xem danh sách Hồ sơ xét duyệt</t>
  </si>
  <si>
    <t>Tạo mới Hồ sơ xét duyệt</t>
  </si>
  <si>
    <t>Xem chi tiết Hồ sơ xét duyệt</t>
  </si>
  <si>
    <t>Chỉnh sửa Hồ sơ xét duyệt</t>
  </si>
  <si>
    <t>Xóa Hồ sơ xét duyệt</t>
  </si>
  <si>
    <t>Trình duyệt Hồ sơ xét duyệt</t>
  </si>
  <si>
    <t>Quản lý lịch sử Hồ sơ xét duyệt</t>
  </si>
  <si>
    <t>Hồ sơ báo cáo</t>
  </si>
  <si>
    <t>Xem danh sách Hồ sơ báo cáo</t>
  </si>
  <si>
    <t>Tạo mới Hồ sơ báo cáo</t>
  </si>
  <si>
    <t>Xem chi tiết Hồ sơ báo cáo</t>
  </si>
  <si>
    <t>Chỉnh sửa Hồ sơ báo cáo</t>
  </si>
  <si>
    <t>Xóa Hồ sơ báo cáo</t>
  </si>
  <si>
    <t>Trình duyệt Hồ sơ báo cáo</t>
  </si>
  <si>
    <t>Quản lý lịch sử Hồ sơ báo cáo</t>
  </si>
  <si>
    <t>Hồ sơ điều chỉnh</t>
  </si>
  <si>
    <t>Xem danh sách Hồ sơ điều chỉnh</t>
  </si>
  <si>
    <t>Tạo mới Hồ sơ điều chỉnh</t>
  </si>
  <si>
    <t>Xem chi tiết Hồ sơ điều chỉnh</t>
  </si>
  <si>
    <t>Chỉnh sửa Hồ sơ điều chỉnh</t>
  </si>
  <si>
    <t>Xóa Hồ sơ điều chỉnh</t>
  </si>
  <si>
    <t>Trình duyệt Hồ sơ điều chỉnh</t>
  </si>
  <si>
    <t>Quản lý lịch sử Hồ sơ điều chỉnh</t>
  </si>
  <si>
    <t>Xóa Hồ sơ nghiệm thu</t>
  </si>
  <si>
    <t>Quản lý lịch sử Hồ sơ nghiệm thu</t>
  </si>
  <si>
    <t>Xóa Hồ sơ quyết toán</t>
  </si>
  <si>
    <t>Quản lý lịch sử Hồ sơ quyết toán</t>
  </si>
  <si>
    <t>Xem danh sách Việc của tôi</t>
  </si>
  <si>
    <t>Xem chi tiết Việc của tôi</t>
  </si>
  <si>
    <t>Dashboard/ Report</t>
  </si>
  <si>
    <t>Dashboard Tổng quan</t>
  </si>
  <si>
    <t>Thư viện biểu mẫu (eForm)</t>
  </si>
  <si>
    <t>Xem danh sách eForm</t>
  </si>
  <si>
    <t>Tạo mới eForm</t>
  </si>
  <si>
    <t>Xem chi tiết eForm</t>
  </si>
  <si>
    <t>Chỉnh sửa eForm</t>
  </si>
  <si>
    <t>Xóa eForm</t>
  </si>
  <si>
    <t>Nhóm chức năng (tiêu đề suy luận)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</si>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</sst>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22"/>
      <color rgb="FFFFFFFF"/>
      <name val="Aptos"/>
    </font>
    <font>
      <sz val="11"/>
      <color theme="1"/>
      <name val="Aptos"/>
    </font>
    <font>
      <b/>
      <sz val="11"/>
      <color rgb="FFFFFFFF"/>
      <name val="Aptos"/>
    </font>
    <font>
      <b/>
      <sz val="20"/>
      <color theme="1"/>
      <name val="Aptos"/>
    </font>
    <font>
      <b/>
      <sz val="16"/>
      <color rgb="FFFFFFFF"/>
      <name val="Aptos"/>
    </font>
    <font>
      <i/>
      <sz val="11"/>
      <color theme="1"/>
      <name val="Aptos"/>
    </font>
    <font>
      <b/>
      <sz val="14"/>
      <color rgb="FFFFFFFF"/>
      <name val="Aptos"/>
    </font>
  </fonts>
  <fills count="6">
    <fill>
      <patternFill patternType="none"/>
    </fill>
    <fill>
      <patternFill patternType="gray125"/>
    </fill>
    <fill>
      <patternFill patternType="solid">
        <fgColor rgb="FF12346B"/>
        <bgColor indexed="64"/>
      </patternFill>
    </fill>
    <fill>
      <patternFill patternType="solid">
        <fgColor rgb="FFC4D9EF"/>
        <bgColor indexed="64"/>
      </patternFill>
    </fill>
    <fill>
      <patternFill patternType="solid">
        <fgColor rgb="FF4286C6"/>
        <bgColor indexed="64"/>
      </patternFill>
    </fill>
    <fill>
      <patternFill patternType="solid">
        <fgColor rgb="FFF7F7F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/>
    <xf numFmtId="0" fontId="2" fillId="5" borderId="0" xfId="0" applyFont="1" applyFill="1" applyAlignment="1">
      <alignment wrapText="1"/>
    </xf>
    <xf numFmtId="0" fontId="3" fillId="2" borderId="1" xfId="0" applyFont="1" applyFill="1" applyBorder="1"/>
    <xf numFmtId="0" fontId="2" fillId="0" borderId="1" xfId="0" applyFont="1" applyBorder="1"/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wrapText="1"/>
    </xf>
    <xf numFmtId="0" fontId="3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/>
    </xf>
    <xf numFmtId="0" fontId="3" fillId="2" borderId="2" xfId="0" applyFont="1" applyFill="1" applyBorder="1"/>
    <xf numFmtId="0" fontId="2" fillId="0" borderId="2" xfId="0" applyFont="1" applyBorder="1"/>
    <xf numFmtId="0" fontId="7" fillId="2" borderId="0" xfId="0" applyFont="1" applyFill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49"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color rgb="FFFFFFFF"/>
        <name val="Aptos"/>
        <scheme val="none"/>
      </font>
      <fill>
        <patternFill patternType="solid">
          <fgColor indexed="64"/>
          <bgColor rgb="FF12346B"/>
        </patternFill>
      </fill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rgb="FFFFFFFF"/>
        <name val="Aptos"/>
        <scheme val="none"/>
      </font>
      <fill>
        <patternFill patternType="solid">
          <fgColor indexed="64"/>
          <bgColor rgb="FF12346B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scheme val="none"/>
      </font>
      <alignment horizontal="general" vertical="top" textRotation="0" wrapText="0" indent="0" justifyLastLine="0" shrinkToFit="0" readingOrder="0"/>
    </dxf>
    <dxf>
      <fill>
        <patternFill>
          <bgColor rgb="FFFFCC99"/>
        </patternFill>
      </fill>
    </dxf>
    <dxf>
      <fill>
        <patternFill>
          <bgColor rgb="FFFFCECE"/>
        </patternFill>
      </fill>
    </dxf>
    <dxf>
      <fill>
        <patternFill>
          <bgColor rgb="FFE0E0E0"/>
        </patternFill>
      </fill>
    </dxf>
    <dxf>
      <fill>
        <patternFill>
          <bgColor rgb="FFD3EAD9"/>
        </patternFill>
      </fill>
    </dxf>
    <dxf>
      <fill>
        <patternFill>
          <bgColor rgb="FFFFE5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Số chức năng theo phân hệ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'00_Tong_quan'!$B$15</c:f>
              <c:strCache>
                <c:ptCount val="1"/>
                <c:pt idx="0">
                  <c:v>Số chức năng</c:v>
                </c:pt>
              </c:strCache>
            </c:strRef>
          </c:tx>
          <c:invertIfNegative val="0"/>
          <c:cat>
            <c:strRef>
              <c:f>'00_Tong_quan'!$A$16:$A$33</c:f>
              <c:strCache>
                <c:ptCount val="18"/>
                <c:pt idx="0">
                  <c:v>Truy cập, Tổ chức &amp; Phân quyền</c:v>
                </c:pt>
                <c:pt idx="1">
                  <c:v>Quản lý Nhiệm vụ KHCN</c:v>
                </c:pt>
                <c:pt idx="2">
                  <c:v>Chủ trương &amp; Xét duyệt</c:v>
                </c:pt>
                <c:pt idx="3">
                  <c:v>Không gian làm việc &amp; Task</c:v>
                </c:pt>
                <c:pt idx="4">
                  <c:v>Hồ sơ, Tài liệu &amp; Biểu mẫu</c:v>
                </c:pt>
                <c:pt idx="5">
                  <c:v>Hội đồng &amp; Thẩm định</c:v>
                </c:pt>
                <c:pt idx="6">
                  <c:v>Thực hiện Nhiệm vụ</c:v>
                </c:pt>
                <c:pt idx="7">
                  <c:v>Điều chỉnh, Tạm dừng &amp; Dừng</c:v>
                </c:pt>
                <c:pt idx="8">
                  <c:v>Nghiệm thu</c:v>
                </c:pt>
                <c:pt idx="9">
                  <c:v>Quyết toán</c:v>
                </c:pt>
                <c:pt idx="10">
                  <c:v>Sản phẩm Nghiên cứu &amp; SHTT</c:v>
                </c:pt>
                <c:pt idx="11">
                  <c:v>Báo cáo &amp; Điều hành</c:v>
                </c:pt>
                <c:pt idx="12">
                  <c:v>Lưu trữ, Pháp lý &amp; Tra cứu</c:v>
                </c:pt>
                <c:pt idx="13">
                  <c:v>Quy trình &amp; Cấu hình Nghiệp vụ</c:v>
                </c:pt>
                <c:pt idx="14">
                  <c:v>Tích hợp Hệ thống</c:v>
                </c:pt>
                <c:pt idx="15">
                  <c:v>Vận hành Workflow &amp; Hệ thống</c:v>
                </c:pt>
                <c:pt idx="16">
                  <c:v>Audit, An toàn &amp; Cấu hình Hệ thống</c:v>
                </c:pt>
                <c:pt idx="17">
                  <c:v>Trợ giúp &amp; Hỗ trợ Người dùng</c:v>
                </c:pt>
              </c:strCache>
            </c:strRef>
          </c:cat>
          <c:val>
            <c:numRef>
              <c:f>'00_Tong_quan'!$B$16:$B$33</c:f>
              <c:numCache>
                <c:formatCode>General</c:formatCode>
                <c:ptCount val="18"/>
                <c:pt idx="0">
                  <c:v>30</c:v>
                </c:pt>
                <c:pt idx="1">
                  <c:v>12</c:v>
                </c:pt>
                <c:pt idx="2">
                  <c:v>21</c:v>
                </c:pt>
                <c:pt idx="3">
                  <c:v>22</c:v>
                </c:pt>
                <c:pt idx="4">
                  <c:v>30</c:v>
                </c:pt>
                <c:pt idx="5">
                  <c:v>12</c:v>
                </c:pt>
                <c:pt idx="6">
                  <c:v>17</c:v>
                </c:pt>
                <c:pt idx="7">
                  <c:v>30</c:v>
                </c:pt>
                <c:pt idx="8">
                  <c:v>11</c:v>
                </c:pt>
                <c:pt idx="9">
                  <c:v>11</c:v>
                </c:pt>
                <c:pt idx="10">
                  <c:v>23</c:v>
                </c:pt>
                <c:pt idx="11">
                  <c:v>10</c:v>
                </c:pt>
                <c:pt idx="12">
                  <c:v>12</c:v>
                </c:pt>
                <c:pt idx="13">
                  <c:v>73</c:v>
                </c:pt>
                <c:pt idx="14">
                  <c:v>18</c:v>
                </c:pt>
                <c:pt idx="15">
                  <c:v>12</c:v>
                </c:pt>
                <c:pt idx="16">
                  <c:v>11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39-4F46-8270-52AC7F9EC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2490024"/>
        <c:axId val="272486416"/>
      </c:barChart>
      <c:catAx>
        <c:axId val="272490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72486416"/>
        <c:crosses val="autoZero"/>
        <c:auto val="1"/>
        <c:lblAlgn val="ctr"/>
        <c:lblOffset val="100"/>
        <c:noMultiLvlLbl val="0"/>
      </c:catAx>
      <c:valAx>
        <c:axId val="27248641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72490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0</xdr:rowOff>
    </xdr:from>
    <xdr:to>
      <xdr:col>16</xdr:col>
      <xdr:colOff>330200</xdr:colOff>
      <xdr:row>42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FunctionalScope" displayName="tblFunctionalScope" ref="A4:O362" totalsRowShown="0" headerRowDxfId="28" dataDxfId="27">
  <autoFilter ref="A4:O362"/>
  <tableColumns count="15">
    <tableColumn id="1" name="STT" dataDxfId="43"/>
    <tableColumn id="2" name="Feature ID" dataDxfId="42"/>
    <tableColumn id="3" name="Phân hệ" dataDxfId="41"/>
    <tableColumn id="4" name="Module" dataDxfId="40"/>
    <tableColumn id="5" name="Nhóm chức năng" dataDxfId="39"/>
    <tableColumn id="6" name="Chức năng" dataDxfId="38"/>
    <tableColumn id="7" name="Mô tả phạm vi" dataDxfId="37"/>
    <tableColumn id="8" name="Vai trò chính" dataDxfId="36"/>
    <tableColumn id="9" name="Loại" dataDxfId="35"/>
    <tableColumn id="10" name="Quy trình/RD" dataDxfId="34"/>
    <tableColumn id="11" name="Priority" dataDxfId="33"/>
    <tableColumn id="12" name="Release đề xuất" dataDxfId="32"/>
    <tableColumn id="13" name="Trạng thái phạm vi" dataDxfId="31"/>
    <tableColumn id="14" name="Nguồn/Thay đổi" dataDxfId="30"/>
    <tableColumn id="15" name="Định hướng nghiệm thu/Ghi chú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omains" displayName="tblDomains" ref="A3:H21" totalsRowShown="0" headerRowDxfId="18" dataDxfId="17">
  <autoFilter ref="A3:H21"/>
  <tableColumns count="8">
    <tableColumn id="1" name="STT" dataDxfId="26"/>
    <tableColumn id="2" name="Phân hệ" dataDxfId="25"/>
    <tableColumn id="3" name="Mô tả phạm vi" dataDxfId="24"/>
    <tableColumn id="4" name="Tổng chức năng" dataDxfId="23">
      <calculatedColumnFormula>COUNTIF('01_Functional_Scope'!$C$5:$C$362,B4)</calculatedColumnFormula>
    </tableColumn>
    <tableColumn id="5" name="Must" dataDxfId="22">
      <calculatedColumnFormula>COUNTIFS('01_Functional_Scope'!$C$5:$C$362,B4,'01_Functional_Scope'!$K$5:$K$362,E$3)</calculatedColumnFormula>
    </tableColumn>
    <tableColumn id="6" name="Should" dataDxfId="21">
      <calculatedColumnFormula>COUNTIFS('01_Functional_Scope'!$C$5:$C$362,B4,'01_Functional_Scope'!$K$5:$K$362,F$3)</calculatedColumnFormula>
    </tableColumn>
    <tableColumn id="7" name="Could" dataDxfId="20">
      <calculatedColumnFormula>COUNTIFS('01_Functional_Scope'!$C$5:$C$362,B4,'01_Functional_Scope'!$K$5:$K$362,G$3)</calculatedColumnFormula>
    </tableColumn>
    <tableColumn id="8" name="Cần xác nhận" dataDxfId="19">
      <calculatedColumnFormula>COUNTIFS('01_Functional_Scope'!$C$5:$C$362,B4,'01_Functional_Scope'!$M$5:$M$362,H$3)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hanges" displayName="tblChanges" ref="A3:F17" totalsRowShown="0" headerRowDxfId="10" dataDxfId="9">
  <autoFilter ref="A3:F17"/>
  <tableColumns count="6">
    <tableColumn id="1" name="STT" dataDxfId="16"/>
    <tableColumn id="2" name="Loại thay đổi" dataDxfId="15"/>
    <tableColumn id="3" name="Tham chiếu gốc" dataDxfId="14"/>
    <tableColumn id="4" name="Nội dung" dataDxfId="13"/>
    <tableColumn id="5" name="Xử lý trong FSL" dataDxfId="12"/>
    <tableColumn id="6" name="Ghi chú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Original" displayName="tblOriginal" ref="A2:G3" totalsRowShown="0" headerRowDxfId="1" dataDxfId="0">
  <autoFilter ref="A2:G3"/>
  <tableColumns count="7">
    <tableColumn id="1" name="Column1" dataDxfId="8"/>
    <tableColumn id="2" name="Column2" dataDxfId="7"/>
    <tableColumn id="3" name="Column3" dataDxfId="6"/>
    <tableColumn id="4" name="Column4" dataDxfId="5"/>
    <tableColumn id="5" name="Column5" dataDxfId="4"/>
    <tableColumn id="6" name="Column6" dataDxfId="3"/>
    <tableColumn id="7" name="Column7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2346B"/>
  </sheetPr>
  <dimension ref="A1:L33"/>
  <sheetViews>
    <sheetView showGridLines="0" tabSelected="1" zoomScale="90" zoomScaleNormal="90" workbookViewId="0">
      <selection sqref="A1:L2"/>
    </sheetView>
  </sheetViews>
  <sheetFormatPr defaultRowHeight="14.25"/>
  <cols>
    <col min="1" max="1" width="38.7109375" style="2" customWidth="1"/>
    <col min="2" max="2" width="14.7109375" style="2" customWidth="1"/>
    <col min="3" max="3" width="3.7109375" style="2" customWidth="1"/>
    <col min="4" max="12" width="12.7109375" style="2" customWidth="1"/>
    <col min="13" max="16384" width="9.140625" style="2"/>
  </cols>
  <sheetData>
    <row r="1" spans="1:12">
      <c r="A1" s="1" t="s">
        <v>1440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5">
      <c r="A4" s="3" t="s">
        <v>1421</v>
      </c>
      <c r="B4" s="3"/>
      <c r="D4" s="3" t="s">
        <v>36</v>
      </c>
      <c r="E4" s="3"/>
      <c r="G4" s="3" t="s">
        <v>1441</v>
      </c>
      <c r="H4" s="3"/>
      <c r="J4" s="3" t="s">
        <v>12</v>
      </c>
      <c r="K4" s="3"/>
    </row>
    <row r="5" spans="1:12">
      <c r="A5" s="4">
        <f>COUNTA('01_Functional_Scope'!$B$5:$B$362)</f>
        <v>358</v>
      </c>
      <c r="B5" s="4"/>
      <c r="D5" s="4">
        <f>COUNTA('02_Phan_he'!$B$4:$B$21)</f>
        <v>18</v>
      </c>
      <c r="E5" s="4"/>
      <c r="G5" s="4">
        <f>COUNTIF('01_Functional_Scope'!$K$5:$K$362,"Must")</f>
        <v>192</v>
      </c>
      <c r="H5" s="4"/>
      <c r="J5" s="4">
        <f>COUNTIF('01_Functional_Scope'!$M$5:$M$362,"Cần xác nhận")</f>
        <v>18</v>
      </c>
      <c r="K5" s="4"/>
    </row>
    <row r="6" spans="1:12">
      <c r="A6" s="4"/>
      <c r="B6" s="4"/>
      <c r="D6" s="4"/>
      <c r="E6" s="4"/>
      <c r="G6" s="4"/>
      <c r="H6" s="4"/>
      <c r="J6" s="4"/>
      <c r="K6" s="4"/>
    </row>
    <row r="8" spans="1:12" ht="15">
      <c r="A8" s="5" t="s">
        <v>1408</v>
      </c>
      <c r="B8" s="5"/>
      <c r="C8" s="5"/>
      <c r="D8" s="5"/>
      <c r="E8" s="5"/>
      <c r="F8" s="5"/>
    </row>
    <row r="9" spans="1:12" ht="27.95" customHeight="1">
      <c r="A9" s="6" t="s">
        <v>1442</v>
      </c>
      <c r="B9" s="6"/>
      <c r="C9" s="6"/>
      <c r="D9" s="6"/>
      <c r="E9" s="6"/>
      <c r="F9" s="6"/>
    </row>
    <row r="10" spans="1:12" ht="27.95" customHeight="1">
      <c r="A10" s="6" t="s">
        <v>1443</v>
      </c>
      <c r="B10" s="6"/>
      <c r="C10" s="6"/>
      <c r="D10" s="6"/>
      <c r="E10" s="6"/>
      <c r="F10" s="6"/>
    </row>
    <row r="11" spans="1:12" ht="27.95" customHeight="1">
      <c r="A11" s="6" t="s">
        <v>1444</v>
      </c>
      <c r="B11" s="6"/>
      <c r="C11" s="6"/>
      <c r="D11" s="6"/>
      <c r="E11" s="6"/>
      <c r="F11" s="6"/>
    </row>
    <row r="12" spans="1:12" ht="27.95" customHeight="1">
      <c r="A12" s="6" t="s">
        <v>1445</v>
      </c>
      <c r="B12" s="6"/>
      <c r="C12" s="6"/>
      <c r="D12" s="6"/>
      <c r="E12" s="6"/>
      <c r="F12" s="6"/>
    </row>
    <row r="13" spans="1:12" ht="27.95" customHeight="1">
      <c r="A13" s="6" t="s">
        <v>1446</v>
      </c>
      <c r="B13" s="6"/>
      <c r="C13" s="6"/>
      <c r="D13" s="6"/>
      <c r="E13" s="6"/>
      <c r="F13" s="6"/>
    </row>
    <row r="15" spans="1:12" ht="15">
      <c r="A15" s="7" t="s">
        <v>36</v>
      </c>
      <c r="B15" s="7" t="s">
        <v>1447</v>
      </c>
    </row>
    <row r="16" spans="1:12">
      <c r="A16" s="8" t="s">
        <v>47</v>
      </c>
      <c r="B16" s="8">
        <f>COUNTIF('01_Functional_Scope'!$C$5:$C$362,A16)</f>
        <v>30</v>
      </c>
    </row>
    <row r="17" spans="1:2">
      <c r="A17" s="8" t="s">
        <v>171</v>
      </c>
      <c r="B17" s="8">
        <f>COUNTIF('01_Functional_Scope'!$C$5:$C$362,A17)</f>
        <v>12</v>
      </c>
    </row>
    <row r="18" spans="1:2">
      <c r="A18" s="8" t="s">
        <v>221</v>
      </c>
      <c r="B18" s="8">
        <f>COUNTIF('01_Functional_Scope'!$C$5:$C$362,A18)</f>
        <v>21</v>
      </c>
    </row>
    <row r="19" spans="1:2">
      <c r="A19" s="8" t="s">
        <v>305</v>
      </c>
      <c r="B19" s="8">
        <f>COUNTIF('01_Functional_Scope'!$C$5:$C$362,A19)</f>
        <v>22</v>
      </c>
    </row>
    <row r="20" spans="1:2">
      <c r="A20" s="8" t="s">
        <v>384</v>
      </c>
      <c r="B20" s="8">
        <f>COUNTIF('01_Functional_Scope'!$C$5:$C$362,A20)</f>
        <v>30</v>
      </c>
    </row>
    <row r="21" spans="1:2">
      <c r="A21" s="8" t="s">
        <v>497</v>
      </c>
      <c r="B21" s="8">
        <f>COUNTIF('01_Functional_Scope'!$C$5:$C$362,A21)</f>
        <v>12</v>
      </c>
    </row>
    <row r="22" spans="1:2">
      <c r="A22" s="8" t="s">
        <v>550</v>
      </c>
      <c r="B22" s="8">
        <f>COUNTIF('01_Functional_Scope'!$C$5:$C$362,A22)</f>
        <v>17</v>
      </c>
    </row>
    <row r="23" spans="1:2">
      <c r="A23" s="8" t="s">
        <v>625</v>
      </c>
      <c r="B23" s="8">
        <f>COUNTIF('01_Functional_Scope'!$C$5:$C$362,A23)</f>
        <v>30</v>
      </c>
    </row>
    <row r="24" spans="1:2">
      <c r="A24" s="8" t="s">
        <v>726</v>
      </c>
      <c r="B24" s="8">
        <f>COUNTIF('01_Functional_Scope'!$C$5:$C$362,A24)</f>
        <v>11</v>
      </c>
    </row>
    <row r="25" spans="1:2">
      <c r="A25" s="8" t="s">
        <v>769</v>
      </c>
      <c r="B25" s="8">
        <f>COUNTIF('01_Functional_Scope'!$C$5:$C$362,A25)</f>
        <v>11</v>
      </c>
    </row>
    <row r="26" spans="1:2">
      <c r="A26" s="8" t="s">
        <v>811</v>
      </c>
      <c r="B26" s="8">
        <f>COUNTIF('01_Functional_Scope'!$C$5:$C$362,A26)</f>
        <v>23</v>
      </c>
    </row>
    <row r="27" spans="1:2">
      <c r="A27" s="8" t="s">
        <v>896</v>
      </c>
      <c r="B27" s="8">
        <f>COUNTIF('01_Functional_Scope'!$C$5:$C$362,A27)</f>
        <v>10</v>
      </c>
    </row>
    <row r="28" spans="1:2">
      <c r="A28" s="8" t="s">
        <v>936</v>
      </c>
      <c r="B28" s="8">
        <f>COUNTIF('01_Functional_Scope'!$C$5:$C$362,A28)</f>
        <v>12</v>
      </c>
    </row>
    <row r="29" spans="1:2">
      <c r="A29" s="8" t="s">
        <v>983</v>
      </c>
      <c r="B29" s="8">
        <f>COUNTIF('01_Functional_Scope'!$C$5:$C$362,A29)</f>
        <v>73</v>
      </c>
    </row>
    <row r="30" spans="1:2">
      <c r="A30" s="8" t="s">
        <v>1252</v>
      </c>
      <c r="B30" s="8">
        <f>COUNTIF('01_Functional_Scope'!$C$5:$C$362,A30)</f>
        <v>18</v>
      </c>
    </row>
    <row r="31" spans="1:2">
      <c r="A31" s="8" t="s">
        <v>1319</v>
      </c>
      <c r="B31" s="8">
        <f>COUNTIF('01_Functional_Scope'!$C$5:$C$362,A31)</f>
        <v>12</v>
      </c>
    </row>
    <row r="32" spans="1:2">
      <c r="A32" s="8" t="s">
        <v>1364</v>
      </c>
      <c r="B32" s="8">
        <f>COUNTIF('01_Functional_Scope'!$C$5:$C$362,A32)</f>
        <v>11</v>
      </c>
    </row>
    <row r="33" spans="1:2">
      <c r="A33" s="8" t="s">
        <v>1407</v>
      </c>
      <c r="B33" s="8">
        <f>COUNTIF('01_Functional_Scope'!$C$5:$C$362,A33)</f>
        <v>3</v>
      </c>
    </row>
  </sheetData>
  <mergeCells count="15">
    <mergeCell ref="A8:F8"/>
    <mergeCell ref="A9:F9"/>
    <mergeCell ref="A10:F10"/>
    <mergeCell ref="A11:F11"/>
    <mergeCell ref="A12:F12"/>
    <mergeCell ref="A13:F13"/>
    <mergeCell ref="A1:L2"/>
    <mergeCell ref="A4:B4"/>
    <mergeCell ref="A5:B6"/>
    <mergeCell ref="D4:E4"/>
    <mergeCell ref="D5:E6"/>
    <mergeCell ref="G4:H4"/>
    <mergeCell ref="G5:H6"/>
    <mergeCell ref="J4:K4"/>
    <mergeCell ref="J5:K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286C6"/>
  </sheetPr>
  <dimension ref="A1:O362"/>
  <sheetViews>
    <sheetView showGridLines="0" workbookViewId="0">
      <pane xSplit="2" ySplit="4" topLeftCell="C5" activePane="bottomRight" state="frozenSplit"/>
      <selection pane="bottomLeft" activeCell="A5" sqref="A5"/>
      <selection pane="topRight" activeCell="C1" sqref="C1"/>
      <selection pane="bottomRight" sqref="A1:O1"/>
    </sheetView>
  </sheetViews>
  <sheetFormatPr defaultRowHeight="14.25"/>
  <cols>
    <col min="1" max="1" width="6.7109375" style="2" customWidth="1"/>
    <col min="2" max="2" width="16.7109375" style="2" customWidth="1"/>
    <col min="3" max="3" width="27.7109375" style="2" customWidth="1"/>
    <col min="4" max="4" width="25.7109375" style="2" customWidth="1"/>
    <col min="5" max="5" width="24.7109375" style="2" customWidth="1"/>
    <col min="6" max="6" width="34.7109375" style="2" customWidth="1"/>
    <col min="7" max="7" width="48.7109375" style="2" customWidth="1"/>
    <col min="8" max="8" width="30.7109375" style="2" customWidth="1"/>
    <col min="9" max="9" width="15.7109375" style="2" customWidth="1"/>
    <col min="10" max="10" width="14.7109375" style="2" customWidth="1"/>
    <col min="11" max="11" width="12.7109375" style="2" customWidth="1"/>
    <col min="12" max="12" width="15.7109375" style="2" customWidth="1"/>
    <col min="13" max="13" width="22.7109375" style="2" customWidth="1"/>
    <col min="14" max="14" width="25.7109375" style="2" customWidth="1"/>
    <col min="15" max="15" width="42.7109375" style="2" customWidth="1"/>
    <col min="16" max="16384" width="9.140625" style="2"/>
  </cols>
  <sheetData>
    <row r="1" spans="1:15" ht="30" customHeight="1">
      <c r="A1" s="9" t="s">
        <v>32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3.950000000000003" customHeight="1">
      <c r="A2" s="10" t="s">
        <v>33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spans="1:15" ht="33.950000000000003" customHeight="1">
      <c r="A4" s="11" t="s">
        <v>34</v>
      </c>
      <c r="B4" s="11" t="s">
        <v>35</v>
      </c>
      <c r="C4" s="11" t="s">
        <v>36</v>
      </c>
      <c r="D4" s="11" t="s">
        <v>37</v>
      </c>
      <c r="E4" s="11" t="s">
        <v>38</v>
      </c>
      <c r="F4" s="11" t="s">
        <v>39</v>
      </c>
      <c r="G4" s="11" t="s">
        <v>40</v>
      </c>
      <c r="H4" s="11" t="s">
        <v>41</v>
      </c>
      <c r="I4" s="11" t="s">
        <v>15</v>
      </c>
      <c r="J4" s="11" t="s">
        <v>42</v>
      </c>
      <c r="K4" s="11" t="s">
        <v>0</v>
      </c>
      <c r="L4" s="11" t="s">
        <v>43</v>
      </c>
      <c r="M4" s="11" t="s">
        <v>10</v>
      </c>
      <c r="N4" s="11" t="s">
        <v>44</v>
      </c>
      <c r="O4" s="11" t="s">
        <v>45</v>
      </c>
    </row>
    <row r="5" spans="1:15" ht="42.75">
      <c r="A5" s="12">
        <v>1</v>
      </c>
      <c r="B5" s="12" t="s">
        <v>46</v>
      </c>
      <c r="C5" s="13" t="s">
        <v>47</v>
      </c>
      <c r="D5" s="13" t="s">
        <v>48</v>
      </c>
      <c r="E5" s="13" t="s">
        <v>49</v>
      </c>
      <c r="F5" s="13" t="s">
        <v>50</v>
      </c>
      <c r="G5" s="13" t="s">
        <v>51</v>
      </c>
      <c r="H5" s="13" t="s">
        <v>52</v>
      </c>
      <c r="I5" s="13" t="s">
        <v>18</v>
      </c>
      <c r="J5" s="13"/>
      <c r="K5" s="13" t="s">
        <v>1</v>
      </c>
      <c r="L5" s="13" t="s">
        <v>6</v>
      </c>
      <c r="M5" s="13" t="s">
        <v>11</v>
      </c>
      <c r="N5" s="13" t="s">
        <v>29</v>
      </c>
      <c r="O5" s="13" t="s">
        <v>53</v>
      </c>
    </row>
    <row r="6" spans="1:15" ht="28.5">
      <c r="A6" s="12">
        <v>2</v>
      </c>
      <c r="B6" s="12" t="s">
        <v>54</v>
      </c>
      <c r="C6" s="13" t="s">
        <v>47</v>
      </c>
      <c r="D6" s="13" t="s">
        <v>48</v>
      </c>
      <c r="E6" s="13" t="s">
        <v>49</v>
      </c>
      <c r="F6" s="13" t="s">
        <v>55</v>
      </c>
      <c r="G6" s="13" t="s">
        <v>56</v>
      </c>
      <c r="H6" s="13" t="s">
        <v>52</v>
      </c>
      <c r="I6" s="13" t="s">
        <v>18</v>
      </c>
      <c r="J6" s="13"/>
      <c r="K6" s="13" t="s">
        <v>1</v>
      </c>
      <c r="L6" s="13" t="s">
        <v>6</v>
      </c>
      <c r="M6" s="13" t="s">
        <v>11</v>
      </c>
      <c r="N6" s="13" t="s">
        <v>29</v>
      </c>
      <c r="O6" s="13"/>
    </row>
    <row r="7" spans="1:15" ht="28.5">
      <c r="A7" s="12">
        <v>3</v>
      </c>
      <c r="B7" s="12" t="s">
        <v>57</v>
      </c>
      <c r="C7" s="13" t="s">
        <v>47</v>
      </c>
      <c r="D7" s="13" t="s">
        <v>48</v>
      </c>
      <c r="E7" s="13" t="s">
        <v>58</v>
      </c>
      <c r="F7" s="13" t="s">
        <v>59</v>
      </c>
      <c r="G7" s="13" t="s">
        <v>60</v>
      </c>
      <c r="H7" s="13" t="s">
        <v>52</v>
      </c>
      <c r="I7" s="13" t="s">
        <v>23</v>
      </c>
      <c r="J7" s="13"/>
      <c r="K7" s="13" t="s">
        <v>1</v>
      </c>
      <c r="L7" s="13" t="s">
        <v>6</v>
      </c>
      <c r="M7" s="13" t="s">
        <v>11</v>
      </c>
      <c r="N7" s="13" t="s">
        <v>30</v>
      </c>
      <c r="O7" s="13"/>
    </row>
    <row r="8" spans="1:15" ht="28.5">
      <c r="A8" s="12">
        <v>4</v>
      </c>
      <c r="B8" s="12" t="s">
        <v>61</v>
      </c>
      <c r="C8" s="13" t="s">
        <v>47</v>
      </c>
      <c r="D8" s="13" t="s">
        <v>48</v>
      </c>
      <c r="E8" s="13" t="s">
        <v>62</v>
      </c>
      <c r="F8" s="13" t="s">
        <v>63</v>
      </c>
      <c r="G8" s="13" t="s">
        <v>64</v>
      </c>
      <c r="H8" s="13" t="s">
        <v>52</v>
      </c>
      <c r="I8" s="13" t="s">
        <v>18</v>
      </c>
      <c r="J8" s="13"/>
      <c r="K8" s="13" t="s">
        <v>1</v>
      </c>
      <c r="L8" s="13" t="s">
        <v>6</v>
      </c>
      <c r="M8" s="13" t="s">
        <v>11</v>
      </c>
      <c r="N8" s="13" t="s">
        <v>30</v>
      </c>
      <c r="O8" s="13"/>
    </row>
    <row r="9" spans="1:15" ht="28.5">
      <c r="A9" s="12">
        <v>5</v>
      </c>
      <c r="B9" s="12" t="s">
        <v>65</v>
      </c>
      <c r="C9" s="13" t="s">
        <v>47</v>
      </c>
      <c r="D9" s="13" t="s">
        <v>66</v>
      </c>
      <c r="E9" s="13" t="s">
        <v>67</v>
      </c>
      <c r="F9" s="13" t="s">
        <v>68</v>
      </c>
      <c r="G9" s="13" t="s">
        <v>69</v>
      </c>
      <c r="H9" s="13" t="s">
        <v>70</v>
      </c>
      <c r="I9" s="13" t="s">
        <v>16</v>
      </c>
      <c r="J9" s="13"/>
      <c r="K9" s="13" t="s">
        <v>1</v>
      </c>
      <c r="L9" s="13" t="s">
        <v>6</v>
      </c>
      <c r="M9" s="13" t="s">
        <v>11</v>
      </c>
      <c r="N9" s="13" t="s">
        <v>71</v>
      </c>
      <c r="O9" s="13" t="s">
        <v>72</v>
      </c>
    </row>
    <row r="10" spans="1:15" ht="28.5">
      <c r="A10" s="12">
        <v>6</v>
      </c>
      <c r="B10" s="12" t="s">
        <v>73</v>
      </c>
      <c r="C10" s="13" t="s">
        <v>47</v>
      </c>
      <c r="D10" s="13" t="s">
        <v>66</v>
      </c>
      <c r="E10" s="13" t="s">
        <v>67</v>
      </c>
      <c r="F10" s="13" t="s">
        <v>74</v>
      </c>
      <c r="G10" s="13" t="s">
        <v>75</v>
      </c>
      <c r="H10" s="13" t="s">
        <v>70</v>
      </c>
      <c r="I10" s="13" t="s">
        <v>16</v>
      </c>
      <c r="J10" s="13"/>
      <c r="K10" s="13" t="s">
        <v>1</v>
      </c>
      <c r="L10" s="13" t="s">
        <v>6</v>
      </c>
      <c r="M10" s="13" t="s">
        <v>11</v>
      </c>
      <c r="N10" s="13" t="s">
        <v>71</v>
      </c>
      <c r="O10" s="13" t="s">
        <v>76</v>
      </c>
    </row>
    <row r="11" spans="1:15" ht="28.5">
      <c r="A11" s="12">
        <v>7</v>
      </c>
      <c r="B11" s="12" t="s">
        <v>77</v>
      </c>
      <c r="C11" s="13" t="s">
        <v>47</v>
      </c>
      <c r="D11" s="13" t="s">
        <v>66</v>
      </c>
      <c r="E11" s="13" t="s">
        <v>67</v>
      </c>
      <c r="F11" s="13" t="s">
        <v>78</v>
      </c>
      <c r="G11" s="13" t="s">
        <v>79</v>
      </c>
      <c r="H11" s="13" t="s">
        <v>70</v>
      </c>
      <c r="I11" s="13" t="s">
        <v>16</v>
      </c>
      <c r="J11" s="13"/>
      <c r="K11" s="13" t="s">
        <v>1</v>
      </c>
      <c r="L11" s="13" t="s">
        <v>6</v>
      </c>
      <c r="M11" s="13" t="s">
        <v>11</v>
      </c>
      <c r="N11" s="13" t="s">
        <v>71</v>
      </c>
      <c r="O11" s="13" t="s">
        <v>80</v>
      </c>
    </row>
    <row r="12" spans="1:15" ht="42.75">
      <c r="A12" s="12">
        <v>8</v>
      </c>
      <c r="B12" s="12" t="s">
        <v>81</v>
      </c>
      <c r="C12" s="13" t="s">
        <v>47</v>
      </c>
      <c r="D12" s="13" t="s">
        <v>66</v>
      </c>
      <c r="E12" s="13" t="s">
        <v>67</v>
      </c>
      <c r="F12" s="13" t="s">
        <v>82</v>
      </c>
      <c r="G12" s="13" t="s">
        <v>83</v>
      </c>
      <c r="H12" s="13" t="s">
        <v>70</v>
      </c>
      <c r="I12" s="13" t="s">
        <v>16</v>
      </c>
      <c r="J12" s="13"/>
      <c r="K12" s="13" t="s">
        <v>1</v>
      </c>
      <c r="L12" s="13" t="s">
        <v>6</v>
      </c>
      <c r="M12" s="13" t="s">
        <v>11</v>
      </c>
      <c r="N12" s="13" t="s">
        <v>71</v>
      </c>
      <c r="O12" s="13" t="s">
        <v>84</v>
      </c>
    </row>
    <row r="13" spans="1:15" ht="28.5">
      <c r="A13" s="12">
        <v>9</v>
      </c>
      <c r="B13" s="12" t="s">
        <v>85</v>
      </c>
      <c r="C13" s="13" t="s">
        <v>47</v>
      </c>
      <c r="D13" s="13" t="s">
        <v>66</v>
      </c>
      <c r="E13" s="13" t="s">
        <v>67</v>
      </c>
      <c r="F13" s="13" t="s">
        <v>86</v>
      </c>
      <c r="G13" s="13" t="s">
        <v>87</v>
      </c>
      <c r="H13" s="13" t="s">
        <v>70</v>
      </c>
      <c r="I13" s="13" t="s">
        <v>88</v>
      </c>
      <c r="J13" s="13"/>
      <c r="K13" s="13" t="s">
        <v>2</v>
      </c>
      <c r="L13" s="13" t="s">
        <v>6</v>
      </c>
      <c r="M13" s="13" t="s">
        <v>11</v>
      </c>
      <c r="N13" s="13" t="s">
        <v>71</v>
      </c>
      <c r="O13" s="13" t="s">
        <v>89</v>
      </c>
    </row>
    <row r="14" spans="1:15" ht="28.5">
      <c r="A14" s="12">
        <v>10</v>
      </c>
      <c r="B14" s="12" t="s">
        <v>90</v>
      </c>
      <c r="C14" s="13" t="s">
        <v>47</v>
      </c>
      <c r="D14" s="13" t="s">
        <v>66</v>
      </c>
      <c r="E14" s="13" t="s">
        <v>67</v>
      </c>
      <c r="F14" s="13" t="s">
        <v>91</v>
      </c>
      <c r="G14" s="13" t="s">
        <v>92</v>
      </c>
      <c r="H14" s="13" t="s">
        <v>70</v>
      </c>
      <c r="I14" s="13" t="s">
        <v>93</v>
      </c>
      <c r="J14" s="13" t="s">
        <v>24</v>
      </c>
      <c r="K14" s="13"/>
      <c r="L14" s="13" t="s">
        <v>1</v>
      </c>
      <c r="M14" s="13" t="s">
        <v>6</v>
      </c>
      <c r="N14" s="13" t="s">
        <v>11</v>
      </c>
      <c r="O14" s="13" t="s">
        <v>71</v>
      </c>
    </row>
    <row r="15" spans="1:15" ht="28.5">
      <c r="A15" s="12">
        <v>11</v>
      </c>
      <c r="B15" s="12" t="s">
        <v>94</v>
      </c>
      <c r="C15" s="13" t="s">
        <v>47</v>
      </c>
      <c r="D15" s="13" t="s">
        <v>66</v>
      </c>
      <c r="E15" s="13" t="s">
        <v>95</v>
      </c>
      <c r="F15" s="13" t="s">
        <v>96</v>
      </c>
      <c r="G15" s="13" t="s">
        <v>97</v>
      </c>
      <c r="H15" s="13" t="s">
        <v>70</v>
      </c>
      <c r="I15" s="13" t="s">
        <v>19</v>
      </c>
      <c r="J15" s="13"/>
      <c r="K15" s="13" t="s">
        <v>1</v>
      </c>
      <c r="L15" s="13" t="s">
        <v>6</v>
      </c>
      <c r="M15" s="13" t="s">
        <v>11</v>
      </c>
      <c r="N15" s="13" t="s">
        <v>30</v>
      </c>
      <c r="O15" s="13"/>
    </row>
    <row r="16" spans="1:15" ht="28.5">
      <c r="A16" s="12">
        <v>12</v>
      </c>
      <c r="B16" s="12" t="s">
        <v>98</v>
      </c>
      <c r="C16" s="13" t="s">
        <v>47</v>
      </c>
      <c r="D16" s="13" t="s">
        <v>66</v>
      </c>
      <c r="E16" s="13" t="s">
        <v>99</v>
      </c>
      <c r="F16" s="13" t="s">
        <v>100</v>
      </c>
      <c r="G16" s="13" t="s">
        <v>101</v>
      </c>
      <c r="H16" s="13" t="s">
        <v>70</v>
      </c>
      <c r="I16" s="13" t="s">
        <v>19</v>
      </c>
      <c r="J16" s="13"/>
      <c r="K16" s="13" t="s">
        <v>2</v>
      </c>
      <c r="L16" s="13" t="s">
        <v>6</v>
      </c>
      <c r="M16" s="13" t="s">
        <v>11</v>
      </c>
      <c r="N16" s="13" t="s">
        <v>30</v>
      </c>
      <c r="O16" s="13"/>
    </row>
    <row r="17" spans="1:15" ht="28.5">
      <c r="A17" s="12">
        <v>13</v>
      </c>
      <c r="B17" s="12" t="s">
        <v>102</v>
      </c>
      <c r="C17" s="13" t="s">
        <v>47</v>
      </c>
      <c r="D17" s="13" t="s">
        <v>103</v>
      </c>
      <c r="E17" s="13" t="s">
        <v>104</v>
      </c>
      <c r="F17" s="13" t="s">
        <v>105</v>
      </c>
      <c r="G17" s="13" t="s">
        <v>106</v>
      </c>
      <c r="H17" s="13" t="s">
        <v>70</v>
      </c>
      <c r="I17" s="13" t="s">
        <v>16</v>
      </c>
      <c r="J17" s="13"/>
      <c r="K17" s="13" t="s">
        <v>1</v>
      </c>
      <c r="L17" s="13" t="s">
        <v>6</v>
      </c>
      <c r="M17" s="13" t="s">
        <v>11</v>
      </c>
      <c r="N17" s="13" t="s">
        <v>107</v>
      </c>
      <c r="O17" s="13" t="s">
        <v>72</v>
      </c>
    </row>
    <row r="18" spans="1:15" ht="28.5">
      <c r="A18" s="12">
        <v>14</v>
      </c>
      <c r="B18" s="12" t="s">
        <v>108</v>
      </c>
      <c r="C18" s="13" t="s">
        <v>47</v>
      </c>
      <c r="D18" s="13" t="s">
        <v>103</v>
      </c>
      <c r="E18" s="13" t="s">
        <v>104</v>
      </c>
      <c r="F18" s="13" t="s">
        <v>109</v>
      </c>
      <c r="G18" s="13" t="s">
        <v>110</v>
      </c>
      <c r="H18" s="13" t="s">
        <v>70</v>
      </c>
      <c r="I18" s="13" t="s">
        <v>16</v>
      </c>
      <c r="J18" s="13"/>
      <c r="K18" s="13" t="s">
        <v>1</v>
      </c>
      <c r="L18" s="13" t="s">
        <v>6</v>
      </c>
      <c r="M18" s="13" t="s">
        <v>11</v>
      </c>
      <c r="N18" s="13" t="s">
        <v>107</v>
      </c>
      <c r="O18" s="13" t="s">
        <v>76</v>
      </c>
    </row>
    <row r="19" spans="1:15" ht="28.5">
      <c r="A19" s="12">
        <v>15</v>
      </c>
      <c r="B19" s="12" t="s">
        <v>111</v>
      </c>
      <c r="C19" s="13" t="s">
        <v>47</v>
      </c>
      <c r="D19" s="13" t="s">
        <v>103</v>
      </c>
      <c r="E19" s="13" t="s">
        <v>104</v>
      </c>
      <c r="F19" s="13" t="s">
        <v>112</v>
      </c>
      <c r="G19" s="13" t="s">
        <v>113</v>
      </c>
      <c r="H19" s="13" t="s">
        <v>70</v>
      </c>
      <c r="I19" s="13" t="s">
        <v>16</v>
      </c>
      <c r="J19" s="13"/>
      <c r="K19" s="13" t="s">
        <v>1</v>
      </c>
      <c r="L19" s="13" t="s">
        <v>6</v>
      </c>
      <c r="M19" s="13" t="s">
        <v>11</v>
      </c>
      <c r="N19" s="13" t="s">
        <v>107</v>
      </c>
      <c r="O19" s="13" t="s">
        <v>80</v>
      </c>
    </row>
    <row r="20" spans="1:15" ht="42.75">
      <c r="A20" s="12">
        <v>16</v>
      </c>
      <c r="B20" s="12" t="s">
        <v>114</v>
      </c>
      <c r="C20" s="13" t="s">
        <v>47</v>
      </c>
      <c r="D20" s="13" t="s">
        <v>103</v>
      </c>
      <c r="E20" s="13" t="s">
        <v>104</v>
      </c>
      <c r="F20" s="13" t="s">
        <v>115</v>
      </c>
      <c r="G20" s="13" t="s">
        <v>116</v>
      </c>
      <c r="H20" s="13" t="s">
        <v>70</v>
      </c>
      <c r="I20" s="13" t="s">
        <v>16</v>
      </c>
      <c r="J20" s="13"/>
      <c r="K20" s="13" t="s">
        <v>1</v>
      </c>
      <c r="L20" s="13" t="s">
        <v>6</v>
      </c>
      <c r="M20" s="13" t="s">
        <v>11</v>
      </c>
      <c r="N20" s="13" t="s">
        <v>107</v>
      </c>
      <c r="O20" s="13" t="s">
        <v>84</v>
      </c>
    </row>
    <row r="21" spans="1:15" ht="28.5">
      <c r="A21" s="12">
        <v>17</v>
      </c>
      <c r="B21" s="12" t="s">
        <v>117</v>
      </c>
      <c r="C21" s="13" t="s">
        <v>47</v>
      </c>
      <c r="D21" s="13" t="s">
        <v>103</v>
      </c>
      <c r="E21" s="13" t="s">
        <v>104</v>
      </c>
      <c r="F21" s="13" t="s">
        <v>118</v>
      </c>
      <c r="G21" s="13" t="s">
        <v>119</v>
      </c>
      <c r="H21" s="13" t="s">
        <v>70</v>
      </c>
      <c r="I21" s="13" t="s">
        <v>88</v>
      </c>
      <c r="J21" s="13"/>
      <c r="K21" s="13" t="s">
        <v>2</v>
      </c>
      <c r="L21" s="13" t="s">
        <v>6</v>
      </c>
      <c r="M21" s="13" t="s">
        <v>11</v>
      </c>
      <c r="N21" s="13" t="s">
        <v>107</v>
      </c>
      <c r="O21" s="13" t="s">
        <v>89</v>
      </c>
    </row>
    <row r="22" spans="1:15" ht="28.5">
      <c r="A22" s="12">
        <v>18</v>
      </c>
      <c r="B22" s="12" t="s">
        <v>120</v>
      </c>
      <c r="C22" s="13" t="s">
        <v>47</v>
      </c>
      <c r="D22" s="13" t="s">
        <v>103</v>
      </c>
      <c r="E22" s="13" t="s">
        <v>104</v>
      </c>
      <c r="F22" s="13" t="s">
        <v>121</v>
      </c>
      <c r="G22" s="13" t="s">
        <v>122</v>
      </c>
      <c r="H22" s="13" t="s">
        <v>70</v>
      </c>
      <c r="I22" s="13" t="s">
        <v>93</v>
      </c>
      <c r="J22" s="13" t="s">
        <v>24</v>
      </c>
      <c r="K22" s="13"/>
      <c r="L22" s="13" t="s">
        <v>1</v>
      </c>
      <c r="M22" s="13" t="s">
        <v>6</v>
      </c>
      <c r="N22" s="13" t="s">
        <v>11</v>
      </c>
      <c r="O22" s="13" t="s">
        <v>107</v>
      </c>
    </row>
    <row r="23" spans="1:15" ht="28.5">
      <c r="A23" s="12">
        <v>19</v>
      </c>
      <c r="B23" s="12" t="s">
        <v>123</v>
      </c>
      <c r="C23" s="13" t="s">
        <v>47</v>
      </c>
      <c r="D23" s="13" t="s">
        <v>103</v>
      </c>
      <c r="E23" s="13" t="s">
        <v>124</v>
      </c>
      <c r="F23" s="13" t="s">
        <v>125</v>
      </c>
      <c r="G23" s="13" t="s">
        <v>126</v>
      </c>
      <c r="H23" s="13" t="s">
        <v>70</v>
      </c>
      <c r="I23" s="13" t="s">
        <v>20</v>
      </c>
      <c r="J23" s="13"/>
      <c r="K23" s="13" t="s">
        <v>1</v>
      </c>
      <c r="L23" s="13" t="s">
        <v>6</v>
      </c>
      <c r="M23" s="13" t="s">
        <v>11</v>
      </c>
      <c r="N23" s="13" t="s">
        <v>30</v>
      </c>
      <c r="O23" s="13"/>
    </row>
    <row r="24" spans="1:15" ht="28.5">
      <c r="A24" s="12">
        <v>20</v>
      </c>
      <c r="B24" s="12" t="s">
        <v>127</v>
      </c>
      <c r="C24" s="13" t="s">
        <v>47</v>
      </c>
      <c r="D24" s="13" t="s">
        <v>103</v>
      </c>
      <c r="E24" s="13" t="s">
        <v>128</v>
      </c>
      <c r="F24" s="13" t="s">
        <v>129</v>
      </c>
      <c r="G24" s="13" t="s">
        <v>130</v>
      </c>
      <c r="H24" s="13" t="s">
        <v>70</v>
      </c>
      <c r="I24" s="13" t="s">
        <v>22</v>
      </c>
      <c r="J24" s="13"/>
      <c r="K24" s="13" t="s">
        <v>1</v>
      </c>
      <c r="L24" s="13" t="s">
        <v>6</v>
      </c>
      <c r="M24" s="13" t="s">
        <v>11</v>
      </c>
      <c r="N24" s="13" t="s">
        <v>131</v>
      </c>
      <c r="O24" s="13"/>
    </row>
    <row r="25" spans="1:15" ht="28.5">
      <c r="A25" s="12">
        <v>21</v>
      </c>
      <c r="B25" s="12" t="s">
        <v>132</v>
      </c>
      <c r="C25" s="13" t="s">
        <v>47</v>
      </c>
      <c r="D25" s="13" t="s">
        <v>103</v>
      </c>
      <c r="E25" s="13" t="s">
        <v>128</v>
      </c>
      <c r="F25" s="13" t="s">
        <v>133</v>
      </c>
      <c r="G25" s="13" t="s">
        <v>134</v>
      </c>
      <c r="H25" s="13" t="s">
        <v>135</v>
      </c>
      <c r="I25" s="13" t="s">
        <v>22</v>
      </c>
      <c r="J25" s="13"/>
      <c r="K25" s="13" t="s">
        <v>2</v>
      </c>
      <c r="L25" s="13" t="s">
        <v>7</v>
      </c>
      <c r="M25" s="13" t="s">
        <v>11</v>
      </c>
      <c r="N25" s="13" t="s">
        <v>30</v>
      </c>
      <c r="O25" s="13"/>
    </row>
    <row r="26" spans="1:15" ht="28.5">
      <c r="A26" s="12">
        <v>22</v>
      </c>
      <c r="B26" s="12" t="s">
        <v>136</v>
      </c>
      <c r="C26" s="13" t="s">
        <v>47</v>
      </c>
      <c r="D26" s="13" t="s">
        <v>137</v>
      </c>
      <c r="E26" s="13" t="s">
        <v>138</v>
      </c>
      <c r="F26" s="13" t="s">
        <v>139</v>
      </c>
      <c r="G26" s="13" t="s">
        <v>140</v>
      </c>
      <c r="H26" s="13" t="s">
        <v>70</v>
      </c>
      <c r="I26" s="13" t="s">
        <v>16</v>
      </c>
      <c r="J26" s="13"/>
      <c r="K26" s="13" t="s">
        <v>1</v>
      </c>
      <c r="L26" s="13" t="s">
        <v>6</v>
      </c>
      <c r="M26" s="13" t="s">
        <v>11</v>
      </c>
      <c r="N26" s="13" t="s">
        <v>141</v>
      </c>
      <c r="O26" s="13" t="s">
        <v>72</v>
      </c>
    </row>
    <row r="27" spans="1:15" ht="28.5">
      <c r="A27" s="12">
        <v>23</v>
      </c>
      <c r="B27" s="12" t="s">
        <v>142</v>
      </c>
      <c r="C27" s="13" t="s">
        <v>47</v>
      </c>
      <c r="D27" s="13" t="s">
        <v>137</v>
      </c>
      <c r="E27" s="13" t="s">
        <v>138</v>
      </c>
      <c r="F27" s="13" t="s">
        <v>143</v>
      </c>
      <c r="G27" s="13" t="s">
        <v>144</v>
      </c>
      <c r="H27" s="13" t="s">
        <v>70</v>
      </c>
      <c r="I27" s="13" t="s">
        <v>16</v>
      </c>
      <c r="J27" s="13"/>
      <c r="K27" s="13" t="s">
        <v>1</v>
      </c>
      <c r="L27" s="13" t="s">
        <v>6</v>
      </c>
      <c r="M27" s="13" t="s">
        <v>11</v>
      </c>
      <c r="N27" s="13" t="s">
        <v>141</v>
      </c>
      <c r="O27" s="13" t="s">
        <v>76</v>
      </c>
    </row>
    <row r="28" spans="1:15" ht="28.5">
      <c r="A28" s="12">
        <v>24</v>
      </c>
      <c r="B28" s="12" t="s">
        <v>145</v>
      </c>
      <c r="C28" s="13" t="s">
        <v>47</v>
      </c>
      <c r="D28" s="13" t="s">
        <v>137</v>
      </c>
      <c r="E28" s="13" t="s">
        <v>138</v>
      </c>
      <c r="F28" s="13" t="s">
        <v>146</v>
      </c>
      <c r="G28" s="13" t="s">
        <v>147</v>
      </c>
      <c r="H28" s="13" t="s">
        <v>70</v>
      </c>
      <c r="I28" s="13" t="s">
        <v>16</v>
      </c>
      <c r="J28" s="13"/>
      <c r="K28" s="13" t="s">
        <v>1</v>
      </c>
      <c r="L28" s="13" t="s">
        <v>6</v>
      </c>
      <c r="M28" s="13" t="s">
        <v>11</v>
      </c>
      <c r="N28" s="13" t="s">
        <v>141</v>
      </c>
      <c r="O28" s="13" t="s">
        <v>80</v>
      </c>
    </row>
    <row r="29" spans="1:15" ht="42.75">
      <c r="A29" s="12">
        <v>25</v>
      </c>
      <c r="B29" s="12" t="s">
        <v>148</v>
      </c>
      <c r="C29" s="13" t="s">
        <v>47</v>
      </c>
      <c r="D29" s="13" t="s">
        <v>137</v>
      </c>
      <c r="E29" s="13" t="s">
        <v>138</v>
      </c>
      <c r="F29" s="13" t="s">
        <v>149</v>
      </c>
      <c r="G29" s="13" t="s">
        <v>150</v>
      </c>
      <c r="H29" s="13" t="s">
        <v>70</v>
      </c>
      <c r="I29" s="13" t="s">
        <v>16</v>
      </c>
      <c r="J29" s="13"/>
      <c r="K29" s="13" t="s">
        <v>1</v>
      </c>
      <c r="L29" s="13" t="s">
        <v>6</v>
      </c>
      <c r="M29" s="13" t="s">
        <v>11</v>
      </c>
      <c r="N29" s="13" t="s">
        <v>141</v>
      </c>
      <c r="O29" s="13" t="s">
        <v>84</v>
      </c>
    </row>
    <row r="30" spans="1:15" ht="28.5">
      <c r="A30" s="12">
        <v>26</v>
      </c>
      <c r="B30" s="12" t="s">
        <v>151</v>
      </c>
      <c r="C30" s="13" t="s">
        <v>47</v>
      </c>
      <c r="D30" s="13" t="s">
        <v>137</v>
      </c>
      <c r="E30" s="13" t="s">
        <v>138</v>
      </c>
      <c r="F30" s="13" t="s">
        <v>152</v>
      </c>
      <c r="G30" s="13" t="s">
        <v>153</v>
      </c>
      <c r="H30" s="13" t="s">
        <v>70</v>
      </c>
      <c r="I30" s="13" t="s">
        <v>88</v>
      </c>
      <c r="J30" s="13"/>
      <c r="K30" s="13" t="s">
        <v>2</v>
      </c>
      <c r="L30" s="13" t="s">
        <v>6</v>
      </c>
      <c r="M30" s="13" t="s">
        <v>11</v>
      </c>
      <c r="N30" s="13" t="s">
        <v>141</v>
      </c>
      <c r="O30" s="13" t="s">
        <v>89</v>
      </c>
    </row>
    <row r="31" spans="1:15" ht="28.5">
      <c r="A31" s="12">
        <v>27</v>
      </c>
      <c r="B31" s="12" t="s">
        <v>154</v>
      </c>
      <c r="C31" s="13" t="s">
        <v>47</v>
      </c>
      <c r="D31" s="13" t="s">
        <v>137</v>
      </c>
      <c r="E31" s="13" t="s">
        <v>138</v>
      </c>
      <c r="F31" s="13" t="s">
        <v>155</v>
      </c>
      <c r="G31" s="13" t="s">
        <v>156</v>
      </c>
      <c r="H31" s="13" t="s">
        <v>70</v>
      </c>
      <c r="I31" s="13" t="s">
        <v>93</v>
      </c>
      <c r="J31" s="13" t="s">
        <v>24</v>
      </c>
      <c r="K31" s="13"/>
      <c r="L31" s="13" t="s">
        <v>1</v>
      </c>
      <c r="M31" s="13" t="s">
        <v>6</v>
      </c>
      <c r="N31" s="13" t="s">
        <v>11</v>
      </c>
      <c r="O31" s="13" t="s">
        <v>141</v>
      </c>
    </row>
    <row r="32" spans="1:15" ht="28.5">
      <c r="A32" s="12">
        <v>28</v>
      </c>
      <c r="B32" s="12" t="s">
        <v>157</v>
      </c>
      <c r="C32" s="13" t="s">
        <v>47</v>
      </c>
      <c r="D32" s="13" t="s">
        <v>137</v>
      </c>
      <c r="E32" s="13" t="s">
        <v>158</v>
      </c>
      <c r="F32" s="13" t="s">
        <v>159</v>
      </c>
      <c r="G32" s="13" t="s">
        <v>160</v>
      </c>
      <c r="H32" s="13" t="s">
        <v>70</v>
      </c>
      <c r="I32" s="13" t="s">
        <v>22</v>
      </c>
      <c r="J32" s="13"/>
      <c r="K32" s="13" t="s">
        <v>1</v>
      </c>
      <c r="L32" s="13" t="s">
        <v>6</v>
      </c>
      <c r="M32" s="13" t="s">
        <v>11</v>
      </c>
      <c r="N32" s="13" t="s">
        <v>30</v>
      </c>
      <c r="O32" s="13"/>
    </row>
    <row r="33" spans="1:15" ht="28.5">
      <c r="A33" s="12">
        <v>29</v>
      </c>
      <c r="B33" s="12" t="s">
        <v>161</v>
      </c>
      <c r="C33" s="13" t="s">
        <v>47</v>
      </c>
      <c r="D33" s="13" t="s">
        <v>137</v>
      </c>
      <c r="E33" s="13" t="s">
        <v>162</v>
      </c>
      <c r="F33" s="13" t="s">
        <v>163</v>
      </c>
      <c r="G33" s="13" t="s">
        <v>164</v>
      </c>
      <c r="H33" s="13" t="s">
        <v>70</v>
      </c>
      <c r="I33" s="13" t="s">
        <v>22</v>
      </c>
      <c r="J33" s="13"/>
      <c r="K33" s="13" t="s">
        <v>1</v>
      </c>
      <c r="L33" s="13" t="s">
        <v>6</v>
      </c>
      <c r="M33" s="13" t="s">
        <v>11</v>
      </c>
      <c r="N33" s="13" t="s">
        <v>30</v>
      </c>
      <c r="O33" s="13"/>
    </row>
    <row r="34" spans="1:15" ht="28.5">
      <c r="A34" s="12">
        <v>30</v>
      </c>
      <c r="B34" s="12" t="s">
        <v>165</v>
      </c>
      <c r="C34" s="13" t="s">
        <v>47</v>
      </c>
      <c r="D34" s="13" t="s">
        <v>137</v>
      </c>
      <c r="E34" s="13" t="s">
        <v>166</v>
      </c>
      <c r="F34" s="13" t="s">
        <v>167</v>
      </c>
      <c r="G34" s="13" t="s">
        <v>168</v>
      </c>
      <c r="H34" s="13" t="s">
        <v>169</v>
      </c>
      <c r="I34" s="13" t="s">
        <v>22</v>
      </c>
      <c r="J34" s="13"/>
      <c r="K34" s="13" t="s">
        <v>2</v>
      </c>
      <c r="L34" s="13" t="s">
        <v>7</v>
      </c>
      <c r="M34" s="13" t="s">
        <v>11</v>
      </c>
      <c r="N34" s="13" t="s">
        <v>30</v>
      </c>
      <c r="O34" s="13"/>
    </row>
    <row r="35" spans="1:15" ht="28.5">
      <c r="A35" s="12">
        <v>31</v>
      </c>
      <c r="B35" s="12" t="s">
        <v>170</v>
      </c>
      <c r="C35" s="13" t="s">
        <v>171</v>
      </c>
      <c r="D35" s="13" t="s">
        <v>172</v>
      </c>
      <c r="E35" s="13" t="s">
        <v>173</v>
      </c>
      <c r="F35" s="13" t="s">
        <v>174</v>
      </c>
      <c r="G35" s="13" t="s">
        <v>175</v>
      </c>
      <c r="H35" s="13" t="s">
        <v>176</v>
      </c>
      <c r="I35" s="13" t="s">
        <v>16</v>
      </c>
      <c r="J35" s="13"/>
      <c r="K35" s="13" t="s">
        <v>1</v>
      </c>
      <c r="L35" s="13" t="s">
        <v>6</v>
      </c>
      <c r="M35" s="13" t="s">
        <v>11</v>
      </c>
      <c r="N35" s="13" t="s">
        <v>29</v>
      </c>
      <c r="O35" s="13" t="s">
        <v>72</v>
      </c>
    </row>
    <row r="36" spans="1:15" ht="28.5">
      <c r="A36" s="12">
        <v>32</v>
      </c>
      <c r="B36" s="12" t="s">
        <v>177</v>
      </c>
      <c r="C36" s="13" t="s">
        <v>171</v>
      </c>
      <c r="D36" s="13" t="s">
        <v>172</v>
      </c>
      <c r="E36" s="13" t="s">
        <v>173</v>
      </c>
      <c r="F36" s="13" t="s">
        <v>178</v>
      </c>
      <c r="G36" s="13" t="s">
        <v>179</v>
      </c>
      <c r="H36" s="13" t="s">
        <v>176</v>
      </c>
      <c r="I36" s="13" t="s">
        <v>16</v>
      </c>
      <c r="J36" s="13"/>
      <c r="K36" s="13" t="s">
        <v>1</v>
      </c>
      <c r="L36" s="13" t="s">
        <v>6</v>
      </c>
      <c r="M36" s="13" t="s">
        <v>11</v>
      </c>
      <c r="N36" s="13" t="s">
        <v>29</v>
      </c>
      <c r="O36" s="13" t="s">
        <v>76</v>
      </c>
    </row>
    <row r="37" spans="1:15" ht="28.5">
      <c r="A37" s="12">
        <v>33</v>
      </c>
      <c r="B37" s="12" t="s">
        <v>180</v>
      </c>
      <c r="C37" s="13" t="s">
        <v>171</v>
      </c>
      <c r="D37" s="13" t="s">
        <v>172</v>
      </c>
      <c r="E37" s="13" t="s">
        <v>173</v>
      </c>
      <c r="F37" s="13" t="s">
        <v>181</v>
      </c>
      <c r="G37" s="13" t="s">
        <v>182</v>
      </c>
      <c r="H37" s="13" t="s">
        <v>176</v>
      </c>
      <c r="I37" s="13" t="s">
        <v>16</v>
      </c>
      <c r="J37" s="13"/>
      <c r="K37" s="13" t="s">
        <v>1</v>
      </c>
      <c r="L37" s="13" t="s">
        <v>6</v>
      </c>
      <c r="M37" s="13" t="s">
        <v>11</v>
      </c>
      <c r="N37" s="13" t="s">
        <v>29</v>
      </c>
      <c r="O37" s="13" t="s">
        <v>80</v>
      </c>
    </row>
    <row r="38" spans="1:15" ht="42.75">
      <c r="A38" s="12">
        <v>34</v>
      </c>
      <c r="B38" s="12" t="s">
        <v>183</v>
      </c>
      <c r="C38" s="13" t="s">
        <v>171</v>
      </c>
      <c r="D38" s="13" t="s">
        <v>172</v>
      </c>
      <c r="E38" s="13" t="s">
        <v>173</v>
      </c>
      <c r="F38" s="13" t="s">
        <v>184</v>
      </c>
      <c r="G38" s="13" t="s">
        <v>185</v>
      </c>
      <c r="H38" s="13" t="s">
        <v>176</v>
      </c>
      <c r="I38" s="13" t="s">
        <v>16</v>
      </c>
      <c r="J38" s="13"/>
      <c r="K38" s="13" t="s">
        <v>1</v>
      </c>
      <c r="L38" s="13" t="s">
        <v>6</v>
      </c>
      <c r="M38" s="13" t="s">
        <v>11</v>
      </c>
      <c r="N38" s="13" t="s">
        <v>29</v>
      </c>
      <c r="O38" s="13" t="s">
        <v>84</v>
      </c>
    </row>
    <row r="39" spans="1:15" ht="28.5">
      <c r="A39" s="12">
        <v>35</v>
      </c>
      <c r="B39" s="12" t="s">
        <v>186</v>
      </c>
      <c r="C39" s="13" t="s">
        <v>171</v>
      </c>
      <c r="D39" s="13" t="s">
        <v>172</v>
      </c>
      <c r="E39" s="13" t="s">
        <v>173</v>
      </c>
      <c r="F39" s="13" t="s">
        <v>187</v>
      </c>
      <c r="G39" s="13" t="s">
        <v>188</v>
      </c>
      <c r="H39" s="13" t="s">
        <v>176</v>
      </c>
      <c r="I39" s="13" t="s">
        <v>88</v>
      </c>
      <c r="J39" s="13"/>
      <c r="K39" s="13" t="s">
        <v>2</v>
      </c>
      <c r="L39" s="13" t="s">
        <v>6</v>
      </c>
      <c r="M39" s="13" t="s">
        <v>11</v>
      </c>
      <c r="N39" s="13" t="s">
        <v>29</v>
      </c>
      <c r="O39" s="13" t="s">
        <v>89</v>
      </c>
    </row>
    <row r="40" spans="1:15" ht="28.5">
      <c r="A40" s="12">
        <v>36</v>
      </c>
      <c r="B40" s="12" t="s">
        <v>189</v>
      </c>
      <c r="C40" s="13" t="s">
        <v>171</v>
      </c>
      <c r="D40" s="13" t="s">
        <v>172</v>
      </c>
      <c r="E40" s="13" t="s">
        <v>173</v>
      </c>
      <c r="F40" s="13" t="s">
        <v>190</v>
      </c>
      <c r="G40" s="13" t="s">
        <v>191</v>
      </c>
      <c r="H40" s="13" t="s">
        <v>176</v>
      </c>
      <c r="I40" s="13" t="s">
        <v>93</v>
      </c>
      <c r="J40" s="13" t="s">
        <v>24</v>
      </c>
      <c r="K40" s="13"/>
      <c r="L40" s="13" t="s">
        <v>1</v>
      </c>
      <c r="M40" s="13" t="s">
        <v>6</v>
      </c>
      <c r="N40" s="13" t="s">
        <v>11</v>
      </c>
      <c r="O40" s="13" t="s">
        <v>29</v>
      </c>
    </row>
    <row r="41" spans="1:15" ht="42.75">
      <c r="A41" s="12">
        <v>37</v>
      </c>
      <c r="B41" s="12" t="s">
        <v>192</v>
      </c>
      <c r="C41" s="13" t="s">
        <v>171</v>
      </c>
      <c r="D41" s="13" t="s">
        <v>172</v>
      </c>
      <c r="E41" s="13" t="s">
        <v>193</v>
      </c>
      <c r="F41" s="13" t="s">
        <v>194</v>
      </c>
      <c r="G41" s="13" t="s">
        <v>195</v>
      </c>
      <c r="H41" s="13" t="s">
        <v>196</v>
      </c>
      <c r="I41" s="13" t="s">
        <v>16</v>
      </c>
      <c r="J41" s="13" t="s">
        <v>197</v>
      </c>
      <c r="K41" s="13" t="s">
        <v>1</v>
      </c>
      <c r="L41" s="13" t="s">
        <v>6</v>
      </c>
      <c r="M41" s="13" t="s">
        <v>11</v>
      </c>
      <c r="N41" s="13" t="s">
        <v>30</v>
      </c>
      <c r="O41" s="13"/>
    </row>
    <row r="42" spans="1:15" ht="28.5">
      <c r="A42" s="12">
        <v>38</v>
      </c>
      <c r="B42" s="12" t="s">
        <v>198</v>
      </c>
      <c r="C42" s="13" t="s">
        <v>171</v>
      </c>
      <c r="D42" s="13" t="s">
        <v>172</v>
      </c>
      <c r="E42" s="13" t="s">
        <v>199</v>
      </c>
      <c r="F42" s="13" t="s">
        <v>200</v>
      </c>
      <c r="G42" s="13" t="s">
        <v>201</v>
      </c>
      <c r="H42" s="13" t="s">
        <v>176</v>
      </c>
      <c r="I42" s="13" t="s">
        <v>16</v>
      </c>
      <c r="J42" s="13" t="s">
        <v>197</v>
      </c>
      <c r="K42" s="13" t="s">
        <v>1</v>
      </c>
      <c r="L42" s="13" t="s">
        <v>6</v>
      </c>
      <c r="M42" s="13" t="s">
        <v>11</v>
      </c>
      <c r="N42" s="13" t="s">
        <v>30</v>
      </c>
      <c r="O42" s="13"/>
    </row>
    <row r="43" spans="1:15" ht="28.5">
      <c r="A43" s="12">
        <v>39</v>
      </c>
      <c r="B43" s="12" t="s">
        <v>202</v>
      </c>
      <c r="C43" s="13" t="s">
        <v>171</v>
      </c>
      <c r="D43" s="13" t="s">
        <v>172</v>
      </c>
      <c r="E43" s="13" t="s">
        <v>203</v>
      </c>
      <c r="F43" s="13" t="s">
        <v>204</v>
      </c>
      <c r="G43" s="13" t="s">
        <v>205</v>
      </c>
      <c r="H43" s="13" t="s">
        <v>206</v>
      </c>
      <c r="I43" s="13" t="s">
        <v>16</v>
      </c>
      <c r="J43" s="13"/>
      <c r="K43" s="13" t="s">
        <v>1</v>
      </c>
      <c r="L43" s="13" t="s">
        <v>6</v>
      </c>
      <c r="M43" s="13" t="s">
        <v>11</v>
      </c>
      <c r="N43" s="13" t="s">
        <v>30</v>
      </c>
      <c r="O43" s="13"/>
    </row>
    <row r="44" spans="1:15" ht="28.5">
      <c r="A44" s="12">
        <v>40</v>
      </c>
      <c r="B44" s="12" t="s">
        <v>207</v>
      </c>
      <c r="C44" s="13" t="s">
        <v>171</v>
      </c>
      <c r="D44" s="13" t="s">
        <v>172</v>
      </c>
      <c r="E44" s="13" t="s">
        <v>208</v>
      </c>
      <c r="F44" s="13" t="s">
        <v>209</v>
      </c>
      <c r="G44" s="13" t="s">
        <v>210</v>
      </c>
      <c r="H44" s="13" t="s">
        <v>196</v>
      </c>
      <c r="I44" s="13" t="s">
        <v>19</v>
      </c>
      <c r="J44" s="13"/>
      <c r="K44" s="13" t="s">
        <v>2</v>
      </c>
      <c r="L44" s="13" t="s">
        <v>6</v>
      </c>
      <c r="M44" s="13" t="s">
        <v>11</v>
      </c>
      <c r="N44" s="13" t="s">
        <v>30</v>
      </c>
      <c r="O44" s="13"/>
    </row>
    <row r="45" spans="1:15" ht="42.75">
      <c r="A45" s="12">
        <v>41</v>
      </c>
      <c r="B45" s="12" t="s">
        <v>211</v>
      </c>
      <c r="C45" s="13" t="s">
        <v>171</v>
      </c>
      <c r="D45" s="13" t="s">
        <v>172</v>
      </c>
      <c r="E45" s="13" t="s">
        <v>212</v>
      </c>
      <c r="F45" s="13" t="s">
        <v>213</v>
      </c>
      <c r="G45" s="13" t="s">
        <v>214</v>
      </c>
      <c r="H45" s="13" t="s">
        <v>215</v>
      </c>
      <c r="I45" s="13" t="s">
        <v>16</v>
      </c>
      <c r="J45" s="13"/>
      <c r="K45" s="13" t="s">
        <v>2</v>
      </c>
      <c r="L45" s="13" t="s">
        <v>7</v>
      </c>
      <c r="M45" s="13" t="s">
        <v>11</v>
      </c>
      <c r="N45" s="13" t="s">
        <v>30</v>
      </c>
      <c r="O45" s="13"/>
    </row>
    <row r="46" spans="1:15" ht="28.5">
      <c r="A46" s="12">
        <v>42</v>
      </c>
      <c r="B46" s="12" t="s">
        <v>216</v>
      </c>
      <c r="C46" s="13" t="s">
        <v>171</v>
      </c>
      <c r="D46" s="13" t="s">
        <v>172</v>
      </c>
      <c r="E46" s="13" t="s">
        <v>217</v>
      </c>
      <c r="F46" s="13" t="s">
        <v>218</v>
      </c>
      <c r="G46" s="13" t="s">
        <v>219</v>
      </c>
      <c r="H46" s="13" t="s">
        <v>196</v>
      </c>
      <c r="I46" s="13" t="s">
        <v>16</v>
      </c>
      <c r="J46" s="13"/>
      <c r="K46" s="13" t="s">
        <v>1</v>
      </c>
      <c r="L46" s="13" t="s">
        <v>6</v>
      </c>
      <c r="M46" s="13" t="s">
        <v>11</v>
      </c>
      <c r="N46" s="13" t="s">
        <v>30</v>
      </c>
      <c r="O46" s="13"/>
    </row>
    <row r="47" spans="1:15" ht="28.5">
      <c r="A47" s="12">
        <v>43</v>
      </c>
      <c r="B47" s="12" t="s">
        <v>220</v>
      </c>
      <c r="C47" s="13" t="s">
        <v>221</v>
      </c>
      <c r="D47" s="13" t="s">
        <v>222</v>
      </c>
      <c r="E47" s="13" t="s">
        <v>223</v>
      </c>
      <c r="F47" s="13" t="s">
        <v>224</v>
      </c>
      <c r="G47" s="13" t="s">
        <v>225</v>
      </c>
      <c r="H47" s="13" t="s">
        <v>226</v>
      </c>
      <c r="I47" s="13" t="s">
        <v>16</v>
      </c>
      <c r="J47" s="13" t="s">
        <v>227</v>
      </c>
      <c r="K47" s="13" t="s">
        <v>1</v>
      </c>
      <c r="L47" s="13" t="s">
        <v>6</v>
      </c>
      <c r="M47" s="13" t="s">
        <v>11</v>
      </c>
      <c r="N47" s="13" t="s">
        <v>29</v>
      </c>
      <c r="O47" s="13" t="s">
        <v>72</v>
      </c>
    </row>
    <row r="48" spans="1:15" ht="28.5">
      <c r="A48" s="12">
        <v>44</v>
      </c>
      <c r="B48" s="12" t="s">
        <v>228</v>
      </c>
      <c r="C48" s="13" t="s">
        <v>221</v>
      </c>
      <c r="D48" s="13" t="s">
        <v>222</v>
      </c>
      <c r="E48" s="13" t="s">
        <v>223</v>
      </c>
      <c r="F48" s="13" t="s">
        <v>229</v>
      </c>
      <c r="G48" s="13" t="s">
        <v>230</v>
      </c>
      <c r="H48" s="13" t="s">
        <v>226</v>
      </c>
      <c r="I48" s="13" t="s">
        <v>16</v>
      </c>
      <c r="J48" s="13" t="s">
        <v>227</v>
      </c>
      <c r="K48" s="13" t="s">
        <v>1</v>
      </c>
      <c r="L48" s="13" t="s">
        <v>6</v>
      </c>
      <c r="M48" s="13" t="s">
        <v>11</v>
      </c>
      <c r="N48" s="13" t="s">
        <v>29</v>
      </c>
      <c r="O48" s="13" t="s">
        <v>76</v>
      </c>
    </row>
    <row r="49" spans="1:15" ht="28.5">
      <c r="A49" s="12">
        <v>45</v>
      </c>
      <c r="B49" s="12" t="s">
        <v>231</v>
      </c>
      <c r="C49" s="13" t="s">
        <v>221</v>
      </c>
      <c r="D49" s="13" t="s">
        <v>222</v>
      </c>
      <c r="E49" s="13" t="s">
        <v>223</v>
      </c>
      <c r="F49" s="13" t="s">
        <v>232</v>
      </c>
      <c r="G49" s="13" t="s">
        <v>233</v>
      </c>
      <c r="H49" s="13" t="s">
        <v>226</v>
      </c>
      <c r="I49" s="13" t="s">
        <v>16</v>
      </c>
      <c r="J49" s="13" t="s">
        <v>227</v>
      </c>
      <c r="K49" s="13" t="s">
        <v>1</v>
      </c>
      <c r="L49" s="13" t="s">
        <v>6</v>
      </c>
      <c r="M49" s="13" t="s">
        <v>11</v>
      </c>
      <c r="N49" s="13" t="s">
        <v>29</v>
      </c>
      <c r="O49" s="13" t="s">
        <v>80</v>
      </c>
    </row>
    <row r="50" spans="1:15" ht="42.75">
      <c r="A50" s="12">
        <v>46</v>
      </c>
      <c r="B50" s="12" t="s">
        <v>234</v>
      </c>
      <c r="C50" s="13" t="s">
        <v>221</v>
      </c>
      <c r="D50" s="13" t="s">
        <v>222</v>
      </c>
      <c r="E50" s="13" t="s">
        <v>223</v>
      </c>
      <c r="F50" s="13" t="s">
        <v>235</v>
      </c>
      <c r="G50" s="13" t="s">
        <v>236</v>
      </c>
      <c r="H50" s="13" t="s">
        <v>226</v>
      </c>
      <c r="I50" s="13" t="s">
        <v>16</v>
      </c>
      <c r="J50" s="13" t="s">
        <v>227</v>
      </c>
      <c r="K50" s="13" t="s">
        <v>1</v>
      </c>
      <c r="L50" s="13" t="s">
        <v>6</v>
      </c>
      <c r="M50" s="13" t="s">
        <v>11</v>
      </c>
      <c r="N50" s="13" t="s">
        <v>29</v>
      </c>
      <c r="O50" s="13" t="s">
        <v>84</v>
      </c>
    </row>
    <row r="51" spans="1:15" ht="28.5">
      <c r="A51" s="12">
        <v>47</v>
      </c>
      <c r="B51" s="12" t="s">
        <v>237</v>
      </c>
      <c r="C51" s="13" t="s">
        <v>221</v>
      </c>
      <c r="D51" s="13" t="s">
        <v>222</v>
      </c>
      <c r="E51" s="13" t="s">
        <v>223</v>
      </c>
      <c r="F51" s="13" t="s">
        <v>238</v>
      </c>
      <c r="G51" s="13" t="s">
        <v>239</v>
      </c>
      <c r="H51" s="13" t="s">
        <v>226</v>
      </c>
      <c r="I51" s="13" t="s">
        <v>88</v>
      </c>
      <c r="J51" s="13" t="s">
        <v>227</v>
      </c>
      <c r="K51" s="13" t="s">
        <v>2</v>
      </c>
      <c r="L51" s="13" t="s">
        <v>6</v>
      </c>
      <c r="M51" s="13" t="s">
        <v>11</v>
      </c>
      <c r="N51" s="13" t="s">
        <v>29</v>
      </c>
      <c r="O51" s="13" t="s">
        <v>89</v>
      </c>
    </row>
    <row r="52" spans="1:15" ht="42.75">
      <c r="A52" s="12">
        <v>48</v>
      </c>
      <c r="B52" s="12" t="s">
        <v>240</v>
      </c>
      <c r="C52" s="13" t="s">
        <v>221</v>
      </c>
      <c r="D52" s="13" t="s">
        <v>222</v>
      </c>
      <c r="E52" s="13" t="s">
        <v>223</v>
      </c>
      <c r="F52" s="13" t="s">
        <v>241</v>
      </c>
      <c r="G52" s="13" t="s">
        <v>242</v>
      </c>
      <c r="H52" s="13" t="s">
        <v>226</v>
      </c>
      <c r="I52" s="13" t="s">
        <v>243</v>
      </c>
      <c r="J52" s="13" t="s">
        <v>17</v>
      </c>
      <c r="K52" s="13" t="s">
        <v>227</v>
      </c>
      <c r="L52" s="13" t="s">
        <v>1</v>
      </c>
      <c r="M52" s="13" t="s">
        <v>6</v>
      </c>
      <c r="N52" s="13" t="s">
        <v>11</v>
      </c>
      <c r="O52" s="13" t="s">
        <v>29</v>
      </c>
    </row>
    <row r="53" spans="1:15" ht="28.5">
      <c r="A53" s="12">
        <v>49</v>
      </c>
      <c r="B53" s="12" t="s">
        <v>244</v>
      </c>
      <c r="C53" s="13" t="s">
        <v>221</v>
      </c>
      <c r="D53" s="13" t="s">
        <v>222</v>
      </c>
      <c r="E53" s="13" t="s">
        <v>223</v>
      </c>
      <c r="F53" s="13" t="s">
        <v>245</v>
      </c>
      <c r="G53" s="13" t="s">
        <v>246</v>
      </c>
      <c r="H53" s="13" t="s">
        <v>226</v>
      </c>
      <c r="I53" s="13" t="s">
        <v>93</v>
      </c>
      <c r="J53" s="13" t="s">
        <v>24</v>
      </c>
      <c r="K53" s="13" t="s">
        <v>227</v>
      </c>
      <c r="L53" s="13" t="s">
        <v>1</v>
      </c>
      <c r="M53" s="13" t="s">
        <v>6</v>
      </c>
      <c r="N53" s="13" t="s">
        <v>11</v>
      </c>
      <c r="O53" s="13" t="s">
        <v>29</v>
      </c>
    </row>
    <row r="54" spans="1:15" ht="42.75">
      <c r="A54" s="12">
        <v>50</v>
      </c>
      <c r="B54" s="12" t="s">
        <v>247</v>
      </c>
      <c r="C54" s="13" t="s">
        <v>221</v>
      </c>
      <c r="D54" s="13" t="s">
        <v>222</v>
      </c>
      <c r="E54" s="13" t="s">
        <v>248</v>
      </c>
      <c r="F54" s="13" t="s">
        <v>249</v>
      </c>
      <c r="G54" s="13" t="s">
        <v>250</v>
      </c>
      <c r="H54" s="13" t="s">
        <v>251</v>
      </c>
      <c r="I54" s="13" t="s">
        <v>16</v>
      </c>
      <c r="J54" s="13" t="s">
        <v>227</v>
      </c>
      <c r="K54" s="13" t="s">
        <v>1</v>
      </c>
      <c r="L54" s="13" t="s">
        <v>6</v>
      </c>
      <c r="M54" s="13" t="s">
        <v>11</v>
      </c>
      <c r="N54" s="13" t="s">
        <v>30</v>
      </c>
      <c r="O54" s="13"/>
    </row>
    <row r="55" spans="1:15" ht="28.5">
      <c r="A55" s="12">
        <v>51</v>
      </c>
      <c r="B55" s="12" t="s">
        <v>252</v>
      </c>
      <c r="C55" s="13" t="s">
        <v>221</v>
      </c>
      <c r="D55" s="13" t="s">
        <v>222</v>
      </c>
      <c r="E55" s="13" t="s">
        <v>253</v>
      </c>
      <c r="F55" s="13" t="s">
        <v>254</v>
      </c>
      <c r="G55" s="13" t="s">
        <v>255</v>
      </c>
      <c r="H55" s="13" t="s">
        <v>251</v>
      </c>
      <c r="I55" s="13" t="s">
        <v>16</v>
      </c>
      <c r="J55" s="13" t="s">
        <v>227</v>
      </c>
      <c r="K55" s="13" t="s">
        <v>1</v>
      </c>
      <c r="L55" s="13" t="s">
        <v>6</v>
      </c>
      <c r="M55" s="13" t="s">
        <v>11</v>
      </c>
      <c r="N55" s="13" t="s">
        <v>30</v>
      </c>
      <c r="O55" s="13"/>
    </row>
    <row r="56" spans="1:15" ht="28.5">
      <c r="A56" s="12">
        <v>52</v>
      </c>
      <c r="B56" s="12" t="s">
        <v>256</v>
      </c>
      <c r="C56" s="13" t="s">
        <v>221</v>
      </c>
      <c r="D56" s="13" t="s">
        <v>222</v>
      </c>
      <c r="E56" s="13" t="s">
        <v>257</v>
      </c>
      <c r="F56" s="13" t="s">
        <v>258</v>
      </c>
      <c r="G56" s="13" t="s">
        <v>259</v>
      </c>
      <c r="H56" s="13" t="s">
        <v>260</v>
      </c>
      <c r="I56" s="13" t="s">
        <v>17</v>
      </c>
      <c r="J56" s="13" t="s">
        <v>227</v>
      </c>
      <c r="K56" s="13" t="s">
        <v>1</v>
      </c>
      <c r="L56" s="13" t="s">
        <v>6</v>
      </c>
      <c r="M56" s="13" t="s">
        <v>11</v>
      </c>
      <c r="N56" s="13" t="s">
        <v>30</v>
      </c>
      <c r="O56" s="13"/>
    </row>
    <row r="57" spans="1:15" ht="28.5">
      <c r="A57" s="12">
        <v>53</v>
      </c>
      <c r="B57" s="12" t="s">
        <v>261</v>
      </c>
      <c r="C57" s="13" t="s">
        <v>221</v>
      </c>
      <c r="D57" s="13" t="s">
        <v>262</v>
      </c>
      <c r="E57" s="13" t="s">
        <v>263</v>
      </c>
      <c r="F57" s="13" t="s">
        <v>264</v>
      </c>
      <c r="G57" s="13" t="s">
        <v>265</v>
      </c>
      <c r="H57" s="13" t="s">
        <v>266</v>
      </c>
      <c r="I57" s="13" t="s">
        <v>16</v>
      </c>
      <c r="J57" s="13" t="s">
        <v>267</v>
      </c>
      <c r="K57" s="13" t="s">
        <v>1</v>
      </c>
      <c r="L57" s="13" t="s">
        <v>6</v>
      </c>
      <c r="M57" s="13" t="s">
        <v>11</v>
      </c>
      <c r="N57" s="13" t="s">
        <v>29</v>
      </c>
      <c r="O57" s="13" t="s">
        <v>72</v>
      </c>
    </row>
    <row r="58" spans="1:15" ht="28.5">
      <c r="A58" s="12">
        <v>54</v>
      </c>
      <c r="B58" s="12" t="s">
        <v>268</v>
      </c>
      <c r="C58" s="13" t="s">
        <v>221</v>
      </c>
      <c r="D58" s="13" t="s">
        <v>262</v>
      </c>
      <c r="E58" s="13" t="s">
        <v>263</v>
      </c>
      <c r="F58" s="13" t="s">
        <v>269</v>
      </c>
      <c r="G58" s="13" t="s">
        <v>270</v>
      </c>
      <c r="H58" s="13" t="s">
        <v>266</v>
      </c>
      <c r="I58" s="13" t="s">
        <v>16</v>
      </c>
      <c r="J58" s="13" t="s">
        <v>267</v>
      </c>
      <c r="K58" s="13" t="s">
        <v>1</v>
      </c>
      <c r="L58" s="13" t="s">
        <v>6</v>
      </c>
      <c r="M58" s="13" t="s">
        <v>11</v>
      </c>
      <c r="N58" s="13" t="s">
        <v>29</v>
      </c>
      <c r="O58" s="13" t="s">
        <v>76</v>
      </c>
    </row>
    <row r="59" spans="1:15" ht="42.75">
      <c r="A59" s="12">
        <v>55</v>
      </c>
      <c r="B59" s="12" t="s">
        <v>271</v>
      </c>
      <c r="C59" s="13" t="s">
        <v>221</v>
      </c>
      <c r="D59" s="13" t="s">
        <v>262</v>
      </c>
      <c r="E59" s="13" t="s">
        <v>263</v>
      </c>
      <c r="F59" s="13" t="s">
        <v>272</v>
      </c>
      <c r="G59" s="13" t="s">
        <v>273</v>
      </c>
      <c r="H59" s="13" t="s">
        <v>266</v>
      </c>
      <c r="I59" s="13" t="s">
        <v>16</v>
      </c>
      <c r="J59" s="13" t="s">
        <v>267</v>
      </c>
      <c r="K59" s="13" t="s">
        <v>1</v>
      </c>
      <c r="L59" s="13" t="s">
        <v>6</v>
      </c>
      <c r="M59" s="13" t="s">
        <v>11</v>
      </c>
      <c r="N59" s="13" t="s">
        <v>29</v>
      </c>
      <c r="O59" s="13" t="s">
        <v>80</v>
      </c>
    </row>
    <row r="60" spans="1:15" ht="42.75">
      <c r="A60" s="12">
        <v>56</v>
      </c>
      <c r="B60" s="12" t="s">
        <v>274</v>
      </c>
      <c r="C60" s="13" t="s">
        <v>221</v>
      </c>
      <c r="D60" s="13" t="s">
        <v>262</v>
      </c>
      <c r="E60" s="13" t="s">
        <v>263</v>
      </c>
      <c r="F60" s="13" t="s">
        <v>275</v>
      </c>
      <c r="G60" s="13" t="s">
        <v>276</v>
      </c>
      <c r="H60" s="13" t="s">
        <v>266</v>
      </c>
      <c r="I60" s="13" t="s">
        <v>16</v>
      </c>
      <c r="J60" s="13" t="s">
        <v>267</v>
      </c>
      <c r="K60" s="13" t="s">
        <v>1</v>
      </c>
      <c r="L60" s="13" t="s">
        <v>6</v>
      </c>
      <c r="M60" s="13" t="s">
        <v>11</v>
      </c>
      <c r="N60" s="13" t="s">
        <v>29</v>
      </c>
      <c r="O60" s="13" t="s">
        <v>84</v>
      </c>
    </row>
    <row r="61" spans="1:15" ht="28.5">
      <c r="A61" s="12">
        <v>57</v>
      </c>
      <c r="B61" s="12" t="s">
        <v>277</v>
      </c>
      <c r="C61" s="13" t="s">
        <v>221</v>
      </c>
      <c r="D61" s="13" t="s">
        <v>262</v>
      </c>
      <c r="E61" s="13" t="s">
        <v>263</v>
      </c>
      <c r="F61" s="13" t="s">
        <v>278</v>
      </c>
      <c r="G61" s="13" t="s">
        <v>279</v>
      </c>
      <c r="H61" s="13" t="s">
        <v>266</v>
      </c>
      <c r="I61" s="13" t="s">
        <v>88</v>
      </c>
      <c r="J61" s="13" t="s">
        <v>267</v>
      </c>
      <c r="K61" s="13" t="s">
        <v>2</v>
      </c>
      <c r="L61" s="13" t="s">
        <v>6</v>
      </c>
      <c r="M61" s="13" t="s">
        <v>11</v>
      </c>
      <c r="N61" s="13" t="s">
        <v>29</v>
      </c>
      <c r="O61" s="13" t="s">
        <v>89</v>
      </c>
    </row>
    <row r="62" spans="1:15" ht="42.75">
      <c r="A62" s="12">
        <v>58</v>
      </c>
      <c r="B62" s="12" t="s">
        <v>280</v>
      </c>
      <c r="C62" s="13" t="s">
        <v>221</v>
      </c>
      <c r="D62" s="13" t="s">
        <v>262</v>
      </c>
      <c r="E62" s="13" t="s">
        <v>263</v>
      </c>
      <c r="F62" s="13" t="s">
        <v>281</v>
      </c>
      <c r="G62" s="13" t="s">
        <v>282</v>
      </c>
      <c r="H62" s="13" t="s">
        <v>266</v>
      </c>
      <c r="I62" s="13" t="s">
        <v>243</v>
      </c>
      <c r="J62" s="13" t="s">
        <v>17</v>
      </c>
      <c r="K62" s="13" t="s">
        <v>267</v>
      </c>
      <c r="L62" s="13" t="s">
        <v>1</v>
      </c>
      <c r="M62" s="13" t="s">
        <v>6</v>
      </c>
      <c r="N62" s="13" t="s">
        <v>11</v>
      </c>
      <c r="O62" s="13" t="s">
        <v>29</v>
      </c>
    </row>
    <row r="63" spans="1:15" ht="42.75">
      <c r="A63" s="12">
        <v>59</v>
      </c>
      <c r="B63" s="12" t="s">
        <v>283</v>
      </c>
      <c r="C63" s="13" t="s">
        <v>221</v>
      </c>
      <c r="D63" s="13" t="s">
        <v>262</v>
      </c>
      <c r="E63" s="13" t="s">
        <v>263</v>
      </c>
      <c r="F63" s="13" t="s">
        <v>284</v>
      </c>
      <c r="G63" s="13" t="s">
        <v>285</v>
      </c>
      <c r="H63" s="13" t="s">
        <v>266</v>
      </c>
      <c r="I63" s="13" t="s">
        <v>93</v>
      </c>
      <c r="J63" s="13" t="s">
        <v>24</v>
      </c>
      <c r="K63" s="13" t="s">
        <v>267</v>
      </c>
      <c r="L63" s="13" t="s">
        <v>1</v>
      </c>
      <c r="M63" s="13" t="s">
        <v>6</v>
      </c>
      <c r="N63" s="13" t="s">
        <v>11</v>
      </c>
      <c r="O63" s="13" t="s">
        <v>29</v>
      </c>
    </row>
    <row r="64" spans="1:15" ht="28.5">
      <c r="A64" s="12">
        <v>60</v>
      </c>
      <c r="B64" s="12" t="s">
        <v>286</v>
      </c>
      <c r="C64" s="13" t="s">
        <v>221</v>
      </c>
      <c r="D64" s="13" t="s">
        <v>262</v>
      </c>
      <c r="E64" s="13" t="s">
        <v>287</v>
      </c>
      <c r="F64" s="13" t="s">
        <v>288</v>
      </c>
      <c r="G64" s="13" t="s">
        <v>289</v>
      </c>
      <c r="H64" s="13" t="s">
        <v>290</v>
      </c>
      <c r="I64" s="13" t="s">
        <v>16</v>
      </c>
      <c r="J64" s="13" t="s">
        <v>267</v>
      </c>
      <c r="K64" s="13" t="s">
        <v>1</v>
      </c>
      <c r="L64" s="13" t="s">
        <v>6</v>
      </c>
      <c r="M64" s="13" t="s">
        <v>11</v>
      </c>
      <c r="N64" s="13" t="s">
        <v>30</v>
      </c>
      <c r="O64" s="13"/>
    </row>
    <row r="65" spans="1:15" ht="28.5">
      <c r="A65" s="12">
        <v>61</v>
      </c>
      <c r="B65" s="12" t="s">
        <v>291</v>
      </c>
      <c r="C65" s="13" t="s">
        <v>221</v>
      </c>
      <c r="D65" s="13" t="s">
        <v>262</v>
      </c>
      <c r="E65" s="13" t="s">
        <v>292</v>
      </c>
      <c r="F65" s="13" t="s">
        <v>293</v>
      </c>
      <c r="G65" s="13" t="s">
        <v>294</v>
      </c>
      <c r="H65" s="13" t="s">
        <v>295</v>
      </c>
      <c r="I65" s="13" t="s">
        <v>16</v>
      </c>
      <c r="J65" s="13" t="s">
        <v>267</v>
      </c>
      <c r="K65" s="13" t="s">
        <v>1</v>
      </c>
      <c r="L65" s="13" t="s">
        <v>6</v>
      </c>
      <c r="M65" s="13" t="s">
        <v>11</v>
      </c>
      <c r="N65" s="13" t="s">
        <v>30</v>
      </c>
      <c r="O65" s="13"/>
    </row>
    <row r="66" spans="1:15" ht="28.5">
      <c r="A66" s="12">
        <v>62</v>
      </c>
      <c r="B66" s="12" t="s">
        <v>296</v>
      </c>
      <c r="C66" s="13" t="s">
        <v>221</v>
      </c>
      <c r="D66" s="13" t="s">
        <v>262</v>
      </c>
      <c r="E66" s="13" t="s">
        <v>297</v>
      </c>
      <c r="F66" s="13" t="s">
        <v>298</v>
      </c>
      <c r="G66" s="13" t="s">
        <v>299</v>
      </c>
      <c r="H66" s="13" t="s">
        <v>300</v>
      </c>
      <c r="I66" s="13" t="s">
        <v>17</v>
      </c>
      <c r="J66" s="13" t="s">
        <v>267</v>
      </c>
      <c r="K66" s="13" t="s">
        <v>1</v>
      </c>
      <c r="L66" s="13" t="s">
        <v>6</v>
      </c>
      <c r="M66" s="13" t="s">
        <v>11</v>
      </c>
      <c r="N66" s="13" t="s">
        <v>30</v>
      </c>
      <c r="O66" s="13"/>
    </row>
    <row r="67" spans="1:15" ht="28.5">
      <c r="A67" s="12">
        <v>63</v>
      </c>
      <c r="B67" s="12" t="s">
        <v>301</v>
      </c>
      <c r="C67" s="13" t="s">
        <v>221</v>
      </c>
      <c r="D67" s="13" t="s">
        <v>262</v>
      </c>
      <c r="E67" s="13" t="s">
        <v>257</v>
      </c>
      <c r="F67" s="13" t="s">
        <v>302</v>
      </c>
      <c r="G67" s="13" t="s">
        <v>303</v>
      </c>
      <c r="H67" s="13" t="s">
        <v>260</v>
      </c>
      <c r="I67" s="13" t="s">
        <v>17</v>
      </c>
      <c r="J67" s="13" t="s">
        <v>267</v>
      </c>
      <c r="K67" s="13" t="s">
        <v>1</v>
      </c>
      <c r="L67" s="13" t="s">
        <v>6</v>
      </c>
      <c r="M67" s="13" t="s">
        <v>11</v>
      </c>
      <c r="N67" s="13" t="s">
        <v>30</v>
      </c>
      <c r="O67" s="13"/>
    </row>
    <row r="68" spans="1:15" ht="42.75">
      <c r="A68" s="12">
        <v>64</v>
      </c>
      <c r="B68" s="12" t="s">
        <v>304</v>
      </c>
      <c r="C68" s="13" t="s">
        <v>305</v>
      </c>
      <c r="D68" s="13" t="s">
        <v>306</v>
      </c>
      <c r="E68" s="13" t="s">
        <v>307</v>
      </c>
      <c r="F68" s="13" t="s">
        <v>308</v>
      </c>
      <c r="G68" s="13" t="s">
        <v>309</v>
      </c>
      <c r="H68" s="13" t="s">
        <v>310</v>
      </c>
      <c r="I68" s="13" t="s">
        <v>17</v>
      </c>
      <c r="J68" s="13"/>
      <c r="K68" s="13" t="s">
        <v>1</v>
      </c>
      <c r="L68" s="13" t="s">
        <v>6</v>
      </c>
      <c r="M68" s="13" t="s">
        <v>11</v>
      </c>
      <c r="N68" s="13" t="s">
        <v>29</v>
      </c>
      <c r="O68" s="13"/>
    </row>
    <row r="69" spans="1:15" ht="28.5">
      <c r="A69" s="12">
        <v>65</v>
      </c>
      <c r="B69" s="12" t="s">
        <v>311</v>
      </c>
      <c r="C69" s="13" t="s">
        <v>305</v>
      </c>
      <c r="D69" s="13" t="s">
        <v>306</v>
      </c>
      <c r="E69" s="13" t="s">
        <v>307</v>
      </c>
      <c r="F69" s="13" t="s">
        <v>312</v>
      </c>
      <c r="G69" s="13" t="s">
        <v>313</v>
      </c>
      <c r="H69" s="13" t="s">
        <v>310</v>
      </c>
      <c r="I69" s="13" t="s">
        <v>17</v>
      </c>
      <c r="J69" s="13"/>
      <c r="K69" s="13" t="s">
        <v>1</v>
      </c>
      <c r="L69" s="13" t="s">
        <v>6</v>
      </c>
      <c r="M69" s="13" t="s">
        <v>11</v>
      </c>
      <c r="N69" s="13" t="s">
        <v>30</v>
      </c>
      <c r="O69" s="13"/>
    </row>
    <row r="70" spans="1:15" ht="28.5">
      <c r="A70" s="12">
        <v>66</v>
      </c>
      <c r="B70" s="12" t="s">
        <v>314</v>
      </c>
      <c r="C70" s="13" t="s">
        <v>305</v>
      </c>
      <c r="D70" s="13" t="s">
        <v>306</v>
      </c>
      <c r="E70" s="13" t="s">
        <v>315</v>
      </c>
      <c r="F70" s="13" t="s">
        <v>316</v>
      </c>
      <c r="G70" s="13" t="s">
        <v>317</v>
      </c>
      <c r="H70" s="13" t="s">
        <v>318</v>
      </c>
      <c r="I70" s="13" t="s">
        <v>17</v>
      </c>
      <c r="J70" s="13"/>
      <c r="K70" s="13" t="s">
        <v>1</v>
      </c>
      <c r="L70" s="13" t="s">
        <v>6</v>
      </c>
      <c r="M70" s="13" t="s">
        <v>11</v>
      </c>
      <c r="N70" s="13" t="s">
        <v>30</v>
      </c>
      <c r="O70" s="13"/>
    </row>
    <row r="71" spans="1:15">
      <c r="A71" s="12">
        <v>67</v>
      </c>
      <c r="B71" s="12" t="s">
        <v>319</v>
      </c>
      <c r="C71" s="13" t="s">
        <v>305</v>
      </c>
      <c r="D71" s="13" t="s">
        <v>320</v>
      </c>
      <c r="E71" s="13" t="s">
        <v>321</v>
      </c>
      <c r="F71" s="13" t="s">
        <v>322</v>
      </c>
      <c r="G71" s="13" t="s">
        <v>323</v>
      </c>
      <c r="H71" s="13" t="s">
        <v>324</v>
      </c>
      <c r="I71" s="13" t="s">
        <v>17</v>
      </c>
      <c r="J71" s="13"/>
      <c r="K71" s="13" t="s">
        <v>1</v>
      </c>
      <c r="L71" s="13" t="s">
        <v>6</v>
      </c>
      <c r="M71" s="13" t="s">
        <v>11</v>
      </c>
      <c r="N71" s="13" t="s">
        <v>30</v>
      </c>
      <c r="O71" s="13"/>
    </row>
    <row r="72" spans="1:15">
      <c r="A72" s="12">
        <v>68</v>
      </c>
      <c r="B72" s="12" t="s">
        <v>325</v>
      </c>
      <c r="C72" s="13" t="s">
        <v>305</v>
      </c>
      <c r="D72" s="13" t="s">
        <v>320</v>
      </c>
      <c r="E72" s="13" t="s">
        <v>321</v>
      </c>
      <c r="F72" s="13" t="s">
        <v>326</v>
      </c>
      <c r="G72" s="13" t="s">
        <v>327</v>
      </c>
      <c r="H72" s="13" t="s">
        <v>324</v>
      </c>
      <c r="I72" s="13" t="s">
        <v>17</v>
      </c>
      <c r="J72" s="13"/>
      <c r="K72" s="13" t="s">
        <v>1</v>
      </c>
      <c r="L72" s="13" t="s">
        <v>6</v>
      </c>
      <c r="M72" s="13" t="s">
        <v>11</v>
      </c>
      <c r="N72" s="13" t="s">
        <v>30</v>
      </c>
      <c r="O72" s="13"/>
    </row>
    <row r="73" spans="1:15" ht="28.5">
      <c r="A73" s="12">
        <v>69</v>
      </c>
      <c r="B73" s="12" t="s">
        <v>328</v>
      </c>
      <c r="C73" s="13" t="s">
        <v>305</v>
      </c>
      <c r="D73" s="13" t="s">
        <v>320</v>
      </c>
      <c r="E73" s="13" t="s">
        <v>321</v>
      </c>
      <c r="F73" s="13" t="s">
        <v>329</v>
      </c>
      <c r="G73" s="13" t="s">
        <v>330</v>
      </c>
      <c r="H73" s="13" t="s">
        <v>324</v>
      </c>
      <c r="I73" s="13" t="s">
        <v>17</v>
      </c>
      <c r="J73" s="13"/>
      <c r="K73" s="13" t="s">
        <v>1</v>
      </c>
      <c r="L73" s="13" t="s">
        <v>6</v>
      </c>
      <c r="M73" s="13" t="s">
        <v>11</v>
      </c>
      <c r="N73" s="13" t="s">
        <v>30</v>
      </c>
      <c r="O73" s="13"/>
    </row>
    <row r="74" spans="1:15" ht="28.5">
      <c r="A74" s="12">
        <v>70</v>
      </c>
      <c r="B74" s="12" t="s">
        <v>331</v>
      </c>
      <c r="C74" s="13" t="s">
        <v>305</v>
      </c>
      <c r="D74" s="13" t="s">
        <v>320</v>
      </c>
      <c r="E74" s="13" t="s">
        <v>321</v>
      </c>
      <c r="F74" s="13" t="s">
        <v>332</v>
      </c>
      <c r="G74" s="13" t="s">
        <v>333</v>
      </c>
      <c r="H74" s="13" t="s">
        <v>324</v>
      </c>
      <c r="I74" s="13" t="s">
        <v>17</v>
      </c>
      <c r="J74" s="13"/>
      <c r="K74" s="13" t="s">
        <v>1</v>
      </c>
      <c r="L74" s="13" t="s">
        <v>6</v>
      </c>
      <c r="M74" s="13" t="s">
        <v>11</v>
      </c>
      <c r="N74" s="13" t="s">
        <v>30</v>
      </c>
      <c r="O74" s="13"/>
    </row>
    <row r="75" spans="1:15" ht="28.5">
      <c r="A75" s="12">
        <v>71</v>
      </c>
      <c r="B75" s="12" t="s">
        <v>334</v>
      </c>
      <c r="C75" s="13" t="s">
        <v>305</v>
      </c>
      <c r="D75" s="13" t="s">
        <v>320</v>
      </c>
      <c r="E75" s="13" t="s">
        <v>321</v>
      </c>
      <c r="F75" s="13" t="s">
        <v>335</v>
      </c>
      <c r="G75" s="13" t="s">
        <v>336</v>
      </c>
      <c r="H75" s="13" t="s">
        <v>324</v>
      </c>
      <c r="I75" s="13" t="s">
        <v>17</v>
      </c>
      <c r="J75" s="13"/>
      <c r="K75" s="13" t="s">
        <v>1</v>
      </c>
      <c r="L75" s="13" t="s">
        <v>6</v>
      </c>
      <c r="M75" s="13" t="s">
        <v>11</v>
      </c>
      <c r="N75" s="13" t="s">
        <v>30</v>
      </c>
      <c r="O75" s="13"/>
    </row>
    <row r="76" spans="1:15" ht="28.5">
      <c r="A76" s="12">
        <v>72</v>
      </c>
      <c r="B76" s="12" t="s">
        <v>337</v>
      </c>
      <c r="C76" s="13" t="s">
        <v>305</v>
      </c>
      <c r="D76" s="13" t="s">
        <v>320</v>
      </c>
      <c r="E76" s="13" t="s">
        <v>321</v>
      </c>
      <c r="F76" s="13" t="s">
        <v>338</v>
      </c>
      <c r="G76" s="13" t="s">
        <v>339</v>
      </c>
      <c r="H76" s="13" t="s">
        <v>324</v>
      </c>
      <c r="I76" s="13" t="s">
        <v>17</v>
      </c>
      <c r="J76" s="13"/>
      <c r="K76" s="13" t="s">
        <v>1</v>
      </c>
      <c r="L76" s="13" t="s">
        <v>6</v>
      </c>
      <c r="M76" s="13" t="s">
        <v>11</v>
      </c>
      <c r="N76" s="13" t="s">
        <v>30</v>
      </c>
      <c r="O76" s="13"/>
    </row>
    <row r="77" spans="1:15">
      <c r="A77" s="12">
        <v>73</v>
      </c>
      <c r="B77" s="12" t="s">
        <v>340</v>
      </c>
      <c r="C77" s="13" t="s">
        <v>305</v>
      </c>
      <c r="D77" s="13" t="s">
        <v>320</v>
      </c>
      <c r="E77" s="13" t="s">
        <v>321</v>
      </c>
      <c r="F77" s="13" t="s">
        <v>341</v>
      </c>
      <c r="G77" s="13" t="s">
        <v>342</v>
      </c>
      <c r="H77" s="13" t="s">
        <v>324</v>
      </c>
      <c r="I77" s="13" t="s">
        <v>17</v>
      </c>
      <c r="J77" s="13"/>
      <c r="K77" s="13" t="s">
        <v>1</v>
      </c>
      <c r="L77" s="13" t="s">
        <v>6</v>
      </c>
      <c r="M77" s="13" t="s">
        <v>11</v>
      </c>
      <c r="N77" s="13" t="s">
        <v>30</v>
      </c>
      <c r="O77" s="13"/>
    </row>
    <row r="78" spans="1:15">
      <c r="A78" s="12">
        <v>74</v>
      </c>
      <c r="B78" s="12" t="s">
        <v>343</v>
      </c>
      <c r="C78" s="13" t="s">
        <v>305</v>
      </c>
      <c r="D78" s="13" t="s">
        <v>320</v>
      </c>
      <c r="E78" s="13" t="s">
        <v>321</v>
      </c>
      <c r="F78" s="13" t="s">
        <v>344</v>
      </c>
      <c r="G78" s="13" t="s">
        <v>345</v>
      </c>
      <c r="H78" s="13" t="s">
        <v>324</v>
      </c>
      <c r="I78" s="13" t="s">
        <v>17</v>
      </c>
      <c r="J78" s="13"/>
      <c r="K78" s="13" t="s">
        <v>1</v>
      </c>
      <c r="L78" s="13" t="s">
        <v>6</v>
      </c>
      <c r="M78" s="13" t="s">
        <v>11</v>
      </c>
      <c r="N78" s="13" t="s">
        <v>30</v>
      </c>
      <c r="O78" s="13"/>
    </row>
    <row r="79" spans="1:15">
      <c r="A79" s="12">
        <v>75</v>
      </c>
      <c r="B79" s="12" t="s">
        <v>346</v>
      </c>
      <c r="C79" s="13" t="s">
        <v>305</v>
      </c>
      <c r="D79" s="13" t="s">
        <v>320</v>
      </c>
      <c r="E79" s="13" t="s">
        <v>321</v>
      </c>
      <c r="F79" s="13" t="s">
        <v>347</v>
      </c>
      <c r="G79" s="13" t="s">
        <v>348</v>
      </c>
      <c r="H79" s="13" t="s">
        <v>324</v>
      </c>
      <c r="I79" s="13" t="s">
        <v>17</v>
      </c>
      <c r="J79" s="13"/>
      <c r="K79" s="13" t="s">
        <v>1</v>
      </c>
      <c r="L79" s="13" t="s">
        <v>6</v>
      </c>
      <c r="M79" s="13" t="s">
        <v>11</v>
      </c>
      <c r="N79" s="13" t="s">
        <v>30</v>
      </c>
      <c r="O79" s="13"/>
    </row>
    <row r="80" spans="1:15" ht="28.5">
      <c r="A80" s="12">
        <v>76</v>
      </c>
      <c r="B80" s="12" t="s">
        <v>349</v>
      </c>
      <c r="C80" s="13" t="s">
        <v>305</v>
      </c>
      <c r="D80" s="13" t="s">
        <v>320</v>
      </c>
      <c r="E80" s="13" t="s">
        <v>321</v>
      </c>
      <c r="F80" s="13" t="s">
        <v>350</v>
      </c>
      <c r="G80" s="13" t="s">
        <v>351</v>
      </c>
      <c r="H80" s="13" t="s">
        <v>324</v>
      </c>
      <c r="I80" s="13" t="s">
        <v>17</v>
      </c>
      <c r="J80" s="13"/>
      <c r="K80" s="13" t="s">
        <v>1</v>
      </c>
      <c r="L80" s="13" t="s">
        <v>6</v>
      </c>
      <c r="M80" s="13" t="s">
        <v>11</v>
      </c>
      <c r="N80" s="13" t="s">
        <v>30</v>
      </c>
      <c r="O80" s="13"/>
    </row>
    <row r="81" spans="1:15" ht="28.5">
      <c r="A81" s="12">
        <v>77</v>
      </c>
      <c r="B81" s="12" t="s">
        <v>352</v>
      </c>
      <c r="C81" s="13" t="s">
        <v>305</v>
      </c>
      <c r="D81" s="13" t="s">
        <v>320</v>
      </c>
      <c r="E81" s="13" t="s">
        <v>321</v>
      </c>
      <c r="F81" s="13" t="s">
        <v>353</v>
      </c>
      <c r="G81" s="13" t="s">
        <v>354</v>
      </c>
      <c r="H81" s="13" t="s">
        <v>324</v>
      </c>
      <c r="I81" s="13" t="s">
        <v>17</v>
      </c>
      <c r="J81" s="13"/>
      <c r="K81" s="13" t="s">
        <v>1</v>
      </c>
      <c r="L81" s="13" t="s">
        <v>6</v>
      </c>
      <c r="M81" s="13" t="s">
        <v>11</v>
      </c>
      <c r="N81" s="13" t="s">
        <v>30</v>
      </c>
      <c r="O81" s="13"/>
    </row>
    <row r="82" spans="1:15" ht="28.5">
      <c r="A82" s="12">
        <v>78</v>
      </c>
      <c r="B82" s="12" t="s">
        <v>355</v>
      </c>
      <c r="C82" s="13" t="s">
        <v>305</v>
      </c>
      <c r="D82" s="13" t="s">
        <v>356</v>
      </c>
      <c r="E82" s="13" t="s">
        <v>357</v>
      </c>
      <c r="F82" s="13" t="s">
        <v>358</v>
      </c>
      <c r="G82" s="13" t="s">
        <v>359</v>
      </c>
      <c r="H82" s="13" t="s">
        <v>360</v>
      </c>
      <c r="I82" s="13" t="s">
        <v>17</v>
      </c>
      <c r="J82" s="13"/>
      <c r="K82" s="13" t="s">
        <v>3</v>
      </c>
      <c r="L82" s="13" t="s">
        <v>8</v>
      </c>
      <c r="M82" s="13" t="s">
        <v>12</v>
      </c>
      <c r="N82" s="13" t="s">
        <v>361</v>
      </c>
      <c r="O82" s="13"/>
    </row>
    <row r="83" spans="1:15" ht="28.5">
      <c r="A83" s="12">
        <v>79</v>
      </c>
      <c r="B83" s="12" t="s">
        <v>362</v>
      </c>
      <c r="C83" s="13" t="s">
        <v>305</v>
      </c>
      <c r="D83" s="13" t="s">
        <v>356</v>
      </c>
      <c r="E83" s="13" t="s">
        <v>357</v>
      </c>
      <c r="F83" s="13" t="s">
        <v>363</v>
      </c>
      <c r="G83" s="13" t="s">
        <v>364</v>
      </c>
      <c r="H83" s="13" t="s">
        <v>360</v>
      </c>
      <c r="I83" s="13" t="s">
        <v>17</v>
      </c>
      <c r="J83" s="13"/>
      <c r="K83" s="13" t="s">
        <v>3</v>
      </c>
      <c r="L83" s="13" t="s">
        <v>8</v>
      </c>
      <c r="M83" s="13" t="s">
        <v>12</v>
      </c>
      <c r="N83" s="13" t="s">
        <v>361</v>
      </c>
      <c r="O83" s="13"/>
    </row>
    <row r="84" spans="1:15" ht="28.5">
      <c r="A84" s="12">
        <v>80</v>
      </c>
      <c r="B84" s="12" t="s">
        <v>365</v>
      </c>
      <c r="C84" s="13" t="s">
        <v>305</v>
      </c>
      <c r="D84" s="13" t="s">
        <v>356</v>
      </c>
      <c r="E84" s="13" t="s">
        <v>357</v>
      </c>
      <c r="F84" s="13" t="s">
        <v>366</v>
      </c>
      <c r="G84" s="13" t="s">
        <v>367</v>
      </c>
      <c r="H84" s="13" t="s">
        <v>360</v>
      </c>
      <c r="I84" s="13" t="s">
        <v>17</v>
      </c>
      <c r="J84" s="13"/>
      <c r="K84" s="13" t="s">
        <v>3</v>
      </c>
      <c r="L84" s="13" t="s">
        <v>8</v>
      </c>
      <c r="M84" s="13" t="s">
        <v>12</v>
      </c>
      <c r="N84" s="13" t="s">
        <v>361</v>
      </c>
      <c r="O84" s="13"/>
    </row>
    <row r="85" spans="1:15" ht="28.5">
      <c r="A85" s="12">
        <v>81</v>
      </c>
      <c r="B85" s="12" t="s">
        <v>368</v>
      </c>
      <c r="C85" s="13" t="s">
        <v>305</v>
      </c>
      <c r="D85" s="13" t="s">
        <v>356</v>
      </c>
      <c r="E85" s="13" t="s">
        <v>357</v>
      </c>
      <c r="F85" s="13" t="s">
        <v>369</v>
      </c>
      <c r="G85" s="13" t="s">
        <v>370</v>
      </c>
      <c r="H85" s="13" t="s">
        <v>360</v>
      </c>
      <c r="I85" s="13" t="s">
        <v>17</v>
      </c>
      <c r="J85" s="13"/>
      <c r="K85" s="13" t="s">
        <v>3</v>
      </c>
      <c r="L85" s="13" t="s">
        <v>8</v>
      </c>
      <c r="M85" s="13" t="s">
        <v>12</v>
      </c>
      <c r="N85" s="13" t="s">
        <v>361</v>
      </c>
      <c r="O85" s="13"/>
    </row>
    <row r="86" spans="1:15" ht="28.5">
      <c r="A86" s="12">
        <v>82</v>
      </c>
      <c r="B86" s="12" t="s">
        <v>371</v>
      </c>
      <c r="C86" s="13" t="s">
        <v>305</v>
      </c>
      <c r="D86" s="13" t="s">
        <v>356</v>
      </c>
      <c r="E86" s="13" t="s">
        <v>357</v>
      </c>
      <c r="F86" s="13" t="s">
        <v>372</v>
      </c>
      <c r="G86" s="13" t="s">
        <v>373</v>
      </c>
      <c r="H86" s="13" t="s">
        <v>360</v>
      </c>
      <c r="I86" s="13" t="s">
        <v>17</v>
      </c>
      <c r="J86" s="13"/>
      <c r="K86" s="13" t="s">
        <v>3</v>
      </c>
      <c r="L86" s="13" t="s">
        <v>8</v>
      </c>
      <c r="M86" s="13" t="s">
        <v>12</v>
      </c>
      <c r="N86" s="13" t="s">
        <v>361</v>
      </c>
      <c r="O86" s="13"/>
    </row>
    <row r="87" spans="1:15" ht="28.5">
      <c r="A87" s="12">
        <v>83</v>
      </c>
      <c r="B87" s="12" t="s">
        <v>374</v>
      </c>
      <c r="C87" s="13" t="s">
        <v>305</v>
      </c>
      <c r="D87" s="13" t="s">
        <v>356</v>
      </c>
      <c r="E87" s="13" t="s">
        <v>357</v>
      </c>
      <c r="F87" s="13" t="s">
        <v>375</v>
      </c>
      <c r="G87" s="13" t="s">
        <v>376</v>
      </c>
      <c r="H87" s="13" t="s">
        <v>360</v>
      </c>
      <c r="I87" s="13" t="s">
        <v>17</v>
      </c>
      <c r="J87" s="13"/>
      <c r="K87" s="13" t="s">
        <v>3</v>
      </c>
      <c r="L87" s="13" t="s">
        <v>8</v>
      </c>
      <c r="M87" s="13" t="s">
        <v>12</v>
      </c>
      <c r="N87" s="13" t="s">
        <v>361</v>
      </c>
      <c r="O87" s="13"/>
    </row>
    <row r="88" spans="1:15" ht="28.5">
      <c r="A88" s="12">
        <v>84</v>
      </c>
      <c r="B88" s="12" t="s">
        <v>377</v>
      </c>
      <c r="C88" s="13" t="s">
        <v>305</v>
      </c>
      <c r="D88" s="13" t="s">
        <v>356</v>
      </c>
      <c r="E88" s="13" t="s">
        <v>357</v>
      </c>
      <c r="F88" s="13" t="s">
        <v>378</v>
      </c>
      <c r="G88" s="13" t="s">
        <v>379</v>
      </c>
      <c r="H88" s="13" t="s">
        <v>360</v>
      </c>
      <c r="I88" s="13" t="s">
        <v>17</v>
      </c>
      <c r="J88" s="13"/>
      <c r="K88" s="13" t="s">
        <v>3</v>
      </c>
      <c r="L88" s="13" t="s">
        <v>8</v>
      </c>
      <c r="M88" s="13" t="s">
        <v>12</v>
      </c>
      <c r="N88" s="13" t="s">
        <v>361</v>
      </c>
      <c r="O88" s="13"/>
    </row>
    <row r="89" spans="1:15" ht="28.5">
      <c r="A89" s="12">
        <v>85</v>
      </c>
      <c r="B89" s="12" t="s">
        <v>380</v>
      </c>
      <c r="C89" s="13" t="s">
        <v>305</v>
      </c>
      <c r="D89" s="13" t="s">
        <v>356</v>
      </c>
      <c r="E89" s="13" t="s">
        <v>357</v>
      </c>
      <c r="F89" s="13" t="s">
        <v>381</v>
      </c>
      <c r="G89" s="13" t="s">
        <v>382</v>
      </c>
      <c r="H89" s="13" t="s">
        <v>360</v>
      </c>
      <c r="I89" s="13" t="s">
        <v>17</v>
      </c>
      <c r="J89" s="13"/>
      <c r="K89" s="13" t="s">
        <v>3</v>
      </c>
      <c r="L89" s="13" t="s">
        <v>8</v>
      </c>
      <c r="M89" s="13" t="s">
        <v>12</v>
      </c>
      <c r="N89" s="13" t="s">
        <v>361</v>
      </c>
      <c r="O89" s="13"/>
    </row>
    <row r="90" spans="1:15" ht="28.5">
      <c r="A90" s="12">
        <v>86</v>
      </c>
      <c r="B90" s="12" t="s">
        <v>383</v>
      </c>
      <c r="C90" s="13" t="s">
        <v>384</v>
      </c>
      <c r="D90" s="13" t="s">
        <v>385</v>
      </c>
      <c r="E90" s="13" t="s">
        <v>386</v>
      </c>
      <c r="F90" s="13" t="s">
        <v>387</v>
      </c>
      <c r="G90" s="13" t="s">
        <v>388</v>
      </c>
      <c r="H90" s="13" t="s">
        <v>196</v>
      </c>
      <c r="I90" s="13" t="s">
        <v>18</v>
      </c>
      <c r="J90" s="13" t="s">
        <v>197</v>
      </c>
      <c r="K90" s="13" t="s">
        <v>1</v>
      </c>
      <c r="L90" s="13" t="s">
        <v>6</v>
      </c>
      <c r="M90" s="13" t="s">
        <v>11</v>
      </c>
      <c r="N90" s="13" t="s">
        <v>30</v>
      </c>
      <c r="O90" s="13"/>
    </row>
    <row r="91" spans="1:15" ht="28.5">
      <c r="A91" s="12">
        <v>87</v>
      </c>
      <c r="B91" s="12" t="s">
        <v>389</v>
      </c>
      <c r="C91" s="13" t="s">
        <v>384</v>
      </c>
      <c r="D91" s="13" t="s">
        <v>385</v>
      </c>
      <c r="E91" s="13" t="s">
        <v>386</v>
      </c>
      <c r="F91" s="13" t="s">
        <v>390</v>
      </c>
      <c r="G91" s="13" t="s">
        <v>391</v>
      </c>
      <c r="H91" s="13" t="s">
        <v>392</v>
      </c>
      <c r="I91" s="13" t="s">
        <v>16</v>
      </c>
      <c r="J91" s="13" t="s">
        <v>197</v>
      </c>
      <c r="K91" s="13" t="s">
        <v>1</v>
      </c>
      <c r="L91" s="13" t="s">
        <v>6</v>
      </c>
      <c r="M91" s="13" t="s">
        <v>11</v>
      </c>
      <c r="N91" s="13" t="s">
        <v>30</v>
      </c>
      <c r="O91" s="13"/>
    </row>
    <row r="92" spans="1:15" ht="28.5">
      <c r="A92" s="12">
        <v>88</v>
      </c>
      <c r="B92" s="12" t="s">
        <v>393</v>
      </c>
      <c r="C92" s="13" t="s">
        <v>384</v>
      </c>
      <c r="D92" s="13" t="s">
        <v>385</v>
      </c>
      <c r="E92" s="13" t="s">
        <v>386</v>
      </c>
      <c r="F92" s="13" t="s">
        <v>394</v>
      </c>
      <c r="G92" s="13" t="s">
        <v>395</v>
      </c>
      <c r="H92" s="13" t="s">
        <v>396</v>
      </c>
      <c r="I92" s="13" t="s">
        <v>24</v>
      </c>
      <c r="J92" s="13" t="s">
        <v>197</v>
      </c>
      <c r="K92" s="13" t="s">
        <v>2</v>
      </c>
      <c r="L92" s="13" t="s">
        <v>7</v>
      </c>
      <c r="M92" s="13" t="s">
        <v>11</v>
      </c>
      <c r="N92" s="13" t="s">
        <v>30</v>
      </c>
      <c r="O92" s="13"/>
    </row>
    <row r="93" spans="1:15" ht="28.5">
      <c r="A93" s="12">
        <v>89</v>
      </c>
      <c r="B93" s="12" t="s">
        <v>397</v>
      </c>
      <c r="C93" s="13" t="s">
        <v>384</v>
      </c>
      <c r="D93" s="13" t="s">
        <v>385</v>
      </c>
      <c r="E93" s="13" t="s">
        <v>386</v>
      </c>
      <c r="F93" s="13" t="s">
        <v>398</v>
      </c>
      <c r="G93" s="13" t="s">
        <v>399</v>
      </c>
      <c r="H93" s="13" t="s">
        <v>392</v>
      </c>
      <c r="I93" s="13" t="s">
        <v>18</v>
      </c>
      <c r="J93" s="13" t="s">
        <v>197</v>
      </c>
      <c r="K93" s="13" t="s">
        <v>1</v>
      </c>
      <c r="L93" s="13" t="s">
        <v>6</v>
      </c>
      <c r="M93" s="13" t="s">
        <v>11</v>
      </c>
      <c r="N93" s="13" t="s">
        <v>30</v>
      </c>
      <c r="O93" s="13"/>
    </row>
    <row r="94" spans="1:15" ht="42.75">
      <c r="A94" s="12">
        <v>90</v>
      </c>
      <c r="B94" s="12" t="s">
        <v>400</v>
      </c>
      <c r="C94" s="13" t="s">
        <v>384</v>
      </c>
      <c r="D94" s="13" t="s">
        <v>401</v>
      </c>
      <c r="E94" s="13" t="s">
        <v>402</v>
      </c>
      <c r="F94" s="13" t="s">
        <v>403</v>
      </c>
      <c r="G94" s="13" t="s">
        <v>404</v>
      </c>
      <c r="H94" s="13" t="s">
        <v>405</v>
      </c>
      <c r="I94" s="13" t="s">
        <v>16</v>
      </c>
      <c r="J94" s="13"/>
      <c r="K94" s="13" t="s">
        <v>1</v>
      </c>
      <c r="L94" s="13" t="s">
        <v>6</v>
      </c>
      <c r="M94" s="13" t="s">
        <v>11</v>
      </c>
      <c r="N94" s="13" t="s">
        <v>29</v>
      </c>
      <c r="O94" s="13" t="s">
        <v>72</v>
      </c>
    </row>
    <row r="95" spans="1:15" ht="28.5">
      <c r="A95" s="12">
        <v>91</v>
      </c>
      <c r="B95" s="12" t="s">
        <v>406</v>
      </c>
      <c r="C95" s="13" t="s">
        <v>384</v>
      </c>
      <c r="D95" s="13" t="s">
        <v>401</v>
      </c>
      <c r="E95" s="13" t="s">
        <v>402</v>
      </c>
      <c r="F95" s="13" t="s">
        <v>407</v>
      </c>
      <c r="G95" s="13" t="s">
        <v>408</v>
      </c>
      <c r="H95" s="13" t="s">
        <v>405</v>
      </c>
      <c r="I95" s="13" t="s">
        <v>16</v>
      </c>
      <c r="J95" s="13"/>
      <c r="K95" s="13" t="s">
        <v>1</v>
      </c>
      <c r="L95" s="13" t="s">
        <v>6</v>
      </c>
      <c r="M95" s="13" t="s">
        <v>11</v>
      </c>
      <c r="N95" s="13" t="s">
        <v>29</v>
      </c>
      <c r="O95" s="13" t="s">
        <v>76</v>
      </c>
    </row>
    <row r="96" spans="1:15" ht="42.75">
      <c r="A96" s="12">
        <v>92</v>
      </c>
      <c r="B96" s="12" t="s">
        <v>409</v>
      </c>
      <c r="C96" s="13" t="s">
        <v>384</v>
      </c>
      <c r="D96" s="13" t="s">
        <v>401</v>
      </c>
      <c r="E96" s="13" t="s">
        <v>402</v>
      </c>
      <c r="F96" s="13" t="s">
        <v>410</v>
      </c>
      <c r="G96" s="13" t="s">
        <v>411</v>
      </c>
      <c r="H96" s="13" t="s">
        <v>405</v>
      </c>
      <c r="I96" s="13" t="s">
        <v>16</v>
      </c>
      <c r="J96" s="13"/>
      <c r="K96" s="13" t="s">
        <v>2</v>
      </c>
      <c r="L96" s="13" t="s">
        <v>6</v>
      </c>
      <c r="M96" s="13" t="s">
        <v>11</v>
      </c>
      <c r="N96" s="13" t="s">
        <v>29</v>
      </c>
      <c r="O96" s="13" t="s">
        <v>412</v>
      </c>
    </row>
    <row r="97" spans="1:15" ht="42.75">
      <c r="A97" s="12">
        <v>93</v>
      </c>
      <c r="B97" s="12" t="s">
        <v>413</v>
      </c>
      <c r="C97" s="13" t="s">
        <v>384</v>
      </c>
      <c r="D97" s="13" t="s">
        <v>401</v>
      </c>
      <c r="E97" s="13" t="s">
        <v>402</v>
      </c>
      <c r="F97" s="13" t="s">
        <v>414</v>
      </c>
      <c r="G97" s="13" t="s">
        <v>415</v>
      </c>
      <c r="H97" s="13" t="s">
        <v>405</v>
      </c>
      <c r="I97" s="13" t="s">
        <v>16</v>
      </c>
      <c r="J97" s="13"/>
      <c r="K97" s="13" t="s">
        <v>1</v>
      </c>
      <c r="L97" s="13" t="s">
        <v>6</v>
      </c>
      <c r="M97" s="13" t="s">
        <v>11</v>
      </c>
      <c r="N97" s="13" t="s">
        <v>29</v>
      </c>
      <c r="O97" s="13" t="s">
        <v>80</v>
      </c>
    </row>
    <row r="98" spans="1:15" ht="42.75">
      <c r="A98" s="12">
        <v>94</v>
      </c>
      <c r="B98" s="12" t="s">
        <v>416</v>
      </c>
      <c r="C98" s="13" t="s">
        <v>384</v>
      </c>
      <c r="D98" s="13" t="s">
        <v>401</v>
      </c>
      <c r="E98" s="13" t="s">
        <v>402</v>
      </c>
      <c r="F98" s="13" t="s">
        <v>417</v>
      </c>
      <c r="G98" s="13" t="s">
        <v>418</v>
      </c>
      <c r="H98" s="13" t="s">
        <v>405</v>
      </c>
      <c r="I98" s="13" t="s">
        <v>16</v>
      </c>
      <c r="J98" s="13"/>
      <c r="K98" s="13" t="s">
        <v>1</v>
      </c>
      <c r="L98" s="13" t="s">
        <v>6</v>
      </c>
      <c r="M98" s="13" t="s">
        <v>11</v>
      </c>
      <c r="N98" s="13" t="s">
        <v>29</v>
      </c>
      <c r="O98" s="13" t="s">
        <v>84</v>
      </c>
    </row>
    <row r="99" spans="1:15" ht="28.5">
      <c r="A99" s="12">
        <v>95</v>
      </c>
      <c r="B99" s="12" t="s">
        <v>419</v>
      </c>
      <c r="C99" s="13" t="s">
        <v>384</v>
      </c>
      <c r="D99" s="13" t="s">
        <v>401</v>
      </c>
      <c r="E99" s="13" t="s">
        <v>402</v>
      </c>
      <c r="F99" s="13" t="s">
        <v>420</v>
      </c>
      <c r="G99" s="13" t="s">
        <v>421</v>
      </c>
      <c r="H99" s="13" t="s">
        <v>405</v>
      </c>
      <c r="I99" s="13" t="s">
        <v>88</v>
      </c>
      <c r="J99" s="13"/>
      <c r="K99" s="13" t="s">
        <v>2</v>
      </c>
      <c r="L99" s="13" t="s">
        <v>6</v>
      </c>
      <c r="M99" s="13" t="s">
        <v>11</v>
      </c>
      <c r="N99" s="13" t="s">
        <v>29</v>
      </c>
      <c r="O99" s="13" t="s">
        <v>89</v>
      </c>
    </row>
    <row r="100" spans="1:15" ht="42.75">
      <c r="A100" s="12">
        <v>96</v>
      </c>
      <c r="B100" s="12" t="s">
        <v>422</v>
      </c>
      <c r="C100" s="13" t="s">
        <v>384</v>
      </c>
      <c r="D100" s="13" t="s">
        <v>401</v>
      </c>
      <c r="E100" s="13" t="s">
        <v>402</v>
      </c>
      <c r="F100" s="13" t="s">
        <v>423</v>
      </c>
      <c r="G100" s="13" t="s">
        <v>424</v>
      </c>
      <c r="H100" s="13" t="s">
        <v>405</v>
      </c>
      <c r="I100" s="13" t="s">
        <v>93</v>
      </c>
      <c r="J100" s="13" t="s">
        <v>24</v>
      </c>
      <c r="K100" s="13"/>
      <c r="L100" s="13" t="s">
        <v>1</v>
      </c>
      <c r="M100" s="13" t="s">
        <v>6</v>
      </c>
      <c r="N100" s="13" t="s">
        <v>11</v>
      </c>
      <c r="O100" s="13" t="s">
        <v>29</v>
      </c>
    </row>
    <row r="101" spans="1:15" ht="28.5">
      <c r="A101" s="12">
        <v>97</v>
      </c>
      <c r="B101" s="12" t="s">
        <v>425</v>
      </c>
      <c r="C101" s="13" t="s">
        <v>384</v>
      </c>
      <c r="D101" s="13" t="s">
        <v>401</v>
      </c>
      <c r="E101" s="13" t="s">
        <v>426</v>
      </c>
      <c r="F101" s="13" t="s">
        <v>427</v>
      </c>
      <c r="G101" s="13" t="s">
        <v>428</v>
      </c>
      <c r="H101" s="13" t="s">
        <v>429</v>
      </c>
      <c r="I101" s="13" t="s">
        <v>19</v>
      </c>
      <c r="J101" s="13"/>
      <c r="K101" s="13" t="s">
        <v>1</v>
      </c>
      <c r="L101" s="13" t="s">
        <v>6</v>
      </c>
      <c r="M101" s="13" t="s">
        <v>11</v>
      </c>
      <c r="N101" s="13" t="s">
        <v>30</v>
      </c>
      <c r="O101" s="13"/>
    </row>
    <row r="102" spans="1:15" ht="28.5">
      <c r="A102" s="12">
        <v>98</v>
      </c>
      <c r="B102" s="12" t="s">
        <v>430</v>
      </c>
      <c r="C102" s="13" t="s">
        <v>384</v>
      </c>
      <c r="D102" s="13" t="s">
        <v>401</v>
      </c>
      <c r="E102" s="13" t="s">
        <v>426</v>
      </c>
      <c r="F102" s="13" t="s">
        <v>431</v>
      </c>
      <c r="G102" s="13" t="s">
        <v>432</v>
      </c>
      <c r="H102" s="13" t="s">
        <v>429</v>
      </c>
      <c r="I102" s="13" t="s">
        <v>19</v>
      </c>
      <c r="J102" s="13"/>
      <c r="K102" s="13" t="s">
        <v>1</v>
      </c>
      <c r="L102" s="13" t="s">
        <v>6</v>
      </c>
      <c r="M102" s="13" t="s">
        <v>11</v>
      </c>
      <c r="N102" s="13" t="s">
        <v>30</v>
      </c>
      <c r="O102" s="13"/>
    </row>
    <row r="103" spans="1:15" ht="28.5">
      <c r="A103" s="12">
        <v>99</v>
      </c>
      <c r="B103" s="12" t="s">
        <v>433</v>
      </c>
      <c r="C103" s="13" t="s">
        <v>384</v>
      </c>
      <c r="D103" s="13" t="s">
        <v>401</v>
      </c>
      <c r="E103" s="13" t="s">
        <v>426</v>
      </c>
      <c r="F103" s="13" t="s">
        <v>434</v>
      </c>
      <c r="G103" s="13" t="s">
        <v>435</v>
      </c>
      <c r="H103" s="13" t="s">
        <v>429</v>
      </c>
      <c r="I103" s="13" t="s">
        <v>19</v>
      </c>
      <c r="J103" s="13"/>
      <c r="K103" s="13" t="s">
        <v>1</v>
      </c>
      <c r="L103" s="13" t="s">
        <v>6</v>
      </c>
      <c r="M103" s="13" t="s">
        <v>11</v>
      </c>
      <c r="N103" s="13" t="s">
        <v>30</v>
      </c>
      <c r="O103" s="13"/>
    </row>
    <row r="104" spans="1:15">
      <c r="A104" s="12">
        <v>100</v>
      </c>
      <c r="B104" s="12" t="s">
        <v>436</v>
      </c>
      <c r="C104" s="13" t="s">
        <v>384</v>
      </c>
      <c r="D104" s="13" t="s">
        <v>401</v>
      </c>
      <c r="E104" s="13" t="s">
        <v>426</v>
      </c>
      <c r="F104" s="13" t="s">
        <v>437</v>
      </c>
      <c r="G104" s="13" t="s">
        <v>438</v>
      </c>
      <c r="H104" s="13" t="s">
        <v>429</v>
      </c>
      <c r="I104" s="13" t="s">
        <v>19</v>
      </c>
      <c r="J104" s="13"/>
      <c r="K104" s="13" t="s">
        <v>1</v>
      </c>
      <c r="L104" s="13" t="s">
        <v>6</v>
      </c>
      <c r="M104" s="13" t="s">
        <v>11</v>
      </c>
      <c r="N104" s="13" t="s">
        <v>30</v>
      </c>
      <c r="O104" s="13"/>
    </row>
    <row r="105" spans="1:15" ht="28.5">
      <c r="A105" s="12">
        <v>101</v>
      </c>
      <c r="B105" s="12" t="s">
        <v>439</v>
      </c>
      <c r="C105" s="13" t="s">
        <v>384</v>
      </c>
      <c r="D105" s="13" t="s">
        <v>401</v>
      </c>
      <c r="E105" s="13" t="s">
        <v>426</v>
      </c>
      <c r="F105" s="13" t="s">
        <v>440</v>
      </c>
      <c r="G105" s="13" t="s">
        <v>441</v>
      </c>
      <c r="H105" s="13" t="s">
        <v>429</v>
      </c>
      <c r="I105" s="13" t="s">
        <v>19</v>
      </c>
      <c r="J105" s="13"/>
      <c r="K105" s="13" t="s">
        <v>1</v>
      </c>
      <c r="L105" s="13" t="s">
        <v>6</v>
      </c>
      <c r="M105" s="13" t="s">
        <v>11</v>
      </c>
      <c r="N105" s="13" t="s">
        <v>30</v>
      </c>
      <c r="O105" s="13"/>
    </row>
    <row r="106" spans="1:15" ht="28.5">
      <c r="A106" s="12">
        <v>102</v>
      </c>
      <c r="B106" s="12" t="s">
        <v>442</v>
      </c>
      <c r="C106" s="13" t="s">
        <v>384</v>
      </c>
      <c r="D106" s="13" t="s">
        <v>401</v>
      </c>
      <c r="E106" s="13" t="s">
        <v>426</v>
      </c>
      <c r="F106" s="13" t="s">
        <v>443</v>
      </c>
      <c r="G106" s="13" t="s">
        <v>444</v>
      </c>
      <c r="H106" s="13" t="s">
        <v>429</v>
      </c>
      <c r="I106" s="13" t="s">
        <v>19</v>
      </c>
      <c r="J106" s="13"/>
      <c r="K106" s="13" t="s">
        <v>1</v>
      </c>
      <c r="L106" s="13" t="s">
        <v>6</v>
      </c>
      <c r="M106" s="13" t="s">
        <v>11</v>
      </c>
      <c r="N106" s="13" t="s">
        <v>30</v>
      </c>
      <c r="O106" s="13"/>
    </row>
    <row r="107" spans="1:15" ht="42.75">
      <c r="A107" s="12">
        <v>103</v>
      </c>
      <c r="B107" s="12" t="s">
        <v>445</v>
      </c>
      <c r="C107" s="13" t="s">
        <v>384</v>
      </c>
      <c r="D107" s="13" t="s">
        <v>446</v>
      </c>
      <c r="E107" s="13" t="s">
        <v>447</v>
      </c>
      <c r="F107" s="13" t="s">
        <v>448</v>
      </c>
      <c r="G107" s="13" t="s">
        <v>449</v>
      </c>
      <c r="H107" s="13" t="s">
        <v>405</v>
      </c>
      <c r="I107" s="13" t="s">
        <v>16</v>
      </c>
      <c r="J107" s="13"/>
      <c r="K107" s="13" t="s">
        <v>2</v>
      </c>
      <c r="L107" s="13" t="s">
        <v>7</v>
      </c>
      <c r="M107" s="13" t="s">
        <v>11</v>
      </c>
      <c r="N107" s="13" t="s">
        <v>450</v>
      </c>
      <c r="O107" s="13" t="s">
        <v>72</v>
      </c>
    </row>
    <row r="108" spans="1:15" ht="28.5">
      <c r="A108" s="12">
        <v>104</v>
      </c>
      <c r="B108" s="12" t="s">
        <v>451</v>
      </c>
      <c r="C108" s="13" t="s">
        <v>384</v>
      </c>
      <c r="D108" s="13" t="s">
        <v>446</v>
      </c>
      <c r="E108" s="13" t="s">
        <v>447</v>
      </c>
      <c r="F108" s="13" t="s">
        <v>452</v>
      </c>
      <c r="G108" s="13" t="s">
        <v>453</v>
      </c>
      <c r="H108" s="13" t="s">
        <v>405</v>
      </c>
      <c r="I108" s="13" t="s">
        <v>16</v>
      </c>
      <c r="J108" s="13"/>
      <c r="K108" s="13" t="s">
        <v>2</v>
      </c>
      <c r="L108" s="13" t="s">
        <v>7</v>
      </c>
      <c r="M108" s="13" t="s">
        <v>11</v>
      </c>
      <c r="N108" s="13" t="s">
        <v>450</v>
      </c>
      <c r="O108" s="13" t="s">
        <v>76</v>
      </c>
    </row>
    <row r="109" spans="1:15" ht="28.5">
      <c r="A109" s="12">
        <v>105</v>
      </c>
      <c r="B109" s="12" t="s">
        <v>454</v>
      </c>
      <c r="C109" s="13" t="s">
        <v>384</v>
      </c>
      <c r="D109" s="13" t="s">
        <v>446</v>
      </c>
      <c r="E109" s="13" t="s">
        <v>447</v>
      </c>
      <c r="F109" s="13" t="s">
        <v>455</v>
      </c>
      <c r="G109" s="13" t="s">
        <v>456</v>
      </c>
      <c r="H109" s="13" t="s">
        <v>405</v>
      </c>
      <c r="I109" s="13" t="s">
        <v>16</v>
      </c>
      <c r="J109" s="13"/>
      <c r="K109" s="13" t="s">
        <v>2</v>
      </c>
      <c r="L109" s="13" t="s">
        <v>7</v>
      </c>
      <c r="M109" s="13" t="s">
        <v>11</v>
      </c>
      <c r="N109" s="13" t="s">
        <v>450</v>
      </c>
      <c r="O109" s="13" t="s">
        <v>412</v>
      </c>
    </row>
    <row r="110" spans="1:15" ht="28.5">
      <c r="A110" s="12">
        <v>106</v>
      </c>
      <c r="B110" s="12" t="s">
        <v>457</v>
      </c>
      <c r="C110" s="13" t="s">
        <v>384</v>
      </c>
      <c r="D110" s="13" t="s">
        <v>446</v>
      </c>
      <c r="E110" s="13" t="s">
        <v>447</v>
      </c>
      <c r="F110" s="13" t="s">
        <v>458</v>
      </c>
      <c r="G110" s="13" t="s">
        <v>459</v>
      </c>
      <c r="H110" s="13" t="s">
        <v>405</v>
      </c>
      <c r="I110" s="13" t="s">
        <v>16</v>
      </c>
      <c r="J110" s="13"/>
      <c r="K110" s="13" t="s">
        <v>2</v>
      </c>
      <c r="L110" s="13" t="s">
        <v>7</v>
      </c>
      <c r="M110" s="13" t="s">
        <v>11</v>
      </c>
      <c r="N110" s="13" t="s">
        <v>450</v>
      </c>
      <c r="O110" s="13" t="s">
        <v>80</v>
      </c>
    </row>
    <row r="111" spans="1:15" ht="42.75">
      <c r="A111" s="12">
        <v>107</v>
      </c>
      <c r="B111" s="12" t="s">
        <v>460</v>
      </c>
      <c r="C111" s="13" t="s">
        <v>384</v>
      </c>
      <c r="D111" s="13" t="s">
        <v>446</v>
      </c>
      <c r="E111" s="13" t="s">
        <v>447</v>
      </c>
      <c r="F111" s="13" t="s">
        <v>461</v>
      </c>
      <c r="G111" s="13" t="s">
        <v>462</v>
      </c>
      <c r="H111" s="13" t="s">
        <v>405</v>
      </c>
      <c r="I111" s="13" t="s">
        <v>16</v>
      </c>
      <c r="J111" s="13"/>
      <c r="K111" s="13" t="s">
        <v>2</v>
      </c>
      <c r="L111" s="13" t="s">
        <v>7</v>
      </c>
      <c r="M111" s="13" t="s">
        <v>11</v>
      </c>
      <c r="N111" s="13" t="s">
        <v>450</v>
      </c>
      <c r="O111" s="13" t="s">
        <v>84</v>
      </c>
    </row>
    <row r="112" spans="1:15" ht="28.5">
      <c r="A112" s="12">
        <v>108</v>
      </c>
      <c r="B112" s="12" t="s">
        <v>463</v>
      </c>
      <c r="C112" s="13" t="s">
        <v>384</v>
      </c>
      <c r="D112" s="13" t="s">
        <v>446</v>
      </c>
      <c r="E112" s="13" t="s">
        <v>447</v>
      </c>
      <c r="F112" s="13" t="s">
        <v>464</v>
      </c>
      <c r="G112" s="13" t="s">
        <v>465</v>
      </c>
      <c r="H112" s="13" t="s">
        <v>405</v>
      </c>
      <c r="I112" s="13" t="s">
        <v>88</v>
      </c>
      <c r="J112" s="13"/>
      <c r="K112" s="13" t="s">
        <v>2</v>
      </c>
      <c r="L112" s="13" t="s">
        <v>7</v>
      </c>
      <c r="M112" s="13" t="s">
        <v>11</v>
      </c>
      <c r="N112" s="13" t="s">
        <v>450</v>
      </c>
      <c r="O112" s="13" t="s">
        <v>89</v>
      </c>
    </row>
    <row r="113" spans="1:15" ht="28.5">
      <c r="A113" s="12">
        <v>109</v>
      </c>
      <c r="B113" s="12" t="s">
        <v>466</v>
      </c>
      <c r="C113" s="13" t="s">
        <v>384</v>
      </c>
      <c r="D113" s="13" t="s">
        <v>446</v>
      </c>
      <c r="E113" s="13" t="s">
        <v>447</v>
      </c>
      <c r="F113" s="13" t="s">
        <v>467</v>
      </c>
      <c r="G113" s="13" t="s">
        <v>468</v>
      </c>
      <c r="H113" s="13" t="s">
        <v>405</v>
      </c>
      <c r="I113" s="13" t="s">
        <v>93</v>
      </c>
      <c r="J113" s="13" t="s">
        <v>24</v>
      </c>
      <c r="K113" s="13"/>
      <c r="L113" s="13" t="s">
        <v>1</v>
      </c>
      <c r="M113" s="13" t="s">
        <v>7</v>
      </c>
      <c r="N113" s="13" t="s">
        <v>11</v>
      </c>
      <c r="O113" s="13" t="s">
        <v>450</v>
      </c>
    </row>
    <row r="114" spans="1:15" ht="28.5">
      <c r="A114" s="12">
        <v>110</v>
      </c>
      <c r="B114" s="12" t="s">
        <v>469</v>
      </c>
      <c r="C114" s="13" t="s">
        <v>384</v>
      </c>
      <c r="D114" s="13" t="s">
        <v>446</v>
      </c>
      <c r="E114" s="13" t="s">
        <v>470</v>
      </c>
      <c r="F114" s="13" t="s">
        <v>471</v>
      </c>
      <c r="G114" s="13" t="s">
        <v>472</v>
      </c>
      <c r="H114" s="13" t="s">
        <v>405</v>
      </c>
      <c r="I114" s="13" t="s">
        <v>19</v>
      </c>
      <c r="J114" s="13"/>
      <c r="K114" s="13" t="s">
        <v>2</v>
      </c>
      <c r="L114" s="13" t="s">
        <v>7</v>
      </c>
      <c r="M114" s="13" t="s">
        <v>11</v>
      </c>
      <c r="N114" s="13" t="s">
        <v>30</v>
      </c>
      <c r="O114" s="13"/>
    </row>
    <row r="115" spans="1:15" ht="28.5">
      <c r="A115" s="12">
        <v>111</v>
      </c>
      <c r="B115" s="12" t="s">
        <v>473</v>
      </c>
      <c r="C115" s="13" t="s">
        <v>384</v>
      </c>
      <c r="D115" s="13" t="s">
        <v>446</v>
      </c>
      <c r="E115" s="13" t="s">
        <v>474</v>
      </c>
      <c r="F115" s="13" t="s">
        <v>475</v>
      </c>
      <c r="G115" s="13" t="s">
        <v>476</v>
      </c>
      <c r="H115" s="13" t="s">
        <v>206</v>
      </c>
      <c r="I115" s="13" t="s">
        <v>18</v>
      </c>
      <c r="J115" s="13" t="s">
        <v>197</v>
      </c>
      <c r="K115" s="13" t="s">
        <v>2</v>
      </c>
      <c r="L115" s="13" t="s">
        <v>7</v>
      </c>
      <c r="M115" s="13" t="s">
        <v>11</v>
      </c>
      <c r="N115" s="13" t="s">
        <v>30</v>
      </c>
      <c r="O115" s="13"/>
    </row>
    <row r="116" spans="1:15" ht="28.5">
      <c r="A116" s="12">
        <v>112</v>
      </c>
      <c r="B116" s="12" t="s">
        <v>477</v>
      </c>
      <c r="C116" s="13" t="s">
        <v>384</v>
      </c>
      <c r="D116" s="13" t="s">
        <v>478</v>
      </c>
      <c r="E116" s="13" t="s">
        <v>479</v>
      </c>
      <c r="F116" s="13" t="s">
        <v>480</v>
      </c>
      <c r="G116" s="13" t="s">
        <v>481</v>
      </c>
      <c r="H116" s="13" t="s">
        <v>206</v>
      </c>
      <c r="I116" s="13" t="s">
        <v>18</v>
      </c>
      <c r="J116" s="13"/>
      <c r="K116" s="13" t="s">
        <v>1</v>
      </c>
      <c r="L116" s="13" t="s">
        <v>6</v>
      </c>
      <c r="M116" s="13" t="s">
        <v>11</v>
      </c>
      <c r="N116" s="13" t="s">
        <v>30</v>
      </c>
      <c r="O116" s="13"/>
    </row>
    <row r="117" spans="1:15" ht="28.5">
      <c r="A117" s="12">
        <v>113</v>
      </c>
      <c r="B117" s="12" t="s">
        <v>482</v>
      </c>
      <c r="C117" s="13" t="s">
        <v>384</v>
      </c>
      <c r="D117" s="13" t="s">
        <v>478</v>
      </c>
      <c r="E117" s="13" t="s">
        <v>479</v>
      </c>
      <c r="F117" s="13" t="s">
        <v>483</v>
      </c>
      <c r="G117" s="13" t="s">
        <v>484</v>
      </c>
      <c r="H117" s="13" t="s">
        <v>206</v>
      </c>
      <c r="I117" s="13" t="s">
        <v>18</v>
      </c>
      <c r="J117" s="13"/>
      <c r="K117" s="13" t="s">
        <v>1</v>
      </c>
      <c r="L117" s="13" t="s">
        <v>6</v>
      </c>
      <c r="M117" s="13" t="s">
        <v>11</v>
      </c>
      <c r="N117" s="13" t="s">
        <v>30</v>
      </c>
      <c r="O117" s="13"/>
    </row>
    <row r="118" spans="1:15" ht="28.5">
      <c r="A118" s="12">
        <v>114</v>
      </c>
      <c r="B118" s="12" t="s">
        <v>485</v>
      </c>
      <c r="C118" s="13" t="s">
        <v>384</v>
      </c>
      <c r="D118" s="13" t="s">
        <v>478</v>
      </c>
      <c r="E118" s="13" t="s">
        <v>486</v>
      </c>
      <c r="F118" s="13" t="s">
        <v>487</v>
      </c>
      <c r="G118" s="13" t="s">
        <v>488</v>
      </c>
      <c r="H118" s="13" t="s">
        <v>489</v>
      </c>
      <c r="I118" s="13" t="s">
        <v>23</v>
      </c>
      <c r="J118" s="13"/>
      <c r="K118" s="13" t="s">
        <v>1</v>
      </c>
      <c r="L118" s="13" t="s">
        <v>6</v>
      </c>
      <c r="M118" s="13" t="s">
        <v>11</v>
      </c>
      <c r="N118" s="13" t="s">
        <v>30</v>
      </c>
      <c r="O118" s="13"/>
    </row>
    <row r="119" spans="1:15" ht="28.5">
      <c r="A119" s="12">
        <v>115</v>
      </c>
      <c r="B119" s="12" t="s">
        <v>490</v>
      </c>
      <c r="C119" s="13" t="s">
        <v>384</v>
      </c>
      <c r="D119" s="13" t="s">
        <v>478</v>
      </c>
      <c r="E119" s="13" t="s">
        <v>491</v>
      </c>
      <c r="F119" s="13" t="s">
        <v>492</v>
      </c>
      <c r="G119" s="13" t="s">
        <v>493</v>
      </c>
      <c r="H119" s="13" t="s">
        <v>494</v>
      </c>
      <c r="I119" s="13" t="s">
        <v>20</v>
      </c>
      <c r="J119" s="13" t="s">
        <v>197</v>
      </c>
      <c r="K119" s="13" t="s">
        <v>2</v>
      </c>
      <c r="L119" s="13" t="s">
        <v>7</v>
      </c>
      <c r="M119" s="13" t="s">
        <v>12</v>
      </c>
      <c r="N119" s="13" t="s">
        <v>495</v>
      </c>
      <c r="O119" s="13"/>
    </row>
    <row r="120" spans="1:15" ht="28.5">
      <c r="A120" s="12">
        <v>116</v>
      </c>
      <c r="B120" s="12" t="s">
        <v>496</v>
      </c>
      <c r="C120" s="13" t="s">
        <v>497</v>
      </c>
      <c r="D120" s="13" t="s">
        <v>498</v>
      </c>
      <c r="E120" s="13" t="s">
        <v>499</v>
      </c>
      <c r="F120" s="13" t="s">
        <v>500</v>
      </c>
      <c r="G120" s="13" t="s">
        <v>501</v>
      </c>
      <c r="H120" s="13" t="s">
        <v>502</v>
      </c>
      <c r="I120" s="13" t="s">
        <v>16</v>
      </c>
      <c r="J120" s="13" t="s">
        <v>503</v>
      </c>
      <c r="K120" s="13" t="s">
        <v>1</v>
      </c>
      <c r="L120" s="13" t="s">
        <v>7</v>
      </c>
      <c r="M120" s="13" t="s">
        <v>11</v>
      </c>
      <c r="N120" s="13" t="s">
        <v>504</v>
      </c>
      <c r="O120" s="13" t="s">
        <v>72</v>
      </c>
    </row>
    <row r="121" spans="1:15" ht="28.5">
      <c r="A121" s="12">
        <v>117</v>
      </c>
      <c r="B121" s="12" t="s">
        <v>505</v>
      </c>
      <c r="C121" s="13" t="s">
        <v>497</v>
      </c>
      <c r="D121" s="13" t="s">
        <v>498</v>
      </c>
      <c r="E121" s="13" t="s">
        <v>499</v>
      </c>
      <c r="F121" s="13" t="s">
        <v>506</v>
      </c>
      <c r="G121" s="13" t="s">
        <v>507</v>
      </c>
      <c r="H121" s="13" t="s">
        <v>502</v>
      </c>
      <c r="I121" s="13" t="s">
        <v>16</v>
      </c>
      <c r="J121" s="13" t="s">
        <v>503</v>
      </c>
      <c r="K121" s="13" t="s">
        <v>1</v>
      </c>
      <c r="L121" s="13" t="s">
        <v>7</v>
      </c>
      <c r="M121" s="13" t="s">
        <v>11</v>
      </c>
      <c r="N121" s="13" t="s">
        <v>504</v>
      </c>
      <c r="O121" s="13" t="s">
        <v>76</v>
      </c>
    </row>
    <row r="122" spans="1:15" ht="28.5">
      <c r="A122" s="12">
        <v>118</v>
      </c>
      <c r="B122" s="12" t="s">
        <v>508</v>
      </c>
      <c r="C122" s="13" t="s">
        <v>497</v>
      </c>
      <c r="D122" s="13" t="s">
        <v>498</v>
      </c>
      <c r="E122" s="13" t="s">
        <v>499</v>
      </c>
      <c r="F122" s="13" t="s">
        <v>509</v>
      </c>
      <c r="G122" s="13" t="s">
        <v>510</v>
      </c>
      <c r="H122" s="13" t="s">
        <v>502</v>
      </c>
      <c r="I122" s="13" t="s">
        <v>16</v>
      </c>
      <c r="J122" s="13" t="s">
        <v>503</v>
      </c>
      <c r="K122" s="13" t="s">
        <v>1</v>
      </c>
      <c r="L122" s="13" t="s">
        <v>7</v>
      </c>
      <c r="M122" s="13" t="s">
        <v>11</v>
      </c>
      <c r="N122" s="13" t="s">
        <v>504</v>
      </c>
      <c r="O122" s="13" t="s">
        <v>80</v>
      </c>
    </row>
    <row r="123" spans="1:15" ht="42.75">
      <c r="A123" s="12">
        <v>119</v>
      </c>
      <c r="B123" s="12" t="s">
        <v>511</v>
      </c>
      <c r="C123" s="13" t="s">
        <v>497</v>
      </c>
      <c r="D123" s="13" t="s">
        <v>498</v>
      </c>
      <c r="E123" s="13" t="s">
        <v>499</v>
      </c>
      <c r="F123" s="13" t="s">
        <v>512</v>
      </c>
      <c r="G123" s="13" t="s">
        <v>513</v>
      </c>
      <c r="H123" s="13" t="s">
        <v>502</v>
      </c>
      <c r="I123" s="13" t="s">
        <v>16</v>
      </c>
      <c r="J123" s="13" t="s">
        <v>503</v>
      </c>
      <c r="K123" s="13" t="s">
        <v>1</v>
      </c>
      <c r="L123" s="13" t="s">
        <v>7</v>
      </c>
      <c r="M123" s="13" t="s">
        <v>11</v>
      </c>
      <c r="N123" s="13" t="s">
        <v>504</v>
      </c>
      <c r="O123" s="13" t="s">
        <v>84</v>
      </c>
    </row>
    <row r="124" spans="1:15" ht="28.5">
      <c r="A124" s="12">
        <v>120</v>
      </c>
      <c r="B124" s="12" t="s">
        <v>514</v>
      </c>
      <c r="C124" s="13" t="s">
        <v>497</v>
      </c>
      <c r="D124" s="13" t="s">
        <v>498</v>
      </c>
      <c r="E124" s="13" t="s">
        <v>499</v>
      </c>
      <c r="F124" s="13" t="s">
        <v>515</v>
      </c>
      <c r="G124" s="13" t="s">
        <v>516</v>
      </c>
      <c r="H124" s="13" t="s">
        <v>502</v>
      </c>
      <c r="I124" s="13" t="s">
        <v>88</v>
      </c>
      <c r="J124" s="13" t="s">
        <v>503</v>
      </c>
      <c r="K124" s="13" t="s">
        <v>2</v>
      </c>
      <c r="L124" s="13" t="s">
        <v>7</v>
      </c>
      <c r="M124" s="13" t="s">
        <v>11</v>
      </c>
      <c r="N124" s="13" t="s">
        <v>504</v>
      </c>
      <c r="O124" s="13" t="s">
        <v>89</v>
      </c>
    </row>
    <row r="125" spans="1:15" ht="28.5">
      <c r="A125" s="12">
        <v>121</v>
      </c>
      <c r="B125" s="12" t="s">
        <v>517</v>
      </c>
      <c r="C125" s="13" t="s">
        <v>497</v>
      </c>
      <c r="D125" s="13" t="s">
        <v>498</v>
      </c>
      <c r="E125" s="13" t="s">
        <v>499</v>
      </c>
      <c r="F125" s="13" t="s">
        <v>518</v>
      </c>
      <c r="G125" s="13" t="s">
        <v>519</v>
      </c>
      <c r="H125" s="13" t="s">
        <v>502</v>
      </c>
      <c r="I125" s="13" t="s">
        <v>93</v>
      </c>
      <c r="J125" s="13" t="s">
        <v>24</v>
      </c>
      <c r="K125" s="13" t="s">
        <v>503</v>
      </c>
      <c r="L125" s="13" t="s">
        <v>1</v>
      </c>
      <c r="M125" s="13" t="s">
        <v>7</v>
      </c>
      <c r="N125" s="13" t="s">
        <v>11</v>
      </c>
      <c r="O125" s="13" t="s">
        <v>504</v>
      </c>
    </row>
    <row r="126" spans="1:15" ht="28.5">
      <c r="A126" s="12">
        <v>122</v>
      </c>
      <c r="B126" s="12" t="s">
        <v>520</v>
      </c>
      <c r="C126" s="13" t="s">
        <v>497</v>
      </c>
      <c r="D126" s="13" t="s">
        <v>498</v>
      </c>
      <c r="E126" s="13" t="s">
        <v>521</v>
      </c>
      <c r="F126" s="13" t="s">
        <v>522</v>
      </c>
      <c r="G126" s="13" t="s">
        <v>523</v>
      </c>
      <c r="H126" s="13" t="s">
        <v>502</v>
      </c>
      <c r="I126" s="13" t="s">
        <v>16</v>
      </c>
      <c r="J126" s="13" t="s">
        <v>503</v>
      </c>
      <c r="K126" s="13" t="s">
        <v>1</v>
      </c>
      <c r="L126" s="13" t="s">
        <v>7</v>
      </c>
      <c r="M126" s="13" t="s">
        <v>11</v>
      </c>
      <c r="N126" s="13" t="s">
        <v>30</v>
      </c>
      <c r="O126" s="13"/>
    </row>
    <row r="127" spans="1:15" ht="28.5">
      <c r="A127" s="12">
        <v>123</v>
      </c>
      <c r="B127" s="12" t="s">
        <v>524</v>
      </c>
      <c r="C127" s="13" t="s">
        <v>497</v>
      </c>
      <c r="D127" s="13" t="s">
        <v>498</v>
      </c>
      <c r="E127" s="13" t="s">
        <v>525</v>
      </c>
      <c r="F127" s="13" t="s">
        <v>526</v>
      </c>
      <c r="G127" s="13" t="s">
        <v>527</v>
      </c>
      <c r="H127" s="13" t="s">
        <v>528</v>
      </c>
      <c r="I127" s="13" t="s">
        <v>16</v>
      </c>
      <c r="J127" s="13" t="s">
        <v>503</v>
      </c>
      <c r="K127" s="13" t="s">
        <v>1</v>
      </c>
      <c r="L127" s="13" t="s">
        <v>7</v>
      </c>
      <c r="M127" s="13" t="s">
        <v>11</v>
      </c>
      <c r="N127" s="13" t="s">
        <v>30</v>
      </c>
      <c r="O127" s="13"/>
    </row>
    <row r="128" spans="1:15" ht="28.5">
      <c r="A128" s="12">
        <v>124</v>
      </c>
      <c r="B128" s="12" t="s">
        <v>529</v>
      </c>
      <c r="C128" s="13" t="s">
        <v>497</v>
      </c>
      <c r="D128" s="13" t="s">
        <v>530</v>
      </c>
      <c r="E128" s="13" t="s">
        <v>531</v>
      </c>
      <c r="F128" s="13" t="s">
        <v>532</v>
      </c>
      <c r="G128" s="13" t="s">
        <v>533</v>
      </c>
      <c r="H128" s="13" t="s">
        <v>534</v>
      </c>
      <c r="I128" s="13" t="s">
        <v>16</v>
      </c>
      <c r="J128" s="13" t="s">
        <v>503</v>
      </c>
      <c r="K128" s="13" t="s">
        <v>1</v>
      </c>
      <c r="L128" s="13" t="s">
        <v>7</v>
      </c>
      <c r="M128" s="13" t="s">
        <v>11</v>
      </c>
      <c r="N128" s="13" t="s">
        <v>30</v>
      </c>
      <c r="O128" s="13"/>
    </row>
    <row r="129" spans="1:15" ht="28.5">
      <c r="A129" s="12">
        <v>125</v>
      </c>
      <c r="B129" s="12" t="s">
        <v>535</v>
      </c>
      <c r="C129" s="13" t="s">
        <v>497</v>
      </c>
      <c r="D129" s="13" t="s">
        <v>530</v>
      </c>
      <c r="E129" s="13" t="s">
        <v>536</v>
      </c>
      <c r="F129" s="13" t="s">
        <v>537</v>
      </c>
      <c r="G129" s="13" t="s">
        <v>538</v>
      </c>
      <c r="H129" s="13" t="s">
        <v>539</v>
      </c>
      <c r="I129" s="13" t="s">
        <v>16</v>
      </c>
      <c r="J129" s="13" t="s">
        <v>503</v>
      </c>
      <c r="K129" s="13" t="s">
        <v>1</v>
      </c>
      <c r="L129" s="13" t="s">
        <v>7</v>
      </c>
      <c r="M129" s="13" t="s">
        <v>11</v>
      </c>
      <c r="N129" s="13" t="s">
        <v>30</v>
      </c>
      <c r="O129" s="13"/>
    </row>
    <row r="130" spans="1:15" ht="28.5">
      <c r="A130" s="12">
        <v>126</v>
      </c>
      <c r="B130" s="12" t="s">
        <v>540</v>
      </c>
      <c r="C130" s="13" t="s">
        <v>497</v>
      </c>
      <c r="D130" s="13" t="s">
        <v>530</v>
      </c>
      <c r="E130" s="13" t="s">
        <v>541</v>
      </c>
      <c r="F130" s="13" t="s">
        <v>542</v>
      </c>
      <c r="G130" s="13" t="s">
        <v>543</v>
      </c>
      <c r="H130" s="13" t="s">
        <v>544</v>
      </c>
      <c r="I130" s="13" t="s">
        <v>16</v>
      </c>
      <c r="J130" s="13" t="s">
        <v>503</v>
      </c>
      <c r="K130" s="13" t="s">
        <v>1</v>
      </c>
      <c r="L130" s="13" t="s">
        <v>7</v>
      </c>
      <c r="M130" s="13" t="s">
        <v>11</v>
      </c>
      <c r="N130" s="13" t="s">
        <v>30</v>
      </c>
      <c r="O130" s="13"/>
    </row>
    <row r="131" spans="1:15" ht="28.5">
      <c r="A131" s="12">
        <v>127</v>
      </c>
      <c r="B131" s="12" t="s">
        <v>545</v>
      </c>
      <c r="C131" s="13" t="s">
        <v>497</v>
      </c>
      <c r="D131" s="13" t="s">
        <v>530</v>
      </c>
      <c r="E131" s="13" t="s">
        <v>546</v>
      </c>
      <c r="F131" s="13" t="s">
        <v>547</v>
      </c>
      <c r="G131" s="13" t="s">
        <v>548</v>
      </c>
      <c r="H131" s="13" t="s">
        <v>196</v>
      </c>
      <c r="I131" s="13" t="s">
        <v>16</v>
      </c>
      <c r="J131" s="13"/>
      <c r="K131" s="13" t="s">
        <v>2</v>
      </c>
      <c r="L131" s="13" t="s">
        <v>7</v>
      </c>
      <c r="M131" s="13" t="s">
        <v>11</v>
      </c>
      <c r="N131" s="13" t="s">
        <v>30</v>
      </c>
      <c r="O131" s="13"/>
    </row>
    <row r="132" spans="1:15" ht="28.5">
      <c r="A132" s="12">
        <v>128</v>
      </c>
      <c r="B132" s="12" t="s">
        <v>549</v>
      </c>
      <c r="C132" s="13" t="s">
        <v>550</v>
      </c>
      <c r="D132" s="13" t="s">
        <v>551</v>
      </c>
      <c r="E132" s="13" t="s">
        <v>552</v>
      </c>
      <c r="F132" s="13" t="s">
        <v>553</v>
      </c>
      <c r="G132" s="13" t="s">
        <v>554</v>
      </c>
      <c r="H132" s="13" t="s">
        <v>266</v>
      </c>
      <c r="I132" s="13" t="s">
        <v>16</v>
      </c>
      <c r="J132" s="13" t="s">
        <v>555</v>
      </c>
      <c r="K132" s="13" t="s">
        <v>1</v>
      </c>
      <c r="L132" s="13" t="s">
        <v>7</v>
      </c>
      <c r="M132" s="13" t="s">
        <v>11</v>
      </c>
      <c r="N132" s="13" t="s">
        <v>30</v>
      </c>
      <c r="O132" s="13"/>
    </row>
    <row r="133" spans="1:15" ht="28.5">
      <c r="A133" s="12">
        <v>129</v>
      </c>
      <c r="B133" s="12" t="s">
        <v>556</v>
      </c>
      <c r="C133" s="13" t="s">
        <v>550</v>
      </c>
      <c r="D133" s="13" t="s">
        <v>551</v>
      </c>
      <c r="E133" s="13" t="s">
        <v>557</v>
      </c>
      <c r="F133" s="13" t="s">
        <v>558</v>
      </c>
      <c r="G133" s="13" t="s">
        <v>559</v>
      </c>
      <c r="H133" s="13" t="s">
        <v>560</v>
      </c>
      <c r="I133" s="13" t="s">
        <v>16</v>
      </c>
      <c r="J133" s="13" t="s">
        <v>555</v>
      </c>
      <c r="K133" s="13" t="s">
        <v>1</v>
      </c>
      <c r="L133" s="13" t="s">
        <v>7</v>
      </c>
      <c r="M133" s="13" t="s">
        <v>11</v>
      </c>
      <c r="N133" s="13" t="s">
        <v>30</v>
      </c>
      <c r="O133" s="13"/>
    </row>
    <row r="134" spans="1:15" ht="28.5">
      <c r="A134" s="12">
        <v>130</v>
      </c>
      <c r="B134" s="12" t="s">
        <v>561</v>
      </c>
      <c r="C134" s="13" t="s">
        <v>550</v>
      </c>
      <c r="D134" s="13" t="s">
        <v>551</v>
      </c>
      <c r="E134" s="13" t="s">
        <v>562</v>
      </c>
      <c r="F134" s="13" t="s">
        <v>563</v>
      </c>
      <c r="G134" s="13" t="s">
        <v>564</v>
      </c>
      <c r="H134" s="13" t="s">
        <v>565</v>
      </c>
      <c r="I134" s="13" t="s">
        <v>21</v>
      </c>
      <c r="J134" s="13" t="s">
        <v>555</v>
      </c>
      <c r="K134" s="13" t="s">
        <v>2</v>
      </c>
      <c r="L134" s="13" t="s">
        <v>7</v>
      </c>
      <c r="M134" s="13" t="s">
        <v>11</v>
      </c>
      <c r="N134" s="13" t="s">
        <v>30</v>
      </c>
      <c r="O134" s="13"/>
    </row>
    <row r="135" spans="1:15" ht="28.5">
      <c r="A135" s="12">
        <v>131</v>
      </c>
      <c r="B135" s="12" t="s">
        <v>566</v>
      </c>
      <c r="C135" s="13" t="s">
        <v>550</v>
      </c>
      <c r="D135" s="13" t="s">
        <v>567</v>
      </c>
      <c r="E135" s="13" t="s">
        <v>521</v>
      </c>
      <c r="F135" s="13" t="s">
        <v>568</v>
      </c>
      <c r="G135" s="13" t="s">
        <v>569</v>
      </c>
      <c r="H135" s="13" t="s">
        <v>266</v>
      </c>
      <c r="I135" s="13" t="s">
        <v>16</v>
      </c>
      <c r="J135" s="13" t="s">
        <v>555</v>
      </c>
      <c r="K135" s="13" t="s">
        <v>1</v>
      </c>
      <c r="L135" s="13" t="s">
        <v>7</v>
      </c>
      <c r="M135" s="13" t="s">
        <v>11</v>
      </c>
      <c r="N135" s="13" t="s">
        <v>30</v>
      </c>
      <c r="O135" s="13"/>
    </row>
    <row r="136" spans="1:15" ht="28.5">
      <c r="A136" s="12">
        <v>132</v>
      </c>
      <c r="B136" s="12" t="s">
        <v>570</v>
      </c>
      <c r="C136" s="13" t="s">
        <v>550</v>
      </c>
      <c r="D136" s="13" t="s">
        <v>567</v>
      </c>
      <c r="E136" s="13" t="s">
        <v>571</v>
      </c>
      <c r="F136" s="13" t="s">
        <v>572</v>
      </c>
      <c r="G136" s="13" t="s">
        <v>573</v>
      </c>
      <c r="H136" s="13" t="s">
        <v>574</v>
      </c>
      <c r="I136" s="13" t="s">
        <v>16</v>
      </c>
      <c r="J136" s="13" t="s">
        <v>555</v>
      </c>
      <c r="K136" s="13" t="s">
        <v>3</v>
      </c>
      <c r="L136" s="13" t="s">
        <v>8</v>
      </c>
      <c r="M136" s="13" t="s">
        <v>12</v>
      </c>
      <c r="N136" s="13" t="s">
        <v>30</v>
      </c>
      <c r="O136" s="13"/>
    </row>
    <row r="137" spans="1:15" ht="28.5">
      <c r="A137" s="12">
        <v>133</v>
      </c>
      <c r="B137" s="12" t="s">
        <v>575</v>
      </c>
      <c r="C137" s="13" t="s">
        <v>550</v>
      </c>
      <c r="D137" s="13" t="s">
        <v>576</v>
      </c>
      <c r="E137" s="13" t="s">
        <v>577</v>
      </c>
      <c r="F137" s="13" t="s">
        <v>578</v>
      </c>
      <c r="G137" s="13" t="s">
        <v>579</v>
      </c>
      <c r="H137" s="13" t="s">
        <v>295</v>
      </c>
      <c r="I137" s="13" t="s">
        <v>16</v>
      </c>
      <c r="J137" s="13" t="s">
        <v>555</v>
      </c>
      <c r="K137" s="13" t="s">
        <v>1</v>
      </c>
      <c r="L137" s="13" t="s">
        <v>7</v>
      </c>
      <c r="M137" s="13" t="s">
        <v>11</v>
      </c>
      <c r="N137" s="13" t="s">
        <v>30</v>
      </c>
      <c r="O137" s="13"/>
    </row>
    <row r="138" spans="1:15" ht="28.5">
      <c r="A138" s="12">
        <v>134</v>
      </c>
      <c r="B138" s="12" t="s">
        <v>580</v>
      </c>
      <c r="C138" s="13" t="s">
        <v>550</v>
      </c>
      <c r="D138" s="13" t="s">
        <v>576</v>
      </c>
      <c r="E138" s="13" t="s">
        <v>581</v>
      </c>
      <c r="F138" s="13" t="s">
        <v>582</v>
      </c>
      <c r="G138" s="13" t="s">
        <v>583</v>
      </c>
      <c r="H138" s="13" t="s">
        <v>584</v>
      </c>
      <c r="I138" s="13" t="s">
        <v>20</v>
      </c>
      <c r="J138" s="13" t="s">
        <v>555</v>
      </c>
      <c r="K138" s="13" t="s">
        <v>1</v>
      </c>
      <c r="L138" s="13" t="s">
        <v>7</v>
      </c>
      <c r="M138" s="13" t="s">
        <v>11</v>
      </c>
      <c r="N138" s="13" t="s">
        <v>30</v>
      </c>
      <c r="O138" s="13"/>
    </row>
    <row r="139" spans="1:15" ht="28.5">
      <c r="A139" s="12">
        <v>135</v>
      </c>
      <c r="B139" s="12" t="s">
        <v>585</v>
      </c>
      <c r="C139" s="13" t="s">
        <v>550</v>
      </c>
      <c r="D139" s="13" t="s">
        <v>586</v>
      </c>
      <c r="E139" s="13" t="s">
        <v>587</v>
      </c>
      <c r="F139" s="13" t="s">
        <v>588</v>
      </c>
      <c r="G139" s="13" t="s">
        <v>589</v>
      </c>
      <c r="H139" s="13" t="s">
        <v>590</v>
      </c>
      <c r="I139" s="13" t="s">
        <v>16</v>
      </c>
      <c r="J139" s="13" t="s">
        <v>555</v>
      </c>
      <c r="K139" s="13" t="s">
        <v>2</v>
      </c>
      <c r="L139" s="13" t="s">
        <v>7</v>
      </c>
      <c r="M139" s="13" t="s">
        <v>11</v>
      </c>
      <c r="N139" s="13" t="s">
        <v>30</v>
      </c>
      <c r="O139" s="13"/>
    </row>
    <row r="140" spans="1:15" ht="28.5">
      <c r="A140" s="12">
        <v>136</v>
      </c>
      <c r="B140" s="12" t="s">
        <v>591</v>
      </c>
      <c r="C140" s="13" t="s">
        <v>550</v>
      </c>
      <c r="D140" s="13" t="s">
        <v>592</v>
      </c>
      <c r="E140" s="13" t="s">
        <v>593</v>
      </c>
      <c r="F140" s="13" t="s">
        <v>594</v>
      </c>
      <c r="G140" s="13" t="s">
        <v>595</v>
      </c>
      <c r="H140" s="13" t="s">
        <v>596</v>
      </c>
      <c r="I140" s="13" t="s">
        <v>20</v>
      </c>
      <c r="J140" s="13" t="s">
        <v>555</v>
      </c>
      <c r="K140" s="13" t="s">
        <v>2</v>
      </c>
      <c r="L140" s="13" t="s">
        <v>7</v>
      </c>
      <c r="M140" s="13" t="s">
        <v>11</v>
      </c>
      <c r="N140" s="13" t="s">
        <v>30</v>
      </c>
      <c r="O140" s="13"/>
    </row>
    <row r="141" spans="1:15" ht="42.75">
      <c r="A141" s="12">
        <v>137</v>
      </c>
      <c r="B141" s="12" t="s">
        <v>597</v>
      </c>
      <c r="C141" s="13" t="s">
        <v>550</v>
      </c>
      <c r="D141" s="13" t="s">
        <v>598</v>
      </c>
      <c r="E141" s="13" t="s">
        <v>599</v>
      </c>
      <c r="F141" s="13" t="s">
        <v>600</v>
      </c>
      <c r="G141" s="13" t="s">
        <v>601</v>
      </c>
      <c r="H141" s="13" t="s">
        <v>266</v>
      </c>
      <c r="I141" s="13" t="s">
        <v>16</v>
      </c>
      <c r="J141" s="13" t="s">
        <v>602</v>
      </c>
      <c r="K141" s="13" t="s">
        <v>1</v>
      </c>
      <c r="L141" s="13" t="s">
        <v>7</v>
      </c>
      <c r="M141" s="13" t="s">
        <v>11</v>
      </c>
      <c r="N141" s="13" t="s">
        <v>29</v>
      </c>
      <c r="O141" s="13" t="s">
        <v>72</v>
      </c>
    </row>
    <row r="142" spans="1:15" ht="28.5">
      <c r="A142" s="12">
        <v>138</v>
      </c>
      <c r="B142" s="12" t="s">
        <v>603</v>
      </c>
      <c r="C142" s="13" t="s">
        <v>550</v>
      </c>
      <c r="D142" s="13" t="s">
        <v>598</v>
      </c>
      <c r="E142" s="13" t="s">
        <v>599</v>
      </c>
      <c r="F142" s="13" t="s">
        <v>604</v>
      </c>
      <c r="G142" s="13" t="s">
        <v>605</v>
      </c>
      <c r="H142" s="13" t="s">
        <v>266</v>
      </c>
      <c r="I142" s="13" t="s">
        <v>16</v>
      </c>
      <c r="J142" s="13" t="s">
        <v>602</v>
      </c>
      <c r="K142" s="13" t="s">
        <v>1</v>
      </c>
      <c r="L142" s="13" t="s">
        <v>7</v>
      </c>
      <c r="M142" s="13" t="s">
        <v>11</v>
      </c>
      <c r="N142" s="13" t="s">
        <v>29</v>
      </c>
      <c r="O142" s="13" t="s">
        <v>76</v>
      </c>
    </row>
    <row r="143" spans="1:15" ht="42.75">
      <c r="A143" s="12">
        <v>139</v>
      </c>
      <c r="B143" s="12" t="s">
        <v>606</v>
      </c>
      <c r="C143" s="13" t="s">
        <v>550</v>
      </c>
      <c r="D143" s="13" t="s">
        <v>598</v>
      </c>
      <c r="E143" s="13" t="s">
        <v>599</v>
      </c>
      <c r="F143" s="13" t="s">
        <v>607</v>
      </c>
      <c r="G143" s="13" t="s">
        <v>608</v>
      </c>
      <c r="H143" s="13" t="s">
        <v>266</v>
      </c>
      <c r="I143" s="13" t="s">
        <v>16</v>
      </c>
      <c r="J143" s="13" t="s">
        <v>602</v>
      </c>
      <c r="K143" s="13" t="s">
        <v>1</v>
      </c>
      <c r="L143" s="13" t="s">
        <v>7</v>
      </c>
      <c r="M143" s="13" t="s">
        <v>11</v>
      </c>
      <c r="N143" s="13" t="s">
        <v>29</v>
      </c>
      <c r="O143" s="13" t="s">
        <v>80</v>
      </c>
    </row>
    <row r="144" spans="1:15" ht="42.75">
      <c r="A144" s="12">
        <v>140</v>
      </c>
      <c r="B144" s="12" t="s">
        <v>609</v>
      </c>
      <c r="C144" s="13" t="s">
        <v>550</v>
      </c>
      <c r="D144" s="13" t="s">
        <v>598</v>
      </c>
      <c r="E144" s="13" t="s">
        <v>599</v>
      </c>
      <c r="F144" s="13" t="s">
        <v>610</v>
      </c>
      <c r="G144" s="13" t="s">
        <v>611</v>
      </c>
      <c r="H144" s="13" t="s">
        <v>266</v>
      </c>
      <c r="I144" s="13" t="s">
        <v>16</v>
      </c>
      <c r="J144" s="13" t="s">
        <v>602</v>
      </c>
      <c r="K144" s="13" t="s">
        <v>1</v>
      </c>
      <c r="L144" s="13" t="s">
        <v>7</v>
      </c>
      <c r="M144" s="13" t="s">
        <v>11</v>
      </c>
      <c r="N144" s="13" t="s">
        <v>29</v>
      </c>
      <c r="O144" s="13" t="s">
        <v>84</v>
      </c>
    </row>
    <row r="145" spans="1:15" ht="28.5">
      <c r="A145" s="12">
        <v>141</v>
      </c>
      <c r="B145" s="12" t="s">
        <v>612</v>
      </c>
      <c r="C145" s="13" t="s">
        <v>550</v>
      </c>
      <c r="D145" s="13" t="s">
        <v>598</v>
      </c>
      <c r="E145" s="13" t="s">
        <v>599</v>
      </c>
      <c r="F145" s="13" t="s">
        <v>613</v>
      </c>
      <c r="G145" s="13" t="s">
        <v>614</v>
      </c>
      <c r="H145" s="13" t="s">
        <v>266</v>
      </c>
      <c r="I145" s="13" t="s">
        <v>88</v>
      </c>
      <c r="J145" s="13" t="s">
        <v>602</v>
      </c>
      <c r="K145" s="13" t="s">
        <v>2</v>
      </c>
      <c r="L145" s="13" t="s">
        <v>7</v>
      </c>
      <c r="M145" s="13" t="s">
        <v>11</v>
      </c>
      <c r="N145" s="13" t="s">
        <v>29</v>
      </c>
      <c r="O145" s="13" t="s">
        <v>89</v>
      </c>
    </row>
    <row r="146" spans="1:15" ht="42.75">
      <c r="A146" s="12">
        <v>142</v>
      </c>
      <c r="B146" s="12" t="s">
        <v>615</v>
      </c>
      <c r="C146" s="13" t="s">
        <v>550</v>
      </c>
      <c r="D146" s="13" t="s">
        <v>598</v>
      </c>
      <c r="E146" s="13" t="s">
        <v>599</v>
      </c>
      <c r="F146" s="13" t="s">
        <v>616</v>
      </c>
      <c r="G146" s="13" t="s">
        <v>617</v>
      </c>
      <c r="H146" s="13" t="s">
        <v>266</v>
      </c>
      <c r="I146" s="13" t="s">
        <v>243</v>
      </c>
      <c r="J146" s="13" t="s">
        <v>17</v>
      </c>
      <c r="K146" s="13" t="s">
        <v>602</v>
      </c>
      <c r="L146" s="13" t="s">
        <v>1</v>
      </c>
      <c r="M146" s="13" t="s">
        <v>7</v>
      </c>
      <c r="N146" s="13" t="s">
        <v>11</v>
      </c>
      <c r="O146" s="13" t="s">
        <v>29</v>
      </c>
    </row>
    <row r="147" spans="1:15" ht="28.5">
      <c r="A147" s="12">
        <v>143</v>
      </c>
      <c r="B147" s="12" t="s">
        <v>618</v>
      </c>
      <c r="C147" s="13" t="s">
        <v>550</v>
      </c>
      <c r="D147" s="13" t="s">
        <v>598</v>
      </c>
      <c r="E147" s="13" t="s">
        <v>599</v>
      </c>
      <c r="F147" s="13" t="s">
        <v>619</v>
      </c>
      <c r="G147" s="13" t="s">
        <v>620</v>
      </c>
      <c r="H147" s="13" t="s">
        <v>266</v>
      </c>
      <c r="I147" s="13" t="s">
        <v>93</v>
      </c>
      <c r="J147" s="13" t="s">
        <v>24</v>
      </c>
      <c r="K147" s="13" t="s">
        <v>602</v>
      </c>
      <c r="L147" s="13" t="s">
        <v>1</v>
      </c>
      <c r="M147" s="13" t="s">
        <v>7</v>
      </c>
      <c r="N147" s="13" t="s">
        <v>11</v>
      </c>
      <c r="O147" s="13" t="s">
        <v>29</v>
      </c>
    </row>
    <row r="148" spans="1:15" ht="28.5">
      <c r="A148" s="12">
        <v>144</v>
      </c>
      <c r="B148" s="12" t="s">
        <v>621</v>
      </c>
      <c r="C148" s="13" t="s">
        <v>550</v>
      </c>
      <c r="D148" s="13" t="s">
        <v>598</v>
      </c>
      <c r="E148" s="13" t="s">
        <v>536</v>
      </c>
      <c r="F148" s="13" t="s">
        <v>622</v>
      </c>
      <c r="G148" s="13" t="s">
        <v>623</v>
      </c>
      <c r="H148" s="13" t="s">
        <v>266</v>
      </c>
      <c r="I148" s="13" t="s">
        <v>21</v>
      </c>
      <c r="J148" s="13" t="s">
        <v>602</v>
      </c>
      <c r="K148" s="13" t="s">
        <v>1</v>
      </c>
      <c r="L148" s="13" t="s">
        <v>7</v>
      </c>
      <c r="M148" s="13" t="s">
        <v>11</v>
      </c>
      <c r="N148" s="13" t="s">
        <v>30</v>
      </c>
      <c r="O148" s="13"/>
    </row>
    <row r="149" spans="1:15" ht="28.5">
      <c r="A149" s="12">
        <v>145</v>
      </c>
      <c r="B149" s="12" t="s">
        <v>624</v>
      </c>
      <c r="C149" s="13" t="s">
        <v>625</v>
      </c>
      <c r="D149" s="13" t="s">
        <v>626</v>
      </c>
      <c r="E149" s="13" t="s">
        <v>627</v>
      </c>
      <c r="F149" s="13" t="s">
        <v>628</v>
      </c>
      <c r="G149" s="13" t="s">
        <v>629</v>
      </c>
      <c r="H149" s="13" t="s">
        <v>266</v>
      </c>
      <c r="I149" s="13" t="s">
        <v>16</v>
      </c>
      <c r="J149" s="13" t="s">
        <v>630</v>
      </c>
      <c r="K149" s="13" t="s">
        <v>1</v>
      </c>
      <c r="L149" s="13" t="s">
        <v>7</v>
      </c>
      <c r="M149" s="13" t="s">
        <v>11</v>
      </c>
      <c r="N149" s="13" t="s">
        <v>631</v>
      </c>
      <c r="O149" s="13" t="s">
        <v>72</v>
      </c>
    </row>
    <row r="150" spans="1:15" ht="28.5">
      <c r="A150" s="12">
        <v>146</v>
      </c>
      <c r="B150" s="12" t="s">
        <v>632</v>
      </c>
      <c r="C150" s="13" t="s">
        <v>625</v>
      </c>
      <c r="D150" s="13" t="s">
        <v>626</v>
      </c>
      <c r="E150" s="13" t="s">
        <v>627</v>
      </c>
      <c r="F150" s="13" t="s">
        <v>633</v>
      </c>
      <c r="G150" s="13" t="s">
        <v>634</v>
      </c>
      <c r="H150" s="13" t="s">
        <v>266</v>
      </c>
      <c r="I150" s="13" t="s">
        <v>16</v>
      </c>
      <c r="J150" s="13" t="s">
        <v>630</v>
      </c>
      <c r="K150" s="13" t="s">
        <v>1</v>
      </c>
      <c r="L150" s="13" t="s">
        <v>7</v>
      </c>
      <c r="M150" s="13" t="s">
        <v>11</v>
      </c>
      <c r="N150" s="13" t="s">
        <v>631</v>
      </c>
      <c r="O150" s="13" t="s">
        <v>76</v>
      </c>
    </row>
    <row r="151" spans="1:15" ht="28.5">
      <c r="A151" s="12">
        <v>147</v>
      </c>
      <c r="B151" s="12" t="s">
        <v>635</v>
      </c>
      <c r="C151" s="13" t="s">
        <v>625</v>
      </c>
      <c r="D151" s="13" t="s">
        <v>626</v>
      </c>
      <c r="E151" s="13" t="s">
        <v>627</v>
      </c>
      <c r="F151" s="13" t="s">
        <v>636</v>
      </c>
      <c r="G151" s="13" t="s">
        <v>637</v>
      </c>
      <c r="H151" s="13" t="s">
        <v>266</v>
      </c>
      <c r="I151" s="13" t="s">
        <v>16</v>
      </c>
      <c r="J151" s="13" t="s">
        <v>630</v>
      </c>
      <c r="K151" s="13" t="s">
        <v>1</v>
      </c>
      <c r="L151" s="13" t="s">
        <v>7</v>
      </c>
      <c r="M151" s="13" t="s">
        <v>11</v>
      </c>
      <c r="N151" s="13" t="s">
        <v>631</v>
      </c>
      <c r="O151" s="13" t="s">
        <v>80</v>
      </c>
    </row>
    <row r="152" spans="1:15" ht="42.75">
      <c r="A152" s="12">
        <v>148</v>
      </c>
      <c r="B152" s="12" t="s">
        <v>638</v>
      </c>
      <c r="C152" s="13" t="s">
        <v>625</v>
      </c>
      <c r="D152" s="13" t="s">
        <v>626</v>
      </c>
      <c r="E152" s="13" t="s">
        <v>627</v>
      </c>
      <c r="F152" s="13" t="s">
        <v>639</v>
      </c>
      <c r="G152" s="13" t="s">
        <v>640</v>
      </c>
      <c r="H152" s="13" t="s">
        <v>266</v>
      </c>
      <c r="I152" s="13" t="s">
        <v>16</v>
      </c>
      <c r="J152" s="13" t="s">
        <v>630</v>
      </c>
      <c r="K152" s="13" t="s">
        <v>1</v>
      </c>
      <c r="L152" s="13" t="s">
        <v>7</v>
      </c>
      <c r="M152" s="13" t="s">
        <v>11</v>
      </c>
      <c r="N152" s="13" t="s">
        <v>631</v>
      </c>
      <c r="O152" s="13" t="s">
        <v>84</v>
      </c>
    </row>
    <row r="153" spans="1:15" ht="28.5">
      <c r="A153" s="12">
        <v>149</v>
      </c>
      <c r="B153" s="12" t="s">
        <v>641</v>
      </c>
      <c r="C153" s="13" t="s">
        <v>625</v>
      </c>
      <c r="D153" s="13" t="s">
        <v>626</v>
      </c>
      <c r="E153" s="13" t="s">
        <v>627</v>
      </c>
      <c r="F153" s="13" t="s">
        <v>642</v>
      </c>
      <c r="G153" s="13" t="s">
        <v>643</v>
      </c>
      <c r="H153" s="13" t="s">
        <v>266</v>
      </c>
      <c r="I153" s="13" t="s">
        <v>88</v>
      </c>
      <c r="J153" s="13" t="s">
        <v>630</v>
      </c>
      <c r="K153" s="13" t="s">
        <v>2</v>
      </c>
      <c r="L153" s="13" t="s">
        <v>7</v>
      </c>
      <c r="M153" s="13" t="s">
        <v>11</v>
      </c>
      <c r="N153" s="13" t="s">
        <v>631</v>
      </c>
      <c r="O153" s="13" t="s">
        <v>89</v>
      </c>
    </row>
    <row r="154" spans="1:15" ht="42.75">
      <c r="A154" s="12">
        <v>150</v>
      </c>
      <c r="B154" s="12" t="s">
        <v>644</v>
      </c>
      <c r="C154" s="13" t="s">
        <v>625</v>
      </c>
      <c r="D154" s="13" t="s">
        <v>626</v>
      </c>
      <c r="E154" s="13" t="s">
        <v>627</v>
      </c>
      <c r="F154" s="13" t="s">
        <v>645</v>
      </c>
      <c r="G154" s="13" t="s">
        <v>646</v>
      </c>
      <c r="H154" s="13" t="s">
        <v>266</v>
      </c>
      <c r="I154" s="13" t="s">
        <v>243</v>
      </c>
      <c r="J154" s="13" t="s">
        <v>17</v>
      </c>
      <c r="K154" s="13" t="s">
        <v>630</v>
      </c>
      <c r="L154" s="13" t="s">
        <v>1</v>
      </c>
      <c r="M154" s="13" t="s">
        <v>7</v>
      </c>
      <c r="N154" s="13" t="s">
        <v>11</v>
      </c>
      <c r="O154" s="13" t="s">
        <v>631</v>
      </c>
    </row>
    <row r="155" spans="1:15" ht="28.5">
      <c r="A155" s="12">
        <v>151</v>
      </c>
      <c r="B155" s="12" t="s">
        <v>647</v>
      </c>
      <c r="C155" s="13" t="s">
        <v>625</v>
      </c>
      <c r="D155" s="13" t="s">
        <v>626</v>
      </c>
      <c r="E155" s="13" t="s">
        <v>627</v>
      </c>
      <c r="F155" s="13" t="s">
        <v>648</v>
      </c>
      <c r="G155" s="13" t="s">
        <v>649</v>
      </c>
      <c r="H155" s="13" t="s">
        <v>266</v>
      </c>
      <c r="I155" s="13" t="s">
        <v>93</v>
      </c>
      <c r="J155" s="13" t="s">
        <v>24</v>
      </c>
      <c r="K155" s="13" t="s">
        <v>630</v>
      </c>
      <c r="L155" s="13" t="s">
        <v>1</v>
      </c>
      <c r="M155" s="13" t="s">
        <v>7</v>
      </c>
      <c r="N155" s="13" t="s">
        <v>11</v>
      </c>
      <c r="O155" s="13" t="s">
        <v>631</v>
      </c>
    </row>
    <row r="156" spans="1:15" ht="42.75">
      <c r="A156" s="12">
        <v>152</v>
      </c>
      <c r="B156" s="12" t="s">
        <v>650</v>
      </c>
      <c r="C156" s="13" t="s">
        <v>625</v>
      </c>
      <c r="D156" s="13" t="s">
        <v>626</v>
      </c>
      <c r="E156" s="13" t="s">
        <v>651</v>
      </c>
      <c r="F156" s="13" t="s">
        <v>652</v>
      </c>
      <c r="G156" s="13" t="s">
        <v>653</v>
      </c>
      <c r="H156" s="13" t="s">
        <v>266</v>
      </c>
      <c r="I156" s="13" t="s">
        <v>16</v>
      </c>
      <c r="J156" s="13" t="s">
        <v>630</v>
      </c>
      <c r="K156" s="13" t="s">
        <v>1</v>
      </c>
      <c r="L156" s="13" t="s">
        <v>7</v>
      </c>
      <c r="M156" s="13" t="s">
        <v>11</v>
      </c>
      <c r="N156" s="13" t="s">
        <v>631</v>
      </c>
      <c r="O156" s="13" t="s">
        <v>72</v>
      </c>
    </row>
    <row r="157" spans="1:15" ht="42.75">
      <c r="A157" s="12">
        <v>153</v>
      </c>
      <c r="B157" s="12" t="s">
        <v>654</v>
      </c>
      <c r="C157" s="13" t="s">
        <v>625</v>
      </c>
      <c r="D157" s="13" t="s">
        <v>626</v>
      </c>
      <c r="E157" s="13" t="s">
        <v>651</v>
      </c>
      <c r="F157" s="13" t="s">
        <v>655</v>
      </c>
      <c r="G157" s="13" t="s">
        <v>656</v>
      </c>
      <c r="H157" s="13" t="s">
        <v>266</v>
      </c>
      <c r="I157" s="13" t="s">
        <v>16</v>
      </c>
      <c r="J157" s="13" t="s">
        <v>630</v>
      </c>
      <c r="K157" s="13" t="s">
        <v>1</v>
      </c>
      <c r="L157" s="13" t="s">
        <v>7</v>
      </c>
      <c r="M157" s="13" t="s">
        <v>11</v>
      </c>
      <c r="N157" s="13" t="s">
        <v>631</v>
      </c>
      <c r="O157" s="13" t="s">
        <v>76</v>
      </c>
    </row>
    <row r="158" spans="1:15" ht="42.75">
      <c r="A158" s="12">
        <v>154</v>
      </c>
      <c r="B158" s="12" t="s">
        <v>657</v>
      </c>
      <c r="C158" s="13" t="s">
        <v>625</v>
      </c>
      <c r="D158" s="13" t="s">
        <v>626</v>
      </c>
      <c r="E158" s="13" t="s">
        <v>651</v>
      </c>
      <c r="F158" s="13" t="s">
        <v>658</v>
      </c>
      <c r="G158" s="13" t="s">
        <v>659</v>
      </c>
      <c r="H158" s="13" t="s">
        <v>266</v>
      </c>
      <c r="I158" s="13" t="s">
        <v>16</v>
      </c>
      <c r="J158" s="13" t="s">
        <v>630</v>
      </c>
      <c r="K158" s="13" t="s">
        <v>1</v>
      </c>
      <c r="L158" s="13" t="s">
        <v>7</v>
      </c>
      <c r="M158" s="13" t="s">
        <v>11</v>
      </c>
      <c r="N158" s="13" t="s">
        <v>631</v>
      </c>
      <c r="O158" s="13" t="s">
        <v>80</v>
      </c>
    </row>
    <row r="159" spans="1:15" ht="42.75">
      <c r="A159" s="12">
        <v>155</v>
      </c>
      <c r="B159" s="12" t="s">
        <v>660</v>
      </c>
      <c r="C159" s="13" t="s">
        <v>625</v>
      </c>
      <c r="D159" s="13" t="s">
        <v>626</v>
      </c>
      <c r="E159" s="13" t="s">
        <v>651</v>
      </c>
      <c r="F159" s="13" t="s">
        <v>661</v>
      </c>
      <c r="G159" s="13" t="s">
        <v>662</v>
      </c>
      <c r="H159" s="13" t="s">
        <v>266</v>
      </c>
      <c r="I159" s="13" t="s">
        <v>16</v>
      </c>
      <c r="J159" s="13" t="s">
        <v>630</v>
      </c>
      <c r="K159" s="13" t="s">
        <v>1</v>
      </c>
      <c r="L159" s="13" t="s">
        <v>7</v>
      </c>
      <c r="M159" s="13" t="s">
        <v>11</v>
      </c>
      <c r="N159" s="13" t="s">
        <v>631</v>
      </c>
      <c r="O159" s="13" t="s">
        <v>84</v>
      </c>
    </row>
    <row r="160" spans="1:15" ht="42.75">
      <c r="A160" s="12">
        <v>156</v>
      </c>
      <c r="B160" s="12" t="s">
        <v>663</v>
      </c>
      <c r="C160" s="13" t="s">
        <v>625</v>
      </c>
      <c r="D160" s="13" t="s">
        <v>626</v>
      </c>
      <c r="E160" s="13" t="s">
        <v>651</v>
      </c>
      <c r="F160" s="13" t="s">
        <v>664</v>
      </c>
      <c r="G160" s="13" t="s">
        <v>665</v>
      </c>
      <c r="H160" s="13" t="s">
        <v>266</v>
      </c>
      <c r="I160" s="13" t="s">
        <v>88</v>
      </c>
      <c r="J160" s="13" t="s">
        <v>630</v>
      </c>
      <c r="K160" s="13" t="s">
        <v>2</v>
      </c>
      <c r="L160" s="13" t="s">
        <v>7</v>
      </c>
      <c r="M160" s="13" t="s">
        <v>11</v>
      </c>
      <c r="N160" s="13" t="s">
        <v>631</v>
      </c>
      <c r="O160" s="13" t="s">
        <v>89</v>
      </c>
    </row>
    <row r="161" spans="1:15" ht="42.75">
      <c r="A161" s="12">
        <v>157</v>
      </c>
      <c r="B161" s="12" t="s">
        <v>666</v>
      </c>
      <c r="C161" s="13" t="s">
        <v>625</v>
      </c>
      <c r="D161" s="13" t="s">
        <v>626</v>
      </c>
      <c r="E161" s="13" t="s">
        <v>651</v>
      </c>
      <c r="F161" s="13" t="s">
        <v>667</v>
      </c>
      <c r="G161" s="13" t="s">
        <v>668</v>
      </c>
      <c r="H161" s="13" t="s">
        <v>266</v>
      </c>
      <c r="I161" s="13" t="s">
        <v>243</v>
      </c>
      <c r="J161" s="13" t="s">
        <v>17</v>
      </c>
      <c r="K161" s="13" t="s">
        <v>630</v>
      </c>
      <c r="L161" s="13" t="s">
        <v>1</v>
      </c>
      <c r="M161" s="13" t="s">
        <v>7</v>
      </c>
      <c r="N161" s="13" t="s">
        <v>11</v>
      </c>
      <c r="O161" s="13" t="s">
        <v>631</v>
      </c>
    </row>
    <row r="162" spans="1:15" ht="42.75">
      <c r="A162" s="12">
        <v>158</v>
      </c>
      <c r="B162" s="12" t="s">
        <v>669</v>
      </c>
      <c r="C162" s="13" t="s">
        <v>625</v>
      </c>
      <c r="D162" s="13" t="s">
        <v>626</v>
      </c>
      <c r="E162" s="13" t="s">
        <v>651</v>
      </c>
      <c r="F162" s="13" t="s">
        <v>670</v>
      </c>
      <c r="G162" s="13" t="s">
        <v>671</v>
      </c>
      <c r="H162" s="13" t="s">
        <v>266</v>
      </c>
      <c r="I162" s="13" t="s">
        <v>93</v>
      </c>
      <c r="J162" s="13" t="s">
        <v>24</v>
      </c>
      <c r="K162" s="13" t="s">
        <v>630</v>
      </c>
      <c r="L162" s="13" t="s">
        <v>1</v>
      </c>
      <c r="M162" s="13" t="s">
        <v>7</v>
      </c>
      <c r="N162" s="13" t="s">
        <v>11</v>
      </c>
      <c r="O162" s="13" t="s">
        <v>631</v>
      </c>
    </row>
    <row r="163" spans="1:15" ht="42.75">
      <c r="A163" s="12">
        <v>159</v>
      </c>
      <c r="B163" s="12" t="s">
        <v>672</v>
      </c>
      <c r="C163" s="13" t="s">
        <v>625</v>
      </c>
      <c r="D163" s="13" t="s">
        <v>626</v>
      </c>
      <c r="E163" s="13" t="s">
        <v>673</v>
      </c>
      <c r="F163" s="13" t="s">
        <v>674</v>
      </c>
      <c r="G163" s="13" t="s">
        <v>675</v>
      </c>
      <c r="H163" s="13" t="s">
        <v>266</v>
      </c>
      <c r="I163" s="13" t="s">
        <v>16</v>
      </c>
      <c r="J163" s="13" t="s">
        <v>630</v>
      </c>
      <c r="K163" s="13" t="s">
        <v>1</v>
      </c>
      <c r="L163" s="13" t="s">
        <v>7</v>
      </c>
      <c r="M163" s="13" t="s">
        <v>11</v>
      </c>
      <c r="N163" s="13" t="s">
        <v>631</v>
      </c>
      <c r="O163" s="13" t="s">
        <v>72</v>
      </c>
    </row>
    <row r="164" spans="1:15" ht="28.5">
      <c r="A164" s="12">
        <v>160</v>
      </c>
      <c r="B164" s="12" t="s">
        <v>676</v>
      </c>
      <c r="C164" s="13" t="s">
        <v>625</v>
      </c>
      <c r="D164" s="13" t="s">
        <v>626</v>
      </c>
      <c r="E164" s="13" t="s">
        <v>673</v>
      </c>
      <c r="F164" s="13" t="s">
        <v>677</v>
      </c>
      <c r="G164" s="13" t="s">
        <v>678</v>
      </c>
      <c r="H164" s="13" t="s">
        <v>266</v>
      </c>
      <c r="I164" s="13" t="s">
        <v>16</v>
      </c>
      <c r="J164" s="13" t="s">
        <v>630</v>
      </c>
      <c r="K164" s="13" t="s">
        <v>1</v>
      </c>
      <c r="L164" s="13" t="s">
        <v>7</v>
      </c>
      <c r="M164" s="13" t="s">
        <v>11</v>
      </c>
      <c r="N164" s="13" t="s">
        <v>631</v>
      </c>
      <c r="O164" s="13" t="s">
        <v>76</v>
      </c>
    </row>
    <row r="165" spans="1:15" ht="42.75">
      <c r="A165" s="12">
        <v>161</v>
      </c>
      <c r="B165" s="12" t="s">
        <v>679</v>
      </c>
      <c r="C165" s="13" t="s">
        <v>625</v>
      </c>
      <c r="D165" s="13" t="s">
        <v>626</v>
      </c>
      <c r="E165" s="13" t="s">
        <v>673</v>
      </c>
      <c r="F165" s="13" t="s">
        <v>680</v>
      </c>
      <c r="G165" s="13" t="s">
        <v>681</v>
      </c>
      <c r="H165" s="13" t="s">
        <v>266</v>
      </c>
      <c r="I165" s="13" t="s">
        <v>16</v>
      </c>
      <c r="J165" s="13" t="s">
        <v>630</v>
      </c>
      <c r="K165" s="13" t="s">
        <v>1</v>
      </c>
      <c r="L165" s="13" t="s">
        <v>7</v>
      </c>
      <c r="M165" s="13" t="s">
        <v>11</v>
      </c>
      <c r="N165" s="13" t="s">
        <v>631</v>
      </c>
      <c r="O165" s="13" t="s">
        <v>80</v>
      </c>
    </row>
    <row r="166" spans="1:15" ht="42.75">
      <c r="A166" s="12">
        <v>162</v>
      </c>
      <c r="B166" s="12" t="s">
        <v>682</v>
      </c>
      <c r="C166" s="13" t="s">
        <v>625</v>
      </c>
      <c r="D166" s="13" t="s">
        <v>626</v>
      </c>
      <c r="E166" s="13" t="s">
        <v>673</v>
      </c>
      <c r="F166" s="13" t="s">
        <v>683</v>
      </c>
      <c r="G166" s="13" t="s">
        <v>684</v>
      </c>
      <c r="H166" s="13" t="s">
        <v>266</v>
      </c>
      <c r="I166" s="13" t="s">
        <v>16</v>
      </c>
      <c r="J166" s="13" t="s">
        <v>630</v>
      </c>
      <c r="K166" s="13" t="s">
        <v>1</v>
      </c>
      <c r="L166" s="13" t="s">
        <v>7</v>
      </c>
      <c r="M166" s="13" t="s">
        <v>11</v>
      </c>
      <c r="N166" s="13" t="s">
        <v>631</v>
      </c>
      <c r="O166" s="13" t="s">
        <v>84</v>
      </c>
    </row>
    <row r="167" spans="1:15" ht="28.5">
      <c r="A167" s="12">
        <v>163</v>
      </c>
      <c r="B167" s="12" t="s">
        <v>685</v>
      </c>
      <c r="C167" s="13" t="s">
        <v>625</v>
      </c>
      <c r="D167" s="13" t="s">
        <v>626</v>
      </c>
      <c r="E167" s="13" t="s">
        <v>673</v>
      </c>
      <c r="F167" s="13" t="s">
        <v>686</v>
      </c>
      <c r="G167" s="13" t="s">
        <v>687</v>
      </c>
      <c r="H167" s="13" t="s">
        <v>266</v>
      </c>
      <c r="I167" s="13" t="s">
        <v>88</v>
      </c>
      <c r="J167" s="13" t="s">
        <v>630</v>
      </c>
      <c r="K167" s="13" t="s">
        <v>2</v>
      </c>
      <c r="L167" s="13" t="s">
        <v>7</v>
      </c>
      <c r="M167" s="13" t="s">
        <v>11</v>
      </c>
      <c r="N167" s="13" t="s">
        <v>631</v>
      </c>
      <c r="O167" s="13" t="s">
        <v>89</v>
      </c>
    </row>
    <row r="168" spans="1:15" ht="42.75">
      <c r="A168" s="12">
        <v>164</v>
      </c>
      <c r="B168" s="12" t="s">
        <v>688</v>
      </c>
      <c r="C168" s="13" t="s">
        <v>625</v>
      </c>
      <c r="D168" s="13" t="s">
        <v>626</v>
      </c>
      <c r="E168" s="13" t="s">
        <v>673</v>
      </c>
      <c r="F168" s="13" t="s">
        <v>689</v>
      </c>
      <c r="G168" s="13" t="s">
        <v>690</v>
      </c>
      <c r="H168" s="13" t="s">
        <v>266</v>
      </c>
      <c r="I168" s="13" t="s">
        <v>243</v>
      </c>
      <c r="J168" s="13" t="s">
        <v>17</v>
      </c>
      <c r="K168" s="13" t="s">
        <v>630</v>
      </c>
      <c r="L168" s="13" t="s">
        <v>1</v>
      </c>
      <c r="M168" s="13" t="s">
        <v>7</v>
      </c>
      <c r="N168" s="13" t="s">
        <v>11</v>
      </c>
      <c r="O168" s="13" t="s">
        <v>631</v>
      </c>
    </row>
    <row r="169" spans="1:15" ht="42.75">
      <c r="A169" s="12">
        <v>165</v>
      </c>
      <c r="B169" s="12" t="s">
        <v>691</v>
      </c>
      <c r="C169" s="13" t="s">
        <v>625</v>
      </c>
      <c r="D169" s="13" t="s">
        <v>626</v>
      </c>
      <c r="E169" s="13" t="s">
        <v>673</v>
      </c>
      <c r="F169" s="13" t="s">
        <v>692</v>
      </c>
      <c r="G169" s="13" t="s">
        <v>693</v>
      </c>
      <c r="H169" s="13" t="s">
        <v>266</v>
      </c>
      <c r="I169" s="13" t="s">
        <v>93</v>
      </c>
      <c r="J169" s="13" t="s">
        <v>24</v>
      </c>
      <c r="K169" s="13" t="s">
        <v>630</v>
      </c>
      <c r="L169" s="13" t="s">
        <v>1</v>
      </c>
      <c r="M169" s="13" t="s">
        <v>7</v>
      </c>
      <c r="N169" s="13" t="s">
        <v>11</v>
      </c>
      <c r="O169" s="13" t="s">
        <v>631</v>
      </c>
    </row>
    <row r="170" spans="1:15" ht="28.5">
      <c r="A170" s="12">
        <v>166</v>
      </c>
      <c r="B170" s="12" t="s">
        <v>694</v>
      </c>
      <c r="C170" s="13" t="s">
        <v>625</v>
      </c>
      <c r="D170" s="13" t="s">
        <v>626</v>
      </c>
      <c r="E170" s="13" t="s">
        <v>695</v>
      </c>
      <c r="F170" s="13" t="s">
        <v>696</v>
      </c>
      <c r="G170" s="13" t="s">
        <v>697</v>
      </c>
      <c r="H170" s="13" t="s">
        <v>266</v>
      </c>
      <c r="I170" s="13" t="s">
        <v>16</v>
      </c>
      <c r="J170" s="13" t="s">
        <v>630</v>
      </c>
      <c r="K170" s="13" t="s">
        <v>1</v>
      </c>
      <c r="L170" s="13" t="s">
        <v>7</v>
      </c>
      <c r="M170" s="13" t="s">
        <v>11</v>
      </c>
      <c r="N170" s="13" t="s">
        <v>631</v>
      </c>
      <c r="O170" s="13" t="s">
        <v>72</v>
      </c>
    </row>
    <row r="171" spans="1:15" ht="28.5">
      <c r="A171" s="12">
        <v>167</v>
      </c>
      <c r="B171" s="12" t="s">
        <v>698</v>
      </c>
      <c r="C171" s="13" t="s">
        <v>625</v>
      </c>
      <c r="D171" s="13" t="s">
        <v>626</v>
      </c>
      <c r="E171" s="13" t="s">
        <v>695</v>
      </c>
      <c r="F171" s="13" t="s">
        <v>699</v>
      </c>
      <c r="G171" s="13" t="s">
        <v>700</v>
      </c>
      <c r="H171" s="13" t="s">
        <v>266</v>
      </c>
      <c r="I171" s="13" t="s">
        <v>16</v>
      </c>
      <c r="J171" s="13" t="s">
        <v>630</v>
      </c>
      <c r="K171" s="13" t="s">
        <v>1</v>
      </c>
      <c r="L171" s="13" t="s">
        <v>7</v>
      </c>
      <c r="M171" s="13" t="s">
        <v>11</v>
      </c>
      <c r="N171" s="13" t="s">
        <v>631</v>
      </c>
      <c r="O171" s="13" t="s">
        <v>76</v>
      </c>
    </row>
    <row r="172" spans="1:15" ht="28.5">
      <c r="A172" s="12">
        <v>168</v>
      </c>
      <c r="B172" s="12" t="s">
        <v>701</v>
      </c>
      <c r="C172" s="13" t="s">
        <v>625</v>
      </c>
      <c r="D172" s="13" t="s">
        <v>626</v>
      </c>
      <c r="E172" s="13" t="s">
        <v>695</v>
      </c>
      <c r="F172" s="13" t="s">
        <v>702</v>
      </c>
      <c r="G172" s="13" t="s">
        <v>703</v>
      </c>
      <c r="H172" s="13" t="s">
        <v>266</v>
      </c>
      <c r="I172" s="13" t="s">
        <v>16</v>
      </c>
      <c r="J172" s="13" t="s">
        <v>630</v>
      </c>
      <c r="K172" s="13" t="s">
        <v>1</v>
      </c>
      <c r="L172" s="13" t="s">
        <v>7</v>
      </c>
      <c r="M172" s="13" t="s">
        <v>11</v>
      </c>
      <c r="N172" s="13" t="s">
        <v>631</v>
      </c>
      <c r="O172" s="13" t="s">
        <v>80</v>
      </c>
    </row>
    <row r="173" spans="1:15" ht="42.75">
      <c r="A173" s="12">
        <v>169</v>
      </c>
      <c r="B173" s="12" t="s">
        <v>704</v>
      </c>
      <c r="C173" s="13" t="s">
        <v>625</v>
      </c>
      <c r="D173" s="13" t="s">
        <v>626</v>
      </c>
      <c r="E173" s="13" t="s">
        <v>695</v>
      </c>
      <c r="F173" s="13" t="s">
        <v>705</v>
      </c>
      <c r="G173" s="13" t="s">
        <v>706</v>
      </c>
      <c r="H173" s="13" t="s">
        <v>266</v>
      </c>
      <c r="I173" s="13" t="s">
        <v>16</v>
      </c>
      <c r="J173" s="13" t="s">
        <v>630</v>
      </c>
      <c r="K173" s="13" t="s">
        <v>1</v>
      </c>
      <c r="L173" s="13" t="s">
        <v>7</v>
      </c>
      <c r="M173" s="13" t="s">
        <v>11</v>
      </c>
      <c r="N173" s="13" t="s">
        <v>631</v>
      </c>
      <c r="O173" s="13" t="s">
        <v>84</v>
      </c>
    </row>
    <row r="174" spans="1:15" ht="28.5">
      <c r="A174" s="12">
        <v>170</v>
      </c>
      <c r="B174" s="12" t="s">
        <v>707</v>
      </c>
      <c r="C174" s="13" t="s">
        <v>625</v>
      </c>
      <c r="D174" s="13" t="s">
        <v>626</v>
      </c>
      <c r="E174" s="13" t="s">
        <v>695</v>
      </c>
      <c r="F174" s="13" t="s">
        <v>708</v>
      </c>
      <c r="G174" s="13" t="s">
        <v>709</v>
      </c>
      <c r="H174" s="13" t="s">
        <v>266</v>
      </c>
      <c r="I174" s="13" t="s">
        <v>88</v>
      </c>
      <c r="J174" s="13" t="s">
        <v>630</v>
      </c>
      <c r="K174" s="13" t="s">
        <v>2</v>
      </c>
      <c r="L174" s="13" t="s">
        <v>7</v>
      </c>
      <c r="M174" s="13" t="s">
        <v>11</v>
      </c>
      <c r="N174" s="13" t="s">
        <v>631</v>
      </c>
      <c r="O174" s="13" t="s">
        <v>89</v>
      </c>
    </row>
    <row r="175" spans="1:15" ht="42.75">
      <c r="A175" s="12">
        <v>171</v>
      </c>
      <c r="B175" s="12" t="s">
        <v>710</v>
      </c>
      <c r="C175" s="13" t="s">
        <v>625</v>
      </c>
      <c r="D175" s="13" t="s">
        <v>626</v>
      </c>
      <c r="E175" s="13" t="s">
        <v>695</v>
      </c>
      <c r="F175" s="13" t="s">
        <v>711</v>
      </c>
      <c r="G175" s="13" t="s">
        <v>712</v>
      </c>
      <c r="H175" s="13" t="s">
        <v>266</v>
      </c>
      <c r="I175" s="13" t="s">
        <v>243</v>
      </c>
      <c r="J175" s="13" t="s">
        <v>17</v>
      </c>
      <c r="K175" s="13" t="s">
        <v>630</v>
      </c>
      <c r="L175" s="13" t="s">
        <v>1</v>
      </c>
      <c r="M175" s="13" t="s">
        <v>7</v>
      </c>
      <c r="N175" s="13" t="s">
        <v>11</v>
      </c>
      <c r="O175" s="13" t="s">
        <v>631</v>
      </c>
    </row>
    <row r="176" spans="1:15" ht="28.5">
      <c r="A176" s="12">
        <v>172</v>
      </c>
      <c r="B176" s="12" t="s">
        <v>713</v>
      </c>
      <c r="C176" s="13" t="s">
        <v>625</v>
      </c>
      <c r="D176" s="13" t="s">
        <v>626</v>
      </c>
      <c r="E176" s="13" t="s">
        <v>695</v>
      </c>
      <c r="F176" s="13" t="s">
        <v>714</v>
      </c>
      <c r="G176" s="13" t="s">
        <v>715</v>
      </c>
      <c r="H176" s="13" t="s">
        <v>266</v>
      </c>
      <c r="I176" s="13" t="s">
        <v>93</v>
      </c>
      <c r="J176" s="13" t="s">
        <v>24</v>
      </c>
      <c r="K176" s="13" t="s">
        <v>630</v>
      </c>
      <c r="L176" s="13" t="s">
        <v>1</v>
      </c>
      <c r="M176" s="13" t="s">
        <v>7</v>
      </c>
      <c r="N176" s="13" t="s">
        <v>11</v>
      </c>
      <c r="O176" s="13" t="s">
        <v>631</v>
      </c>
    </row>
    <row r="177" spans="1:15" ht="28.5">
      <c r="A177" s="12">
        <v>173</v>
      </c>
      <c r="B177" s="12" t="s">
        <v>716</v>
      </c>
      <c r="C177" s="13" t="s">
        <v>625</v>
      </c>
      <c r="D177" s="13" t="s">
        <v>626</v>
      </c>
      <c r="E177" s="13" t="s">
        <v>717</v>
      </c>
      <c r="F177" s="13" t="s">
        <v>718</v>
      </c>
      <c r="G177" s="13" t="s">
        <v>719</v>
      </c>
      <c r="H177" s="13" t="s">
        <v>720</v>
      </c>
      <c r="I177" s="13" t="s">
        <v>16</v>
      </c>
      <c r="J177" s="13" t="s">
        <v>630</v>
      </c>
      <c r="K177" s="13" t="s">
        <v>1</v>
      </c>
      <c r="L177" s="13" t="s">
        <v>7</v>
      </c>
      <c r="M177" s="13" t="s">
        <v>11</v>
      </c>
      <c r="N177" s="13" t="s">
        <v>30</v>
      </c>
      <c r="O177" s="13"/>
    </row>
    <row r="178" spans="1:15" ht="28.5">
      <c r="A178" s="12">
        <v>174</v>
      </c>
      <c r="B178" s="12" t="s">
        <v>721</v>
      </c>
      <c r="C178" s="13" t="s">
        <v>625</v>
      </c>
      <c r="D178" s="13" t="s">
        <v>626</v>
      </c>
      <c r="E178" s="13" t="s">
        <v>722</v>
      </c>
      <c r="F178" s="13" t="s">
        <v>723</v>
      </c>
      <c r="G178" s="13" t="s">
        <v>724</v>
      </c>
      <c r="H178" s="13" t="s">
        <v>196</v>
      </c>
      <c r="I178" s="13" t="s">
        <v>17</v>
      </c>
      <c r="J178" s="13" t="s">
        <v>630</v>
      </c>
      <c r="K178" s="13" t="s">
        <v>1</v>
      </c>
      <c r="L178" s="13" t="s">
        <v>7</v>
      </c>
      <c r="M178" s="13" t="s">
        <v>11</v>
      </c>
      <c r="N178" s="13" t="s">
        <v>30</v>
      </c>
      <c r="O178" s="13"/>
    </row>
    <row r="179" spans="1:15" ht="28.5">
      <c r="A179" s="12">
        <v>175</v>
      </c>
      <c r="B179" s="12" t="s">
        <v>725</v>
      </c>
      <c r="C179" s="13" t="s">
        <v>726</v>
      </c>
      <c r="D179" s="13" t="s">
        <v>727</v>
      </c>
      <c r="E179" s="13" t="s">
        <v>728</v>
      </c>
      <c r="F179" s="13" t="s">
        <v>729</v>
      </c>
      <c r="G179" s="13" t="s">
        <v>730</v>
      </c>
      <c r="H179" s="13" t="s">
        <v>266</v>
      </c>
      <c r="I179" s="13" t="s">
        <v>16</v>
      </c>
      <c r="J179" s="13" t="s">
        <v>731</v>
      </c>
      <c r="K179" s="13" t="s">
        <v>1</v>
      </c>
      <c r="L179" s="13" t="s">
        <v>7</v>
      </c>
      <c r="M179" s="13" t="s">
        <v>11</v>
      </c>
      <c r="N179" s="13" t="s">
        <v>29</v>
      </c>
      <c r="O179" s="13" t="s">
        <v>72</v>
      </c>
    </row>
    <row r="180" spans="1:15" ht="28.5">
      <c r="A180" s="12">
        <v>176</v>
      </c>
      <c r="B180" s="12" t="s">
        <v>732</v>
      </c>
      <c r="C180" s="13" t="s">
        <v>726</v>
      </c>
      <c r="D180" s="13" t="s">
        <v>727</v>
      </c>
      <c r="E180" s="13" t="s">
        <v>728</v>
      </c>
      <c r="F180" s="13" t="s">
        <v>733</v>
      </c>
      <c r="G180" s="13" t="s">
        <v>734</v>
      </c>
      <c r="H180" s="13" t="s">
        <v>266</v>
      </c>
      <c r="I180" s="13" t="s">
        <v>16</v>
      </c>
      <c r="J180" s="13" t="s">
        <v>731</v>
      </c>
      <c r="K180" s="13" t="s">
        <v>1</v>
      </c>
      <c r="L180" s="13" t="s">
        <v>7</v>
      </c>
      <c r="M180" s="13" t="s">
        <v>11</v>
      </c>
      <c r="N180" s="13" t="s">
        <v>29</v>
      </c>
      <c r="O180" s="13" t="s">
        <v>76</v>
      </c>
    </row>
    <row r="181" spans="1:15" ht="28.5">
      <c r="A181" s="12">
        <v>177</v>
      </c>
      <c r="B181" s="12" t="s">
        <v>735</v>
      </c>
      <c r="C181" s="13" t="s">
        <v>726</v>
      </c>
      <c r="D181" s="13" t="s">
        <v>727</v>
      </c>
      <c r="E181" s="13" t="s">
        <v>728</v>
      </c>
      <c r="F181" s="13" t="s">
        <v>736</v>
      </c>
      <c r="G181" s="13" t="s">
        <v>737</v>
      </c>
      <c r="H181" s="13" t="s">
        <v>266</v>
      </c>
      <c r="I181" s="13" t="s">
        <v>16</v>
      </c>
      <c r="J181" s="13" t="s">
        <v>731</v>
      </c>
      <c r="K181" s="13" t="s">
        <v>1</v>
      </c>
      <c r="L181" s="13" t="s">
        <v>7</v>
      </c>
      <c r="M181" s="13" t="s">
        <v>11</v>
      </c>
      <c r="N181" s="13" t="s">
        <v>29</v>
      </c>
      <c r="O181" s="13" t="s">
        <v>80</v>
      </c>
    </row>
    <row r="182" spans="1:15" ht="42.75">
      <c r="A182" s="12">
        <v>178</v>
      </c>
      <c r="B182" s="12" t="s">
        <v>738</v>
      </c>
      <c r="C182" s="13" t="s">
        <v>726</v>
      </c>
      <c r="D182" s="13" t="s">
        <v>727</v>
      </c>
      <c r="E182" s="13" t="s">
        <v>728</v>
      </c>
      <c r="F182" s="13" t="s">
        <v>739</v>
      </c>
      <c r="G182" s="13" t="s">
        <v>740</v>
      </c>
      <c r="H182" s="13" t="s">
        <v>266</v>
      </c>
      <c r="I182" s="13" t="s">
        <v>16</v>
      </c>
      <c r="J182" s="13" t="s">
        <v>731</v>
      </c>
      <c r="K182" s="13" t="s">
        <v>1</v>
      </c>
      <c r="L182" s="13" t="s">
        <v>7</v>
      </c>
      <c r="M182" s="13" t="s">
        <v>11</v>
      </c>
      <c r="N182" s="13" t="s">
        <v>29</v>
      </c>
      <c r="O182" s="13" t="s">
        <v>84</v>
      </c>
    </row>
    <row r="183" spans="1:15" ht="28.5">
      <c r="A183" s="12">
        <v>179</v>
      </c>
      <c r="B183" s="12" t="s">
        <v>741</v>
      </c>
      <c r="C183" s="13" t="s">
        <v>726</v>
      </c>
      <c r="D183" s="13" t="s">
        <v>727</v>
      </c>
      <c r="E183" s="13" t="s">
        <v>728</v>
      </c>
      <c r="F183" s="13" t="s">
        <v>742</v>
      </c>
      <c r="G183" s="13" t="s">
        <v>743</v>
      </c>
      <c r="H183" s="13" t="s">
        <v>266</v>
      </c>
      <c r="I183" s="13" t="s">
        <v>88</v>
      </c>
      <c r="J183" s="13" t="s">
        <v>731</v>
      </c>
      <c r="K183" s="13" t="s">
        <v>2</v>
      </c>
      <c r="L183" s="13" t="s">
        <v>7</v>
      </c>
      <c r="M183" s="13" t="s">
        <v>11</v>
      </c>
      <c r="N183" s="13" t="s">
        <v>29</v>
      </c>
      <c r="O183" s="13" t="s">
        <v>89</v>
      </c>
    </row>
    <row r="184" spans="1:15" ht="42.75">
      <c r="A184" s="12">
        <v>180</v>
      </c>
      <c r="B184" s="12" t="s">
        <v>744</v>
      </c>
      <c r="C184" s="13" t="s">
        <v>726</v>
      </c>
      <c r="D184" s="13" t="s">
        <v>727</v>
      </c>
      <c r="E184" s="13" t="s">
        <v>728</v>
      </c>
      <c r="F184" s="13" t="s">
        <v>745</v>
      </c>
      <c r="G184" s="13" t="s">
        <v>746</v>
      </c>
      <c r="H184" s="13" t="s">
        <v>266</v>
      </c>
      <c r="I184" s="13" t="s">
        <v>243</v>
      </c>
      <c r="J184" s="13" t="s">
        <v>17</v>
      </c>
      <c r="K184" s="13" t="s">
        <v>731</v>
      </c>
      <c r="L184" s="13" t="s">
        <v>1</v>
      </c>
      <c r="M184" s="13" t="s">
        <v>7</v>
      </c>
      <c r="N184" s="13" t="s">
        <v>11</v>
      </c>
      <c r="O184" s="13" t="s">
        <v>29</v>
      </c>
    </row>
    <row r="185" spans="1:15" ht="28.5">
      <c r="A185" s="12">
        <v>181</v>
      </c>
      <c r="B185" s="12" t="s">
        <v>747</v>
      </c>
      <c r="C185" s="13" t="s">
        <v>726</v>
      </c>
      <c r="D185" s="13" t="s">
        <v>727</v>
      </c>
      <c r="E185" s="13" t="s">
        <v>728</v>
      </c>
      <c r="F185" s="13" t="s">
        <v>748</v>
      </c>
      <c r="G185" s="13" t="s">
        <v>749</v>
      </c>
      <c r="H185" s="13" t="s">
        <v>266</v>
      </c>
      <c r="I185" s="13" t="s">
        <v>93</v>
      </c>
      <c r="J185" s="13" t="s">
        <v>24</v>
      </c>
      <c r="K185" s="13" t="s">
        <v>731</v>
      </c>
      <c r="L185" s="13" t="s">
        <v>1</v>
      </c>
      <c r="M185" s="13" t="s">
        <v>7</v>
      </c>
      <c r="N185" s="13" t="s">
        <v>11</v>
      </c>
      <c r="O185" s="13" t="s">
        <v>29</v>
      </c>
    </row>
    <row r="186" spans="1:15" ht="28.5">
      <c r="A186" s="12">
        <v>182</v>
      </c>
      <c r="B186" s="12" t="s">
        <v>750</v>
      </c>
      <c r="C186" s="13" t="s">
        <v>726</v>
      </c>
      <c r="D186" s="13" t="s">
        <v>727</v>
      </c>
      <c r="E186" s="13" t="s">
        <v>751</v>
      </c>
      <c r="F186" s="13" t="s">
        <v>752</v>
      </c>
      <c r="G186" s="13" t="s">
        <v>753</v>
      </c>
      <c r="H186" s="13" t="s">
        <v>266</v>
      </c>
      <c r="I186" s="13" t="s">
        <v>16</v>
      </c>
      <c r="J186" s="13" t="s">
        <v>731</v>
      </c>
      <c r="K186" s="13" t="s">
        <v>1</v>
      </c>
      <c r="L186" s="13" t="s">
        <v>7</v>
      </c>
      <c r="M186" s="13" t="s">
        <v>11</v>
      </c>
      <c r="N186" s="13" t="s">
        <v>30</v>
      </c>
      <c r="O186" s="13"/>
    </row>
    <row r="187" spans="1:15" ht="28.5">
      <c r="A187" s="12">
        <v>183</v>
      </c>
      <c r="B187" s="12" t="s">
        <v>754</v>
      </c>
      <c r="C187" s="13" t="s">
        <v>726</v>
      </c>
      <c r="D187" s="13" t="s">
        <v>727</v>
      </c>
      <c r="E187" s="13" t="s">
        <v>755</v>
      </c>
      <c r="F187" s="13" t="s">
        <v>756</v>
      </c>
      <c r="G187" s="13" t="s">
        <v>757</v>
      </c>
      <c r="H187" s="13" t="s">
        <v>758</v>
      </c>
      <c r="I187" s="13" t="s">
        <v>16</v>
      </c>
      <c r="J187" s="13" t="s">
        <v>731</v>
      </c>
      <c r="K187" s="13" t="s">
        <v>1</v>
      </c>
      <c r="L187" s="13" t="s">
        <v>7</v>
      </c>
      <c r="M187" s="13" t="s">
        <v>11</v>
      </c>
      <c r="N187" s="13" t="s">
        <v>30</v>
      </c>
      <c r="O187" s="13"/>
    </row>
    <row r="188" spans="1:15" ht="28.5">
      <c r="A188" s="12">
        <v>184</v>
      </c>
      <c r="B188" s="12" t="s">
        <v>759</v>
      </c>
      <c r="C188" s="13" t="s">
        <v>726</v>
      </c>
      <c r="D188" s="13" t="s">
        <v>727</v>
      </c>
      <c r="E188" s="13" t="s">
        <v>760</v>
      </c>
      <c r="F188" s="13" t="s">
        <v>761</v>
      </c>
      <c r="G188" s="13" t="s">
        <v>762</v>
      </c>
      <c r="H188" s="13" t="s">
        <v>763</v>
      </c>
      <c r="I188" s="13" t="s">
        <v>17</v>
      </c>
      <c r="J188" s="13" t="s">
        <v>731</v>
      </c>
      <c r="K188" s="13" t="s">
        <v>1</v>
      </c>
      <c r="L188" s="13" t="s">
        <v>7</v>
      </c>
      <c r="M188" s="13" t="s">
        <v>11</v>
      </c>
      <c r="N188" s="13" t="s">
        <v>30</v>
      </c>
      <c r="O188" s="13"/>
    </row>
    <row r="189" spans="1:15" ht="28.5">
      <c r="A189" s="12">
        <v>185</v>
      </c>
      <c r="B189" s="12" t="s">
        <v>764</v>
      </c>
      <c r="C189" s="13" t="s">
        <v>726</v>
      </c>
      <c r="D189" s="13" t="s">
        <v>727</v>
      </c>
      <c r="E189" s="13" t="s">
        <v>765</v>
      </c>
      <c r="F189" s="13" t="s">
        <v>766</v>
      </c>
      <c r="G189" s="13" t="s">
        <v>767</v>
      </c>
      <c r="H189" s="13" t="s">
        <v>266</v>
      </c>
      <c r="I189" s="13" t="s">
        <v>16</v>
      </c>
      <c r="J189" s="13" t="s">
        <v>731</v>
      </c>
      <c r="K189" s="13" t="s">
        <v>2</v>
      </c>
      <c r="L189" s="13" t="s">
        <v>7</v>
      </c>
      <c r="M189" s="13" t="s">
        <v>11</v>
      </c>
      <c r="N189" s="13" t="s">
        <v>30</v>
      </c>
      <c r="O189" s="13"/>
    </row>
    <row r="190" spans="1:15" ht="28.5">
      <c r="A190" s="12">
        <v>186</v>
      </c>
      <c r="B190" s="12" t="s">
        <v>768</v>
      </c>
      <c r="C190" s="13" t="s">
        <v>769</v>
      </c>
      <c r="D190" s="13" t="s">
        <v>770</v>
      </c>
      <c r="E190" s="13" t="s">
        <v>771</v>
      </c>
      <c r="F190" s="13" t="s">
        <v>772</v>
      </c>
      <c r="G190" s="13" t="s">
        <v>773</v>
      </c>
      <c r="H190" s="13" t="s">
        <v>295</v>
      </c>
      <c r="I190" s="13" t="s">
        <v>16</v>
      </c>
      <c r="J190" s="13" t="s">
        <v>774</v>
      </c>
      <c r="K190" s="13" t="s">
        <v>1</v>
      </c>
      <c r="L190" s="13" t="s">
        <v>7</v>
      </c>
      <c r="M190" s="13" t="s">
        <v>11</v>
      </c>
      <c r="N190" s="13" t="s">
        <v>29</v>
      </c>
      <c r="O190" s="13" t="s">
        <v>72</v>
      </c>
    </row>
    <row r="191" spans="1:15" ht="28.5">
      <c r="A191" s="12">
        <v>187</v>
      </c>
      <c r="B191" s="12" t="s">
        <v>775</v>
      </c>
      <c r="C191" s="13" t="s">
        <v>769</v>
      </c>
      <c r="D191" s="13" t="s">
        <v>770</v>
      </c>
      <c r="E191" s="13" t="s">
        <v>771</v>
      </c>
      <c r="F191" s="13" t="s">
        <v>776</v>
      </c>
      <c r="G191" s="13" t="s">
        <v>777</v>
      </c>
      <c r="H191" s="13" t="s">
        <v>295</v>
      </c>
      <c r="I191" s="13" t="s">
        <v>16</v>
      </c>
      <c r="J191" s="13" t="s">
        <v>774</v>
      </c>
      <c r="K191" s="13" t="s">
        <v>1</v>
      </c>
      <c r="L191" s="13" t="s">
        <v>7</v>
      </c>
      <c r="M191" s="13" t="s">
        <v>11</v>
      </c>
      <c r="N191" s="13" t="s">
        <v>29</v>
      </c>
      <c r="O191" s="13" t="s">
        <v>76</v>
      </c>
    </row>
    <row r="192" spans="1:15" ht="28.5">
      <c r="A192" s="12">
        <v>188</v>
      </c>
      <c r="B192" s="12" t="s">
        <v>778</v>
      </c>
      <c r="C192" s="13" t="s">
        <v>769</v>
      </c>
      <c r="D192" s="13" t="s">
        <v>770</v>
      </c>
      <c r="E192" s="13" t="s">
        <v>771</v>
      </c>
      <c r="F192" s="13" t="s">
        <v>779</v>
      </c>
      <c r="G192" s="13" t="s">
        <v>780</v>
      </c>
      <c r="H192" s="13" t="s">
        <v>295</v>
      </c>
      <c r="I192" s="13" t="s">
        <v>16</v>
      </c>
      <c r="J192" s="13" t="s">
        <v>774</v>
      </c>
      <c r="K192" s="13" t="s">
        <v>1</v>
      </c>
      <c r="L192" s="13" t="s">
        <v>7</v>
      </c>
      <c r="M192" s="13" t="s">
        <v>11</v>
      </c>
      <c r="N192" s="13" t="s">
        <v>29</v>
      </c>
      <c r="O192" s="13" t="s">
        <v>80</v>
      </c>
    </row>
    <row r="193" spans="1:15" ht="42.75">
      <c r="A193" s="12">
        <v>189</v>
      </c>
      <c r="B193" s="12" t="s">
        <v>781</v>
      </c>
      <c r="C193" s="13" t="s">
        <v>769</v>
      </c>
      <c r="D193" s="13" t="s">
        <v>770</v>
      </c>
      <c r="E193" s="13" t="s">
        <v>771</v>
      </c>
      <c r="F193" s="13" t="s">
        <v>782</v>
      </c>
      <c r="G193" s="13" t="s">
        <v>783</v>
      </c>
      <c r="H193" s="13" t="s">
        <v>295</v>
      </c>
      <c r="I193" s="13" t="s">
        <v>16</v>
      </c>
      <c r="J193" s="13" t="s">
        <v>774</v>
      </c>
      <c r="K193" s="13" t="s">
        <v>1</v>
      </c>
      <c r="L193" s="13" t="s">
        <v>7</v>
      </c>
      <c r="M193" s="13" t="s">
        <v>11</v>
      </c>
      <c r="N193" s="13" t="s">
        <v>29</v>
      </c>
      <c r="O193" s="13" t="s">
        <v>84</v>
      </c>
    </row>
    <row r="194" spans="1:15" ht="28.5">
      <c r="A194" s="12">
        <v>190</v>
      </c>
      <c r="B194" s="12" t="s">
        <v>784</v>
      </c>
      <c r="C194" s="13" t="s">
        <v>769</v>
      </c>
      <c r="D194" s="13" t="s">
        <v>770</v>
      </c>
      <c r="E194" s="13" t="s">
        <v>771</v>
      </c>
      <c r="F194" s="13" t="s">
        <v>785</v>
      </c>
      <c r="G194" s="13" t="s">
        <v>786</v>
      </c>
      <c r="H194" s="13" t="s">
        <v>295</v>
      </c>
      <c r="I194" s="13" t="s">
        <v>88</v>
      </c>
      <c r="J194" s="13" t="s">
        <v>774</v>
      </c>
      <c r="K194" s="13" t="s">
        <v>2</v>
      </c>
      <c r="L194" s="13" t="s">
        <v>7</v>
      </c>
      <c r="M194" s="13" t="s">
        <v>11</v>
      </c>
      <c r="N194" s="13" t="s">
        <v>29</v>
      </c>
      <c r="O194" s="13" t="s">
        <v>89</v>
      </c>
    </row>
    <row r="195" spans="1:15" ht="42.75">
      <c r="A195" s="12">
        <v>191</v>
      </c>
      <c r="B195" s="12" t="s">
        <v>787</v>
      </c>
      <c r="C195" s="13" t="s">
        <v>769</v>
      </c>
      <c r="D195" s="13" t="s">
        <v>770</v>
      </c>
      <c r="E195" s="13" t="s">
        <v>771</v>
      </c>
      <c r="F195" s="13" t="s">
        <v>788</v>
      </c>
      <c r="G195" s="13" t="s">
        <v>789</v>
      </c>
      <c r="H195" s="13" t="s">
        <v>295</v>
      </c>
      <c r="I195" s="13" t="s">
        <v>243</v>
      </c>
      <c r="J195" s="13" t="s">
        <v>17</v>
      </c>
      <c r="K195" s="13" t="s">
        <v>774</v>
      </c>
      <c r="L195" s="13" t="s">
        <v>1</v>
      </c>
      <c r="M195" s="13" t="s">
        <v>7</v>
      </c>
      <c r="N195" s="13" t="s">
        <v>11</v>
      </c>
      <c r="O195" s="13" t="s">
        <v>29</v>
      </c>
    </row>
    <row r="196" spans="1:15" ht="28.5">
      <c r="A196" s="12">
        <v>192</v>
      </c>
      <c r="B196" s="12" t="s">
        <v>790</v>
      </c>
      <c r="C196" s="13" t="s">
        <v>769</v>
      </c>
      <c r="D196" s="13" t="s">
        <v>770</v>
      </c>
      <c r="E196" s="13" t="s">
        <v>771</v>
      </c>
      <c r="F196" s="13" t="s">
        <v>791</v>
      </c>
      <c r="G196" s="13" t="s">
        <v>792</v>
      </c>
      <c r="H196" s="13" t="s">
        <v>295</v>
      </c>
      <c r="I196" s="13" t="s">
        <v>93</v>
      </c>
      <c r="J196" s="13" t="s">
        <v>24</v>
      </c>
      <c r="K196" s="13" t="s">
        <v>774</v>
      </c>
      <c r="L196" s="13" t="s">
        <v>1</v>
      </c>
      <c r="M196" s="13" t="s">
        <v>7</v>
      </c>
      <c r="N196" s="13" t="s">
        <v>11</v>
      </c>
      <c r="O196" s="13" t="s">
        <v>29</v>
      </c>
    </row>
    <row r="197" spans="1:15" ht="28.5">
      <c r="A197" s="12">
        <v>193</v>
      </c>
      <c r="B197" s="12" t="s">
        <v>793</v>
      </c>
      <c r="C197" s="13" t="s">
        <v>769</v>
      </c>
      <c r="D197" s="13" t="s">
        <v>770</v>
      </c>
      <c r="E197" s="13" t="s">
        <v>794</v>
      </c>
      <c r="F197" s="13" t="s">
        <v>795</v>
      </c>
      <c r="G197" s="13" t="s">
        <v>796</v>
      </c>
      <c r="H197" s="13" t="s">
        <v>584</v>
      </c>
      <c r="I197" s="13" t="s">
        <v>16</v>
      </c>
      <c r="J197" s="13" t="s">
        <v>774</v>
      </c>
      <c r="K197" s="13" t="s">
        <v>1</v>
      </c>
      <c r="L197" s="13" t="s">
        <v>7</v>
      </c>
      <c r="M197" s="13" t="s">
        <v>11</v>
      </c>
      <c r="N197" s="13" t="s">
        <v>30</v>
      </c>
      <c r="O197" s="13"/>
    </row>
    <row r="198" spans="1:15" ht="28.5">
      <c r="A198" s="12">
        <v>194</v>
      </c>
      <c r="B198" s="12" t="s">
        <v>797</v>
      </c>
      <c r="C198" s="13" t="s">
        <v>769</v>
      </c>
      <c r="D198" s="13" t="s">
        <v>770</v>
      </c>
      <c r="E198" s="13" t="s">
        <v>798</v>
      </c>
      <c r="F198" s="13" t="s">
        <v>799</v>
      </c>
      <c r="G198" s="13" t="s">
        <v>800</v>
      </c>
      <c r="H198" s="13" t="s">
        <v>584</v>
      </c>
      <c r="I198" s="13" t="s">
        <v>20</v>
      </c>
      <c r="J198" s="13" t="s">
        <v>774</v>
      </c>
      <c r="K198" s="13" t="s">
        <v>1</v>
      </c>
      <c r="L198" s="13" t="s">
        <v>7</v>
      </c>
      <c r="M198" s="13" t="s">
        <v>11</v>
      </c>
      <c r="N198" s="13" t="s">
        <v>30</v>
      </c>
      <c r="O198" s="13"/>
    </row>
    <row r="199" spans="1:15" ht="28.5">
      <c r="A199" s="12">
        <v>195</v>
      </c>
      <c r="B199" s="12" t="s">
        <v>801</v>
      </c>
      <c r="C199" s="13" t="s">
        <v>769</v>
      </c>
      <c r="D199" s="13" t="s">
        <v>770</v>
      </c>
      <c r="E199" s="13" t="s">
        <v>802</v>
      </c>
      <c r="F199" s="13" t="s">
        <v>803</v>
      </c>
      <c r="G199" s="13" t="s">
        <v>804</v>
      </c>
      <c r="H199" s="13" t="s">
        <v>805</v>
      </c>
      <c r="I199" s="13" t="s">
        <v>20</v>
      </c>
      <c r="J199" s="13" t="s">
        <v>774</v>
      </c>
      <c r="K199" s="13" t="s">
        <v>1</v>
      </c>
      <c r="L199" s="13" t="s">
        <v>7</v>
      </c>
      <c r="M199" s="13" t="s">
        <v>11</v>
      </c>
      <c r="N199" s="13" t="s">
        <v>30</v>
      </c>
      <c r="O199" s="13"/>
    </row>
    <row r="200" spans="1:15" ht="28.5">
      <c r="A200" s="12">
        <v>196</v>
      </c>
      <c r="B200" s="12" t="s">
        <v>806</v>
      </c>
      <c r="C200" s="13" t="s">
        <v>769</v>
      </c>
      <c r="D200" s="13" t="s">
        <v>770</v>
      </c>
      <c r="E200" s="13" t="s">
        <v>257</v>
      </c>
      <c r="F200" s="13" t="s">
        <v>807</v>
      </c>
      <c r="G200" s="13" t="s">
        <v>808</v>
      </c>
      <c r="H200" s="13" t="s">
        <v>809</v>
      </c>
      <c r="I200" s="13" t="s">
        <v>17</v>
      </c>
      <c r="J200" s="13" t="s">
        <v>774</v>
      </c>
      <c r="K200" s="13" t="s">
        <v>1</v>
      </c>
      <c r="L200" s="13" t="s">
        <v>7</v>
      </c>
      <c r="M200" s="13" t="s">
        <v>11</v>
      </c>
      <c r="N200" s="13" t="s">
        <v>30</v>
      </c>
      <c r="O200" s="13"/>
    </row>
    <row r="201" spans="1:15" ht="28.5">
      <c r="A201" s="12">
        <v>197</v>
      </c>
      <c r="B201" s="12" t="s">
        <v>810</v>
      </c>
      <c r="C201" s="13" t="s">
        <v>811</v>
      </c>
      <c r="D201" s="13" t="s">
        <v>812</v>
      </c>
      <c r="E201" s="13" t="s">
        <v>812</v>
      </c>
      <c r="F201" s="13" t="s">
        <v>813</v>
      </c>
      <c r="G201" s="13" t="s">
        <v>814</v>
      </c>
      <c r="H201" s="13" t="s">
        <v>266</v>
      </c>
      <c r="I201" s="13" t="s">
        <v>16</v>
      </c>
      <c r="J201" s="13" t="s">
        <v>815</v>
      </c>
      <c r="K201" s="13" t="s">
        <v>1</v>
      </c>
      <c r="L201" s="13" t="s">
        <v>7</v>
      </c>
      <c r="M201" s="13" t="s">
        <v>11</v>
      </c>
      <c r="N201" s="13" t="s">
        <v>504</v>
      </c>
      <c r="O201" s="13" t="s">
        <v>72</v>
      </c>
    </row>
    <row r="202" spans="1:15" ht="28.5">
      <c r="A202" s="12">
        <v>198</v>
      </c>
      <c r="B202" s="12" t="s">
        <v>816</v>
      </c>
      <c r="C202" s="13" t="s">
        <v>811</v>
      </c>
      <c r="D202" s="13" t="s">
        <v>812</v>
      </c>
      <c r="E202" s="13" t="s">
        <v>812</v>
      </c>
      <c r="F202" s="13" t="s">
        <v>817</v>
      </c>
      <c r="G202" s="13" t="s">
        <v>818</v>
      </c>
      <c r="H202" s="13" t="s">
        <v>266</v>
      </c>
      <c r="I202" s="13" t="s">
        <v>16</v>
      </c>
      <c r="J202" s="13" t="s">
        <v>815</v>
      </c>
      <c r="K202" s="13" t="s">
        <v>1</v>
      </c>
      <c r="L202" s="13" t="s">
        <v>7</v>
      </c>
      <c r="M202" s="13" t="s">
        <v>11</v>
      </c>
      <c r="N202" s="13" t="s">
        <v>504</v>
      </c>
      <c r="O202" s="13" t="s">
        <v>76</v>
      </c>
    </row>
    <row r="203" spans="1:15" ht="28.5">
      <c r="A203" s="12">
        <v>199</v>
      </c>
      <c r="B203" s="12" t="s">
        <v>819</v>
      </c>
      <c r="C203" s="13" t="s">
        <v>811</v>
      </c>
      <c r="D203" s="13" t="s">
        <v>812</v>
      </c>
      <c r="E203" s="13" t="s">
        <v>812</v>
      </c>
      <c r="F203" s="13" t="s">
        <v>820</v>
      </c>
      <c r="G203" s="13" t="s">
        <v>821</v>
      </c>
      <c r="H203" s="13" t="s">
        <v>266</v>
      </c>
      <c r="I203" s="13" t="s">
        <v>16</v>
      </c>
      <c r="J203" s="13" t="s">
        <v>815</v>
      </c>
      <c r="K203" s="13" t="s">
        <v>1</v>
      </c>
      <c r="L203" s="13" t="s">
        <v>7</v>
      </c>
      <c r="M203" s="13" t="s">
        <v>11</v>
      </c>
      <c r="N203" s="13" t="s">
        <v>504</v>
      </c>
      <c r="O203" s="13" t="s">
        <v>80</v>
      </c>
    </row>
    <row r="204" spans="1:15" ht="42.75">
      <c r="A204" s="12">
        <v>200</v>
      </c>
      <c r="B204" s="12" t="s">
        <v>822</v>
      </c>
      <c r="C204" s="13" t="s">
        <v>811</v>
      </c>
      <c r="D204" s="13" t="s">
        <v>812</v>
      </c>
      <c r="E204" s="13" t="s">
        <v>812</v>
      </c>
      <c r="F204" s="13" t="s">
        <v>823</v>
      </c>
      <c r="G204" s="13" t="s">
        <v>824</v>
      </c>
      <c r="H204" s="13" t="s">
        <v>266</v>
      </c>
      <c r="I204" s="13" t="s">
        <v>16</v>
      </c>
      <c r="J204" s="13" t="s">
        <v>815</v>
      </c>
      <c r="K204" s="13" t="s">
        <v>1</v>
      </c>
      <c r="L204" s="13" t="s">
        <v>7</v>
      </c>
      <c r="M204" s="13" t="s">
        <v>11</v>
      </c>
      <c r="N204" s="13" t="s">
        <v>504</v>
      </c>
      <c r="O204" s="13" t="s">
        <v>84</v>
      </c>
    </row>
    <row r="205" spans="1:15" ht="28.5">
      <c r="A205" s="12">
        <v>201</v>
      </c>
      <c r="B205" s="12" t="s">
        <v>825</v>
      </c>
      <c r="C205" s="13" t="s">
        <v>811</v>
      </c>
      <c r="D205" s="13" t="s">
        <v>812</v>
      </c>
      <c r="E205" s="13" t="s">
        <v>812</v>
      </c>
      <c r="F205" s="13" t="s">
        <v>826</v>
      </c>
      <c r="G205" s="13" t="s">
        <v>827</v>
      </c>
      <c r="H205" s="13" t="s">
        <v>266</v>
      </c>
      <c r="I205" s="13" t="s">
        <v>88</v>
      </c>
      <c r="J205" s="13" t="s">
        <v>815</v>
      </c>
      <c r="K205" s="13" t="s">
        <v>2</v>
      </c>
      <c r="L205" s="13" t="s">
        <v>7</v>
      </c>
      <c r="M205" s="13" t="s">
        <v>11</v>
      </c>
      <c r="N205" s="13" t="s">
        <v>504</v>
      </c>
      <c r="O205" s="13" t="s">
        <v>89</v>
      </c>
    </row>
    <row r="206" spans="1:15" ht="28.5">
      <c r="A206" s="12">
        <v>202</v>
      </c>
      <c r="B206" s="12" t="s">
        <v>828</v>
      </c>
      <c r="C206" s="13" t="s">
        <v>811</v>
      </c>
      <c r="D206" s="13" t="s">
        <v>812</v>
      </c>
      <c r="E206" s="13" t="s">
        <v>812</v>
      </c>
      <c r="F206" s="13" t="s">
        <v>829</v>
      </c>
      <c r="G206" s="13" t="s">
        <v>830</v>
      </c>
      <c r="H206" s="13" t="s">
        <v>266</v>
      </c>
      <c r="I206" s="13" t="s">
        <v>93</v>
      </c>
      <c r="J206" s="13" t="s">
        <v>24</v>
      </c>
      <c r="K206" s="13" t="s">
        <v>815</v>
      </c>
      <c r="L206" s="13" t="s">
        <v>1</v>
      </c>
      <c r="M206" s="13" t="s">
        <v>7</v>
      </c>
      <c r="N206" s="13" t="s">
        <v>11</v>
      </c>
      <c r="O206" s="13" t="s">
        <v>504</v>
      </c>
    </row>
    <row r="207" spans="1:15" ht="28.5">
      <c r="A207" s="12">
        <v>203</v>
      </c>
      <c r="B207" s="12" t="s">
        <v>831</v>
      </c>
      <c r="C207" s="13" t="s">
        <v>811</v>
      </c>
      <c r="D207" s="13" t="s">
        <v>812</v>
      </c>
      <c r="E207" s="13" t="s">
        <v>832</v>
      </c>
      <c r="F207" s="13" t="s">
        <v>833</v>
      </c>
      <c r="G207" s="13" t="s">
        <v>834</v>
      </c>
      <c r="H207" s="13" t="s">
        <v>266</v>
      </c>
      <c r="I207" s="13" t="s">
        <v>16</v>
      </c>
      <c r="J207" s="13" t="s">
        <v>815</v>
      </c>
      <c r="K207" s="13" t="s">
        <v>1</v>
      </c>
      <c r="L207" s="13" t="s">
        <v>7</v>
      </c>
      <c r="M207" s="13" t="s">
        <v>11</v>
      </c>
      <c r="N207" s="13" t="s">
        <v>30</v>
      </c>
      <c r="O207" s="13"/>
    </row>
    <row r="208" spans="1:15" ht="28.5">
      <c r="A208" s="12">
        <v>204</v>
      </c>
      <c r="B208" s="12" t="s">
        <v>835</v>
      </c>
      <c r="C208" s="13" t="s">
        <v>811</v>
      </c>
      <c r="D208" s="13" t="s">
        <v>836</v>
      </c>
      <c r="E208" s="13" t="s">
        <v>837</v>
      </c>
      <c r="F208" s="13" t="s">
        <v>838</v>
      </c>
      <c r="G208" s="13" t="s">
        <v>839</v>
      </c>
      <c r="H208" s="13" t="s">
        <v>840</v>
      </c>
      <c r="I208" s="13" t="s">
        <v>16</v>
      </c>
      <c r="J208" s="13" t="s">
        <v>841</v>
      </c>
      <c r="K208" s="13" t="s">
        <v>2</v>
      </c>
      <c r="L208" s="13" t="s">
        <v>7</v>
      </c>
      <c r="M208" s="13" t="s">
        <v>11</v>
      </c>
      <c r="N208" s="13" t="s">
        <v>504</v>
      </c>
      <c r="O208" s="13" t="s">
        <v>72</v>
      </c>
    </row>
    <row r="209" spans="1:15" ht="28.5">
      <c r="A209" s="12">
        <v>205</v>
      </c>
      <c r="B209" s="12" t="s">
        <v>842</v>
      </c>
      <c r="C209" s="13" t="s">
        <v>811</v>
      </c>
      <c r="D209" s="13" t="s">
        <v>836</v>
      </c>
      <c r="E209" s="13" t="s">
        <v>837</v>
      </c>
      <c r="F209" s="13" t="s">
        <v>843</v>
      </c>
      <c r="G209" s="13" t="s">
        <v>844</v>
      </c>
      <c r="H209" s="13" t="s">
        <v>840</v>
      </c>
      <c r="I209" s="13" t="s">
        <v>16</v>
      </c>
      <c r="J209" s="13" t="s">
        <v>841</v>
      </c>
      <c r="K209" s="13" t="s">
        <v>2</v>
      </c>
      <c r="L209" s="13" t="s">
        <v>7</v>
      </c>
      <c r="M209" s="13" t="s">
        <v>11</v>
      </c>
      <c r="N209" s="13" t="s">
        <v>504</v>
      </c>
      <c r="O209" s="13" t="s">
        <v>76</v>
      </c>
    </row>
    <row r="210" spans="1:15" ht="28.5">
      <c r="A210" s="12">
        <v>206</v>
      </c>
      <c r="B210" s="12" t="s">
        <v>845</v>
      </c>
      <c r="C210" s="13" t="s">
        <v>811</v>
      </c>
      <c r="D210" s="13" t="s">
        <v>836</v>
      </c>
      <c r="E210" s="13" t="s">
        <v>837</v>
      </c>
      <c r="F210" s="13" t="s">
        <v>846</v>
      </c>
      <c r="G210" s="13" t="s">
        <v>847</v>
      </c>
      <c r="H210" s="13" t="s">
        <v>840</v>
      </c>
      <c r="I210" s="13" t="s">
        <v>16</v>
      </c>
      <c r="J210" s="13" t="s">
        <v>841</v>
      </c>
      <c r="K210" s="13" t="s">
        <v>2</v>
      </c>
      <c r="L210" s="13" t="s">
        <v>7</v>
      </c>
      <c r="M210" s="13" t="s">
        <v>11</v>
      </c>
      <c r="N210" s="13" t="s">
        <v>504</v>
      </c>
      <c r="O210" s="13" t="s">
        <v>80</v>
      </c>
    </row>
    <row r="211" spans="1:15" ht="42.75">
      <c r="A211" s="12">
        <v>207</v>
      </c>
      <c r="B211" s="12" t="s">
        <v>848</v>
      </c>
      <c r="C211" s="13" t="s">
        <v>811</v>
      </c>
      <c r="D211" s="13" t="s">
        <v>836</v>
      </c>
      <c r="E211" s="13" t="s">
        <v>837</v>
      </c>
      <c r="F211" s="13" t="s">
        <v>849</v>
      </c>
      <c r="G211" s="13" t="s">
        <v>850</v>
      </c>
      <c r="H211" s="13" t="s">
        <v>840</v>
      </c>
      <c r="I211" s="13" t="s">
        <v>16</v>
      </c>
      <c r="J211" s="13" t="s">
        <v>841</v>
      </c>
      <c r="K211" s="13" t="s">
        <v>2</v>
      </c>
      <c r="L211" s="13" t="s">
        <v>7</v>
      </c>
      <c r="M211" s="13" t="s">
        <v>11</v>
      </c>
      <c r="N211" s="13" t="s">
        <v>504</v>
      </c>
      <c r="O211" s="13" t="s">
        <v>84</v>
      </c>
    </row>
    <row r="212" spans="1:15" ht="28.5">
      <c r="A212" s="12">
        <v>208</v>
      </c>
      <c r="B212" s="12" t="s">
        <v>851</v>
      </c>
      <c r="C212" s="13" t="s">
        <v>811</v>
      </c>
      <c r="D212" s="13" t="s">
        <v>836</v>
      </c>
      <c r="E212" s="13" t="s">
        <v>837</v>
      </c>
      <c r="F212" s="13" t="s">
        <v>852</v>
      </c>
      <c r="G212" s="13" t="s">
        <v>853</v>
      </c>
      <c r="H212" s="13" t="s">
        <v>840</v>
      </c>
      <c r="I212" s="13" t="s">
        <v>88</v>
      </c>
      <c r="J212" s="13" t="s">
        <v>841</v>
      </c>
      <c r="K212" s="13" t="s">
        <v>2</v>
      </c>
      <c r="L212" s="13" t="s">
        <v>7</v>
      </c>
      <c r="M212" s="13" t="s">
        <v>11</v>
      </c>
      <c r="N212" s="13" t="s">
        <v>504</v>
      </c>
      <c r="O212" s="13" t="s">
        <v>89</v>
      </c>
    </row>
    <row r="213" spans="1:15" ht="42.75">
      <c r="A213" s="12">
        <v>209</v>
      </c>
      <c r="B213" s="12" t="s">
        <v>854</v>
      </c>
      <c r="C213" s="13" t="s">
        <v>811</v>
      </c>
      <c r="D213" s="13" t="s">
        <v>836</v>
      </c>
      <c r="E213" s="13" t="s">
        <v>837</v>
      </c>
      <c r="F213" s="13" t="s">
        <v>855</v>
      </c>
      <c r="G213" s="13" t="s">
        <v>856</v>
      </c>
      <c r="H213" s="13" t="s">
        <v>840</v>
      </c>
      <c r="I213" s="13" t="s">
        <v>243</v>
      </c>
      <c r="J213" s="13" t="s">
        <v>17</v>
      </c>
      <c r="K213" s="13" t="s">
        <v>841</v>
      </c>
      <c r="L213" s="13" t="s">
        <v>1</v>
      </c>
      <c r="M213" s="13" t="s">
        <v>7</v>
      </c>
      <c r="N213" s="13" t="s">
        <v>11</v>
      </c>
      <c r="O213" s="13" t="s">
        <v>504</v>
      </c>
    </row>
    <row r="214" spans="1:15" ht="28.5">
      <c r="A214" s="12">
        <v>210</v>
      </c>
      <c r="B214" s="12" t="s">
        <v>857</v>
      </c>
      <c r="C214" s="13" t="s">
        <v>811</v>
      </c>
      <c r="D214" s="13" t="s">
        <v>836</v>
      </c>
      <c r="E214" s="13" t="s">
        <v>837</v>
      </c>
      <c r="F214" s="13" t="s">
        <v>858</v>
      </c>
      <c r="G214" s="13" t="s">
        <v>859</v>
      </c>
      <c r="H214" s="13" t="s">
        <v>840</v>
      </c>
      <c r="I214" s="13" t="s">
        <v>93</v>
      </c>
      <c r="J214" s="13" t="s">
        <v>24</v>
      </c>
      <c r="K214" s="13" t="s">
        <v>841</v>
      </c>
      <c r="L214" s="13" t="s">
        <v>1</v>
      </c>
      <c r="M214" s="13" t="s">
        <v>7</v>
      </c>
      <c r="N214" s="13" t="s">
        <v>11</v>
      </c>
      <c r="O214" s="13" t="s">
        <v>504</v>
      </c>
    </row>
    <row r="215" spans="1:15" ht="28.5">
      <c r="A215" s="12">
        <v>211</v>
      </c>
      <c r="B215" s="12" t="s">
        <v>860</v>
      </c>
      <c r="C215" s="13" t="s">
        <v>811</v>
      </c>
      <c r="D215" s="13" t="s">
        <v>836</v>
      </c>
      <c r="E215" s="13" t="s">
        <v>861</v>
      </c>
      <c r="F215" s="13" t="s">
        <v>862</v>
      </c>
      <c r="G215" s="13" t="s">
        <v>863</v>
      </c>
      <c r="H215" s="13" t="s">
        <v>864</v>
      </c>
      <c r="I215" s="13" t="s">
        <v>16</v>
      </c>
      <c r="J215" s="13" t="s">
        <v>841</v>
      </c>
      <c r="K215" s="13" t="s">
        <v>2</v>
      </c>
      <c r="L215" s="13" t="s">
        <v>7</v>
      </c>
      <c r="M215" s="13" t="s">
        <v>11</v>
      </c>
      <c r="N215" s="13" t="s">
        <v>30</v>
      </c>
      <c r="O215" s="13"/>
    </row>
    <row r="216" spans="1:15" ht="28.5">
      <c r="A216" s="12">
        <v>212</v>
      </c>
      <c r="B216" s="12" t="s">
        <v>865</v>
      </c>
      <c r="C216" s="13" t="s">
        <v>811</v>
      </c>
      <c r="D216" s="13" t="s">
        <v>836</v>
      </c>
      <c r="E216" s="13" t="s">
        <v>866</v>
      </c>
      <c r="F216" s="13" t="s">
        <v>867</v>
      </c>
      <c r="G216" s="13" t="s">
        <v>868</v>
      </c>
      <c r="H216" s="13" t="s">
        <v>864</v>
      </c>
      <c r="I216" s="13" t="s">
        <v>16</v>
      </c>
      <c r="J216" s="13" t="s">
        <v>841</v>
      </c>
      <c r="K216" s="13" t="s">
        <v>2</v>
      </c>
      <c r="L216" s="13" t="s">
        <v>7</v>
      </c>
      <c r="M216" s="13" t="s">
        <v>11</v>
      </c>
      <c r="N216" s="13" t="s">
        <v>30</v>
      </c>
      <c r="O216" s="13"/>
    </row>
    <row r="217" spans="1:15" ht="42.75">
      <c r="A217" s="12">
        <v>213</v>
      </c>
      <c r="B217" s="12" t="s">
        <v>869</v>
      </c>
      <c r="C217" s="13" t="s">
        <v>811</v>
      </c>
      <c r="D217" s="13" t="s">
        <v>870</v>
      </c>
      <c r="E217" s="13" t="s">
        <v>871</v>
      </c>
      <c r="F217" s="13" t="s">
        <v>872</v>
      </c>
      <c r="G217" s="13" t="s">
        <v>873</v>
      </c>
      <c r="H217" s="13" t="s">
        <v>266</v>
      </c>
      <c r="I217" s="13" t="s">
        <v>16</v>
      </c>
      <c r="J217" s="13" t="s">
        <v>874</v>
      </c>
      <c r="K217" s="13" t="s">
        <v>2</v>
      </c>
      <c r="L217" s="13" t="s">
        <v>8</v>
      </c>
      <c r="M217" s="13" t="s">
        <v>11</v>
      </c>
      <c r="N217" s="13" t="s">
        <v>504</v>
      </c>
      <c r="O217" s="13" t="s">
        <v>72</v>
      </c>
    </row>
    <row r="218" spans="1:15" ht="42.75">
      <c r="A218" s="12">
        <v>214</v>
      </c>
      <c r="B218" s="12" t="s">
        <v>875</v>
      </c>
      <c r="C218" s="13" t="s">
        <v>811</v>
      </c>
      <c r="D218" s="13" t="s">
        <v>870</v>
      </c>
      <c r="E218" s="13" t="s">
        <v>871</v>
      </c>
      <c r="F218" s="13" t="s">
        <v>876</v>
      </c>
      <c r="G218" s="13" t="s">
        <v>877</v>
      </c>
      <c r="H218" s="13" t="s">
        <v>266</v>
      </c>
      <c r="I218" s="13" t="s">
        <v>16</v>
      </c>
      <c r="J218" s="13" t="s">
        <v>874</v>
      </c>
      <c r="K218" s="13" t="s">
        <v>2</v>
      </c>
      <c r="L218" s="13" t="s">
        <v>8</v>
      </c>
      <c r="M218" s="13" t="s">
        <v>11</v>
      </c>
      <c r="N218" s="13" t="s">
        <v>504</v>
      </c>
      <c r="O218" s="13" t="s">
        <v>76</v>
      </c>
    </row>
    <row r="219" spans="1:15" ht="42.75">
      <c r="A219" s="12">
        <v>215</v>
      </c>
      <c r="B219" s="12" t="s">
        <v>878</v>
      </c>
      <c r="C219" s="13" t="s">
        <v>811</v>
      </c>
      <c r="D219" s="13" t="s">
        <v>870</v>
      </c>
      <c r="E219" s="13" t="s">
        <v>871</v>
      </c>
      <c r="F219" s="13" t="s">
        <v>879</v>
      </c>
      <c r="G219" s="13" t="s">
        <v>880</v>
      </c>
      <c r="H219" s="13" t="s">
        <v>266</v>
      </c>
      <c r="I219" s="13" t="s">
        <v>16</v>
      </c>
      <c r="J219" s="13" t="s">
        <v>874</v>
      </c>
      <c r="K219" s="13" t="s">
        <v>2</v>
      </c>
      <c r="L219" s="13" t="s">
        <v>8</v>
      </c>
      <c r="M219" s="13" t="s">
        <v>11</v>
      </c>
      <c r="N219" s="13" t="s">
        <v>504</v>
      </c>
      <c r="O219" s="13" t="s">
        <v>80</v>
      </c>
    </row>
    <row r="220" spans="1:15" ht="42.75">
      <c r="A220" s="12">
        <v>216</v>
      </c>
      <c r="B220" s="12" t="s">
        <v>881</v>
      </c>
      <c r="C220" s="13" t="s">
        <v>811</v>
      </c>
      <c r="D220" s="13" t="s">
        <v>870</v>
      </c>
      <c r="E220" s="13" t="s">
        <v>871</v>
      </c>
      <c r="F220" s="13" t="s">
        <v>882</v>
      </c>
      <c r="G220" s="13" t="s">
        <v>883</v>
      </c>
      <c r="H220" s="13" t="s">
        <v>266</v>
      </c>
      <c r="I220" s="13" t="s">
        <v>16</v>
      </c>
      <c r="J220" s="13" t="s">
        <v>874</v>
      </c>
      <c r="K220" s="13" t="s">
        <v>2</v>
      </c>
      <c r="L220" s="13" t="s">
        <v>8</v>
      </c>
      <c r="M220" s="13" t="s">
        <v>11</v>
      </c>
      <c r="N220" s="13" t="s">
        <v>504</v>
      </c>
      <c r="O220" s="13" t="s">
        <v>84</v>
      </c>
    </row>
    <row r="221" spans="1:15" ht="42.75">
      <c r="A221" s="12">
        <v>217</v>
      </c>
      <c r="B221" s="12" t="s">
        <v>884</v>
      </c>
      <c r="C221" s="13" t="s">
        <v>811</v>
      </c>
      <c r="D221" s="13" t="s">
        <v>870</v>
      </c>
      <c r="E221" s="13" t="s">
        <v>871</v>
      </c>
      <c r="F221" s="13" t="s">
        <v>885</v>
      </c>
      <c r="G221" s="13" t="s">
        <v>886</v>
      </c>
      <c r="H221" s="13" t="s">
        <v>266</v>
      </c>
      <c r="I221" s="13" t="s">
        <v>88</v>
      </c>
      <c r="J221" s="13" t="s">
        <v>874</v>
      </c>
      <c r="K221" s="13" t="s">
        <v>2</v>
      </c>
      <c r="L221" s="13" t="s">
        <v>8</v>
      </c>
      <c r="M221" s="13" t="s">
        <v>11</v>
      </c>
      <c r="N221" s="13" t="s">
        <v>504</v>
      </c>
      <c r="O221" s="13" t="s">
        <v>89</v>
      </c>
    </row>
    <row r="222" spans="1:15" ht="42.75">
      <c r="A222" s="12">
        <v>218</v>
      </c>
      <c r="B222" s="12" t="s">
        <v>887</v>
      </c>
      <c r="C222" s="13" t="s">
        <v>811</v>
      </c>
      <c r="D222" s="13" t="s">
        <v>870</v>
      </c>
      <c r="E222" s="13" t="s">
        <v>871</v>
      </c>
      <c r="F222" s="13" t="s">
        <v>888</v>
      </c>
      <c r="G222" s="13" t="s">
        <v>889</v>
      </c>
      <c r="H222" s="13" t="s">
        <v>266</v>
      </c>
      <c r="I222" s="13" t="s">
        <v>93</v>
      </c>
      <c r="J222" s="13" t="s">
        <v>24</v>
      </c>
      <c r="K222" s="13" t="s">
        <v>874</v>
      </c>
      <c r="L222" s="13" t="s">
        <v>1</v>
      </c>
      <c r="M222" s="13" t="s">
        <v>8</v>
      </c>
      <c r="N222" s="13" t="s">
        <v>11</v>
      </c>
      <c r="O222" s="13" t="s">
        <v>504</v>
      </c>
    </row>
    <row r="223" spans="1:15" ht="28.5">
      <c r="A223" s="12">
        <v>219</v>
      </c>
      <c r="B223" s="12" t="s">
        <v>890</v>
      </c>
      <c r="C223" s="13" t="s">
        <v>811</v>
      </c>
      <c r="D223" s="13" t="s">
        <v>891</v>
      </c>
      <c r="E223" s="13" t="s">
        <v>892</v>
      </c>
      <c r="F223" s="13" t="s">
        <v>893</v>
      </c>
      <c r="G223" s="13" t="s">
        <v>894</v>
      </c>
      <c r="H223" s="13" t="s">
        <v>266</v>
      </c>
      <c r="I223" s="13" t="s">
        <v>16</v>
      </c>
      <c r="J223" s="13" t="s">
        <v>815</v>
      </c>
      <c r="K223" s="13" t="s">
        <v>3</v>
      </c>
      <c r="L223" s="13" t="s">
        <v>8</v>
      </c>
      <c r="M223" s="13" t="s">
        <v>11</v>
      </c>
      <c r="N223" s="13" t="s">
        <v>30</v>
      </c>
      <c r="O223" s="13"/>
    </row>
    <row r="224" spans="1:15" ht="28.5">
      <c r="A224" s="12">
        <v>220</v>
      </c>
      <c r="B224" s="12" t="s">
        <v>895</v>
      </c>
      <c r="C224" s="13" t="s">
        <v>896</v>
      </c>
      <c r="D224" s="13" t="s">
        <v>897</v>
      </c>
      <c r="E224" s="13" t="s">
        <v>898</v>
      </c>
      <c r="F224" s="13" t="s">
        <v>899</v>
      </c>
      <c r="G224" s="13" t="s">
        <v>900</v>
      </c>
      <c r="H224" s="13" t="s">
        <v>494</v>
      </c>
      <c r="I224" s="13" t="s">
        <v>21</v>
      </c>
      <c r="J224" s="13" t="s">
        <v>901</v>
      </c>
      <c r="K224" s="13" t="s">
        <v>1</v>
      </c>
      <c r="L224" s="13" t="s">
        <v>7</v>
      </c>
      <c r="M224" s="13" t="s">
        <v>11</v>
      </c>
      <c r="N224" s="13" t="s">
        <v>29</v>
      </c>
      <c r="O224" s="13"/>
    </row>
    <row r="225" spans="1:15" ht="28.5">
      <c r="A225" s="12">
        <v>221</v>
      </c>
      <c r="B225" s="12" t="s">
        <v>902</v>
      </c>
      <c r="C225" s="13" t="s">
        <v>896</v>
      </c>
      <c r="D225" s="13" t="s">
        <v>897</v>
      </c>
      <c r="E225" s="13" t="s">
        <v>903</v>
      </c>
      <c r="F225" s="13" t="s">
        <v>904</v>
      </c>
      <c r="G225" s="13" t="s">
        <v>905</v>
      </c>
      <c r="H225" s="13" t="s">
        <v>494</v>
      </c>
      <c r="I225" s="13" t="s">
        <v>21</v>
      </c>
      <c r="J225" s="13" t="s">
        <v>901</v>
      </c>
      <c r="K225" s="13" t="s">
        <v>2</v>
      </c>
      <c r="L225" s="13" t="s">
        <v>7</v>
      </c>
      <c r="M225" s="13" t="s">
        <v>11</v>
      </c>
      <c r="N225" s="13" t="s">
        <v>30</v>
      </c>
      <c r="O225" s="13"/>
    </row>
    <row r="226" spans="1:15" ht="28.5">
      <c r="A226" s="12">
        <v>222</v>
      </c>
      <c r="B226" s="12" t="s">
        <v>906</v>
      </c>
      <c r="C226" s="13" t="s">
        <v>896</v>
      </c>
      <c r="D226" s="13" t="s">
        <v>897</v>
      </c>
      <c r="E226" s="13" t="s">
        <v>903</v>
      </c>
      <c r="F226" s="13" t="s">
        <v>907</v>
      </c>
      <c r="G226" s="13" t="s">
        <v>908</v>
      </c>
      <c r="H226" s="13" t="s">
        <v>494</v>
      </c>
      <c r="I226" s="13" t="s">
        <v>21</v>
      </c>
      <c r="J226" s="13" t="s">
        <v>901</v>
      </c>
      <c r="K226" s="13" t="s">
        <v>2</v>
      </c>
      <c r="L226" s="13" t="s">
        <v>7</v>
      </c>
      <c r="M226" s="13" t="s">
        <v>11</v>
      </c>
      <c r="N226" s="13" t="s">
        <v>30</v>
      </c>
      <c r="O226" s="13"/>
    </row>
    <row r="227" spans="1:15" ht="28.5">
      <c r="A227" s="12">
        <v>223</v>
      </c>
      <c r="B227" s="12" t="s">
        <v>909</v>
      </c>
      <c r="C227" s="13" t="s">
        <v>896</v>
      </c>
      <c r="D227" s="13" t="s">
        <v>897</v>
      </c>
      <c r="E227" s="13" t="s">
        <v>903</v>
      </c>
      <c r="F227" s="13" t="s">
        <v>910</v>
      </c>
      <c r="G227" s="13" t="s">
        <v>911</v>
      </c>
      <c r="H227" s="13" t="s">
        <v>494</v>
      </c>
      <c r="I227" s="13" t="s">
        <v>21</v>
      </c>
      <c r="J227" s="13" t="s">
        <v>901</v>
      </c>
      <c r="K227" s="13" t="s">
        <v>2</v>
      </c>
      <c r="L227" s="13" t="s">
        <v>7</v>
      </c>
      <c r="M227" s="13" t="s">
        <v>11</v>
      </c>
      <c r="N227" s="13" t="s">
        <v>30</v>
      </c>
      <c r="O227" s="13"/>
    </row>
    <row r="228" spans="1:15" ht="28.5">
      <c r="A228" s="12">
        <v>224</v>
      </c>
      <c r="B228" s="12" t="s">
        <v>912</v>
      </c>
      <c r="C228" s="13" t="s">
        <v>896</v>
      </c>
      <c r="D228" s="13" t="s">
        <v>897</v>
      </c>
      <c r="E228" s="13" t="s">
        <v>903</v>
      </c>
      <c r="F228" s="13" t="s">
        <v>913</v>
      </c>
      <c r="G228" s="13" t="s">
        <v>914</v>
      </c>
      <c r="H228" s="13" t="s">
        <v>494</v>
      </c>
      <c r="I228" s="13" t="s">
        <v>21</v>
      </c>
      <c r="J228" s="13" t="s">
        <v>901</v>
      </c>
      <c r="K228" s="13" t="s">
        <v>2</v>
      </c>
      <c r="L228" s="13" t="s">
        <v>7</v>
      </c>
      <c r="M228" s="13" t="s">
        <v>11</v>
      </c>
      <c r="N228" s="13" t="s">
        <v>30</v>
      </c>
      <c r="O228" s="13"/>
    </row>
    <row r="229" spans="1:15" ht="28.5">
      <c r="A229" s="12">
        <v>225</v>
      </c>
      <c r="B229" s="12" t="s">
        <v>915</v>
      </c>
      <c r="C229" s="13" t="s">
        <v>896</v>
      </c>
      <c r="D229" s="13" t="s">
        <v>897</v>
      </c>
      <c r="E229" s="13" t="s">
        <v>903</v>
      </c>
      <c r="F229" s="13" t="s">
        <v>916</v>
      </c>
      <c r="G229" s="13" t="s">
        <v>917</v>
      </c>
      <c r="H229" s="13" t="s">
        <v>494</v>
      </c>
      <c r="I229" s="13" t="s">
        <v>21</v>
      </c>
      <c r="J229" s="13" t="s">
        <v>901</v>
      </c>
      <c r="K229" s="13" t="s">
        <v>2</v>
      </c>
      <c r="L229" s="13" t="s">
        <v>7</v>
      </c>
      <c r="M229" s="13" t="s">
        <v>11</v>
      </c>
      <c r="N229" s="13" t="s">
        <v>30</v>
      </c>
      <c r="O229" s="13"/>
    </row>
    <row r="230" spans="1:15" ht="28.5">
      <c r="A230" s="12">
        <v>226</v>
      </c>
      <c r="B230" s="12" t="s">
        <v>918</v>
      </c>
      <c r="C230" s="13" t="s">
        <v>896</v>
      </c>
      <c r="D230" s="13" t="s">
        <v>897</v>
      </c>
      <c r="E230" s="13" t="s">
        <v>903</v>
      </c>
      <c r="F230" s="13" t="s">
        <v>919</v>
      </c>
      <c r="G230" s="13" t="s">
        <v>920</v>
      </c>
      <c r="H230" s="13" t="s">
        <v>494</v>
      </c>
      <c r="I230" s="13" t="s">
        <v>21</v>
      </c>
      <c r="J230" s="13" t="s">
        <v>901</v>
      </c>
      <c r="K230" s="13" t="s">
        <v>2</v>
      </c>
      <c r="L230" s="13" t="s">
        <v>7</v>
      </c>
      <c r="M230" s="13" t="s">
        <v>11</v>
      </c>
      <c r="N230" s="13" t="s">
        <v>30</v>
      </c>
      <c r="O230" s="13"/>
    </row>
    <row r="231" spans="1:15" ht="28.5">
      <c r="A231" s="12">
        <v>227</v>
      </c>
      <c r="B231" s="12" t="s">
        <v>921</v>
      </c>
      <c r="C231" s="13" t="s">
        <v>896</v>
      </c>
      <c r="D231" s="13" t="s">
        <v>922</v>
      </c>
      <c r="E231" s="13" t="s">
        <v>923</v>
      </c>
      <c r="F231" s="13" t="s">
        <v>924</v>
      </c>
      <c r="G231" s="13" t="s">
        <v>925</v>
      </c>
      <c r="H231" s="13" t="s">
        <v>260</v>
      </c>
      <c r="I231" s="13" t="s">
        <v>21</v>
      </c>
      <c r="J231" s="13" t="s">
        <v>901</v>
      </c>
      <c r="K231" s="13" t="s">
        <v>1</v>
      </c>
      <c r="L231" s="13" t="s">
        <v>7</v>
      </c>
      <c r="M231" s="13" t="s">
        <v>11</v>
      </c>
      <c r="N231" s="13" t="s">
        <v>30</v>
      </c>
      <c r="O231" s="13"/>
    </row>
    <row r="232" spans="1:15" ht="28.5">
      <c r="A232" s="12">
        <v>228</v>
      </c>
      <c r="B232" s="12" t="s">
        <v>926</v>
      </c>
      <c r="C232" s="13" t="s">
        <v>896</v>
      </c>
      <c r="D232" s="13" t="s">
        <v>922</v>
      </c>
      <c r="E232" s="13" t="s">
        <v>927</v>
      </c>
      <c r="F232" s="13" t="s">
        <v>928</v>
      </c>
      <c r="G232" s="13" t="s">
        <v>929</v>
      </c>
      <c r="H232" s="13" t="s">
        <v>930</v>
      </c>
      <c r="I232" s="13" t="s">
        <v>21</v>
      </c>
      <c r="J232" s="13" t="s">
        <v>901</v>
      </c>
      <c r="K232" s="13" t="s">
        <v>1</v>
      </c>
      <c r="L232" s="13" t="s">
        <v>7</v>
      </c>
      <c r="M232" s="13" t="s">
        <v>11</v>
      </c>
      <c r="N232" s="13" t="s">
        <v>30</v>
      </c>
      <c r="O232" s="13"/>
    </row>
    <row r="233" spans="1:15" ht="28.5">
      <c r="A233" s="12">
        <v>229</v>
      </c>
      <c r="B233" s="12" t="s">
        <v>931</v>
      </c>
      <c r="C233" s="13" t="s">
        <v>896</v>
      </c>
      <c r="D233" s="13" t="s">
        <v>922</v>
      </c>
      <c r="E233" s="13" t="s">
        <v>932</v>
      </c>
      <c r="F233" s="13" t="s">
        <v>933</v>
      </c>
      <c r="G233" s="13" t="s">
        <v>934</v>
      </c>
      <c r="H233" s="13" t="s">
        <v>930</v>
      </c>
      <c r="I233" s="13" t="s">
        <v>21</v>
      </c>
      <c r="J233" s="13" t="s">
        <v>901</v>
      </c>
      <c r="K233" s="13" t="s">
        <v>2</v>
      </c>
      <c r="L233" s="13" t="s">
        <v>7</v>
      </c>
      <c r="M233" s="13" t="s">
        <v>11</v>
      </c>
      <c r="N233" s="13" t="s">
        <v>30</v>
      </c>
      <c r="O233" s="13"/>
    </row>
    <row r="234" spans="1:15" ht="28.5">
      <c r="A234" s="12">
        <v>230</v>
      </c>
      <c r="B234" s="12" t="s">
        <v>935</v>
      </c>
      <c r="C234" s="13" t="s">
        <v>936</v>
      </c>
      <c r="D234" s="13" t="s">
        <v>937</v>
      </c>
      <c r="E234" s="13" t="s">
        <v>937</v>
      </c>
      <c r="F234" s="13" t="s">
        <v>938</v>
      </c>
      <c r="G234" s="13" t="s">
        <v>939</v>
      </c>
      <c r="H234" s="13" t="s">
        <v>940</v>
      </c>
      <c r="I234" s="13" t="s">
        <v>16</v>
      </c>
      <c r="J234" s="13" t="s">
        <v>941</v>
      </c>
      <c r="K234" s="13" t="s">
        <v>2</v>
      </c>
      <c r="L234" s="13" t="s">
        <v>7</v>
      </c>
      <c r="M234" s="13" t="s">
        <v>11</v>
      </c>
      <c r="N234" s="13" t="s">
        <v>504</v>
      </c>
      <c r="O234" s="13" t="s">
        <v>72</v>
      </c>
    </row>
    <row r="235" spans="1:15" ht="28.5">
      <c r="A235" s="12">
        <v>231</v>
      </c>
      <c r="B235" s="12" t="s">
        <v>942</v>
      </c>
      <c r="C235" s="13" t="s">
        <v>936</v>
      </c>
      <c r="D235" s="13" t="s">
        <v>937</v>
      </c>
      <c r="E235" s="13" t="s">
        <v>937</v>
      </c>
      <c r="F235" s="13" t="s">
        <v>943</v>
      </c>
      <c r="G235" s="13" t="s">
        <v>944</v>
      </c>
      <c r="H235" s="13" t="s">
        <v>940</v>
      </c>
      <c r="I235" s="13" t="s">
        <v>16</v>
      </c>
      <c r="J235" s="13" t="s">
        <v>941</v>
      </c>
      <c r="K235" s="13" t="s">
        <v>2</v>
      </c>
      <c r="L235" s="13" t="s">
        <v>7</v>
      </c>
      <c r="M235" s="13" t="s">
        <v>11</v>
      </c>
      <c r="N235" s="13" t="s">
        <v>504</v>
      </c>
      <c r="O235" s="13" t="s">
        <v>76</v>
      </c>
    </row>
    <row r="236" spans="1:15" ht="28.5">
      <c r="A236" s="12">
        <v>232</v>
      </c>
      <c r="B236" s="12" t="s">
        <v>945</v>
      </c>
      <c r="C236" s="13" t="s">
        <v>936</v>
      </c>
      <c r="D236" s="13" t="s">
        <v>937</v>
      </c>
      <c r="E236" s="13" t="s">
        <v>937</v>
      </c>
      <c r="F236" s="13" t="s">
        <v>946</v>
      </c>
      <c r="G236" s="13" t="s">
        <v>947</v>
      </c>
      <c r="H236" s="13" t="s">
        <v>940</v>
      </c>
      <c r="I236" s="13" t="s">
        <v>16</v>
      </c>
      <c r="J236" s="13" t="s">
        <v>941</v>
      </c>
      <c r="K236" s="13" t="s">
        <v>2</v>
      </c>
      <c r="L236" s="13" t="s">
        <v>7</v>
      </c>
      <c r="M236" s="13" t="s">
        <v>11</v>
      </c>
      <c r="N236" s="13" t="s">
        <v>504</v>
      </c>
      <c r="O236" s="13" t="s">
        <v>80</v>
      </c>
    </row>
    <row r="237" spans="1:15" ht="42.75">
      <c r="A237" s="12">
        <v>233</v>
      </c>
      <c r="B237" s="12" t="s">
        <v>948</v>
      </c>
      <c r="C237" s="13" t="s">
        <v>936</v>
      </c>
      <c r="D237" s="13" t="s">
        <v>937</v>
      </c>
      <c r="E237" s="13" t="s">
        <v>937</v>
      </c>
      <c r="F237" s="13" t="s">
        <v>949</v>
      </c>
      <c r="G237" s="13" t="s">
        <v>950</v>
      </c>
      <c r="H237" s="13" t="s">
        <v>940</v>
      </c>
      <c r="I237" s="13" t="s">
        <v>16</v>
      </c>
      <c r="J237" s="13" t="s">
        <v>941</v>
      </c>
      <c r="K237" s="13" t="s">
        <v>2</v>
      </c>
      <c r="L237" s="13" t="s">
        <v>7</v>
      </c>
      <c r="M237" s="13" t="s">
        <v>11</v>
      </c>
      <c r="N237" s="13" t="s">
        <v>504</v>
      </c>
      <c r="O237" s="13" t="s">
        <v>84</v>
      </c>
    </row>
    <row r="238" spans="1:15" ht="28.5">
      <c r="A238" s="12">
        <v>234</v>
      </c>
      <c r="B238" s="12" t="s">
        <v>951</v>
      </c>
      <c r="C238" s="13" t="s">
        <v>936</v>
      </c>
      <c r="D238" s="13" t="s">
        <v>937</v>
      </c>
      <c r="E238" s="13" t="s">
        <v>937</v>
      </c>
      <c r="F238" s="13" t="s">
        <v>952</v>
      </c>
      <c r="G238" s="13" t="s">
        <v>953</v>
      </c>
      <c r="H238" s="13" t="s">
        <v>940</v>
      </c>
      <c r="I238" s="13" t="s">
        <v>88</v>
      </c>
      <c r="J238" s="13" t="s">
        <v>941</v>
      </c>
      <c r="K238" s="13" t="s">
        <v>2</v>
      </c>
      <c r="L238" s="13" t="s">
        <v>7</v>
      </c>
      <c r="M238" s="13" t="s">
        <v>11</v>
      </c>
      <c r="N238" s="13" t="s">
        <v>504</v>
      </c>
      <c r="O238" s="13" t="s">
        <v>89</v>
      </c>
    </row>
    <row r="239" spans="1:15" ht="42.75">
      <c r="A239" s="12">
        <v>235</v>
      </c>
      <c r="B239" s="12" t="s">
        <v>954</v>
      </c>
      <c r="C239" s="13" t="s">
        <v>936</v>
      </c>
      <c r="D239" s="13" t="s">
        <v>937</v>
      </c>
      <c r="E239" s="13" t="s">
        <v>937</v>
      </c>
      <c r="F239" s="13" t="s">
        <v>955</v>
      </c>
      <c r="G239" s="13" t="s">
        <v>956</v>
      </c>
      <c r="H239" s="13" t="s">
        <v>940</v>
      </c>
      <c r="I239" s="13" t="s">
        <v>243</v>
      </c>
      <c r="J239" s="13" t="s">
        <v>17</v>
      </c>
      <c r="K239" s="13" t="s">
        <v>941</v>
      </c>
      <c r="L239" s="13" t="s">
        <v>1</v>
      </c>
      <c r="M239" s="13" t="s">
        <v>7</v>
      </c>
      <c r="N239" s="13" t="s">
        <v>11</v>
      </c>
      <c r="O239" s="13" t="s">
        <v>504</v>
      </c>
    </row>
    <row r="240" spans="1:15" ht="28.5">
      <c r="A240" s="12">
        <v>236</v>
      </c>
      <c r="B240" s="12" t="s">
        <v>957</v>
      </c>
      <c r="C240" s="13" t="s">
        <v>936</v>
      </c>
      <c r="D240" s="13" t="s">
        <v>937</v>
      </c>
      <c r="E240" s="13" t="s">
        <v>937</v>
      </c>
      <c r="F240" s="13" t="s">
        <v>958</v>
      </c>
      <c r="G240" s="13" t="s">
        <v>959</v>
      </c>
      <c r="H240" s="13" t="s">
        <v>940</v>
      </c>
      <c r="I240" s="13" t="s">
        <v>93</v>
      </c>
      <c r="J240" s="13" t="s">
        <v>24</v>
      </c>
      <c r="K240" s="13" t="s">
        <v>941</v>
      </c>
      <c r="L240" s="13" t="s">
        <v>1</v>
      </c>
      <c r="M240" s="13" t="s">
        <v>7</v>
      </c>
      <c r="N240" s="13" t="s">
        <v>11</v>
      </c>
      <c r="O240" s="13" t="s">
        <v>504</v>
      </c>
    </row>
    <row r="241" spans="1:15" ht="28.5">
      <c r="A241" s="12">
        <v>237</v>
      </c>
      <c r="B241" s="12" t="s">
        <v>960</v>
      </c>
      <c r="C241" s="13" t="s">
        <v>936</v>
      </c>
      <c r="D241" s="13" t="s">
        <v>937</v>
      </c>
      <c r="E241" s="13" t="s">
        <v>217</v>
      </c>
      <c r="F241" s="13" t="s">
        <v>961</v>
      </c>
      <c r="G241" s="13" t="s">
        <v>962</v>
      </c>
      <c r="H241" s="13" t="s">
        <v>940</v>
      </c>
      <c r="I241" s="13" t="s">
        <v>16</v>
      </c>
      <c r="J241" s="13" t="s">
        <v>941</v>
      </c>
      <c r="K241" s="13" t="s">
        <v>2</v>
      </c>
      <c r="L241" s="13" t="s">
        <v>7</v>
      </c>
      <c r="M241" s="13" t="s">
        <v>11</v>
      </c>
      <c r="N241" s="13" t="s">
        <v>30</v>
      </c>
      <c r="O241" s="13"/>
    </row>
    <row r="242" spans="1:15" ht="28.5">
      <c r="A242" s="12">
        <v>238</v>
      </c>
      <c r="B242" s="12" t="s">
        <v>963</v>
      </c>
      <c r="C242" s="13" t="s">
        <v>936</v>
      </c>
      <c r="D242" s="13" t="s">
        <v>964</v>
      </c>
      <c r="E242" s="13" t="s">
        <v>965</v>
      </c>
      <c r="F242" s="13" t="s">
        <v>966</v>
      </c>
      <c r="G242" s="13" t="s">
        <v>967</v>
      </c>
      <c r="H242" s="13" t="s">
        <v>968</v>
      </c>
      <c r="I242" s="13" t="s">
        <v>16</v>
      </c>
      <c r="J242" s="13" t="s">
        <v>941</v>
      </c>
      <c r="K242" s="13" t="s">
        <v>2</v>
      </c>
      <c r="L242" s="13" t="s">
        <v>7</v>
      </c>
      <c r="M242" s="13" t="s">
        <v>11</v>
      </c>
      <c r="N242" s="13" t="s">
        <v>30</v>
      </c>
      <c r="O242" s="13"/>
    </row>
    <row r="243" spans="1:15" ht="28.5">
      <c r="A243" s="12">
        <v>239</v>
      </c>
      <c r="B243" s="12" t="s">
        <v>969</v>
      </c>
      <c r="C243" s="13" t="s">
        <v>936</v>
      </c>
      <c r="D243" s="13" t="s">
        <v>964</v>
      </c>
      <c r="E243" s="13" t="s">
        <v>970</v>
      </c>
      <c r="F243" s="13" t="s">
        <v>971</v>
      </c>
      <c r="G243" s="13" t="s">
        <v>972</v>
      </c>
      <c r="H243" s="13" t="s">
        <v>973</v>
      </c>
      <c r="I243" s="13" t="s">
        <v>16</v>
      </c>
      <c r="J243" s="13" t="s">
        <v>941</v>
      </c>
      <c r="K243" s="13" t="s">
        <v>3</v>
      </c>
      <c r="L243" s="13" t="s">
        <v>8</v>
      </c>
      <c r="M243" s="13" t="s">
        <v>11</v>
      </c>
      <c r="N243" s="13" t="s">
        <v>30</v>
      </c>
      <c r="O243" s="13"/>
    </row>
    <row r="244" spans="1:15" ht="28.5">
      <c r="A244" s="12">
        <v>240</v>
      </c>
      <c r="B244" s="12" t="s">
        <v>974</v>
      </c>
      <c r="C244" s="13" t="s">
        <v>936</v>
      </c>
      <c r="D244" s="13" t="s">
        <v>975</v>
      </c>
      <c r="E244" s="13" t="s">
        <v>976</v>
      </c>
      <c r="F244" s="13" t="s">
        <v>977</v>
      </c>
      <c r="G244" s="13" t="s">
        <v>978</v>
      </c>
      <c r="H244" s="13" t="s">
        <v>206</v>
      </c>
      <c r="I244" s="13" t="s">
        <v>18</v>
      </c>
      <c r="J244" s="13"/>
      <c r="K244" s="13" t="s">
        <v>2</v>
      </c>
      <c r="L244" s="13" t="s">
        <v>7</v>
      </c>
      <c r="M244" s="13" t="s">
        <v>11</v>
      </c>
      <c r="N244" s="13" t="s">
        <v>30</v>
      </c>
      <c r="O244" s="13"/>
    </row>
    <row r="245" spans="1:15" ht="28.5">
      <c r="A245" s="12">
        <v>241</v>
      </c>
      <c r="B245" s="12" t="s">
        <v>979</v>
      </c>
      <c r="C245" s="13" t="s">
        <v>936</v>
      </c>
      <c r="D245" s="13" t="s">
        <v>975</v>
      </c>
      <c r="E245" s="13" t="s">
        <v>976</v>
      </c>
      <c r="F245" s="13" t="s">
        <v>980</v>
      </c>
      <c r="G245" s="13" t="s">
        <v>981</v>
      </c>
      <c r="H245" s="13" t="s">
        <v>206</v>
      </c>
      <c r="I245" s="13" t="s">
        <v>18</v>
      </c>
      <c r="J245" s="13"/>
      <c r="K245" s="13" t="s">
        <v>3</v>
      </c>
      <c r="L245" s="13" t="s">
        <v>8</v>
      </c>
      <c r="M245" s="13" t="s">
        <v>11</v>
      </c>
      <c r="N245" s="13" t="s">
        <v>30</v>
      </c>
      <c r="O245" s="13"/>
    </row>
    <row r="246" spans="1:15" ht="28.5">
      <c r="A246" s="12">
        <v>242</v>
      </c>
      <c r="B246" s="12" t="s">
        <v>982</v>
      </c>
      <c r="C246" s="13" t="s">
        <v>983</v>
      </c>
      <c r="D246" s="13" t="s">
        <v>984</v>
      </c>
      <c r="E246" s="13" t="s">
        <v>985</v>
      </c>
      <c r="F246" s="13" t="s">
        <v>986</v>
      </c>
      <c r="G246" s="13" t="s">
        <v>987</v>
      </c>
      <c r="H246" s="13" t="s">
        <v>988</v>
      </c>
      <c r="I246" s="13" t="s">
        <v>16</v>
      </c>
      <c r="J246" s="13"/>
      <c r="K246" s="13" t="s">
        <v>1</v>
      </c>
      <c r="L246" s="13" t="s">
        <v>6</v>
      </c>
      <c r="M246" s="13" t="s">
        <v>11</v>
      </c>
      <c r="N246" s="13" t="s">
        <v>29</v>
      </c>
      <c r="O246" s="13" t="s">
        <v>72</v>
      </c>
    </row>
    <row r="247" spans="1:15" ht="28.5">
      <c r="A247" s="12">
        <v>243</v>
      </c>
      <c r="B247" s="12" t="s">
        <v>989</v>
      </c>
      <c r="C247" s="13" t="s">
        <v>983</v>
      </c>
      <c r="D247" s="13" t="s">
        <v>984</v>
      </c>
      <c r="E247" s="13" t="s">
        <v>985</v>
      </c>
      <c r="F247" s="13" t="s">
        <v>990</v>
      </c>
      <c r="G247" s="13" t="s">
        <v>991</v>
      </c>
      <c r="H247" s="13" t="s">
        <v>988</v>
      </c>
      <c r="I247" s="13" t="s">
        <v>16</v>
      </c>
      <c r="J247" s="13"/>
      <c r="K247" s="13" t="s">
        <v>1</v>
      </c>
      <c r="L247" s="13" t="s">
        <v>6</v>
      </c>
      <c r="M247" s="13" t="s">
        <v>11</v>
      </c>
      <c r="N247" s="13" t="s">
        <v>29</v>
      </c>
      <c r="O247" s="13" t="s">
        <v>76</v>
      </c>
    </row>
    <row r="248" spans="1:15" ht="28.5">
      <c r="A248" s="12">
        <v>244</v>
      </c>
      <c r="B248" s="12" t="s">
        <v>992</v>
      </c>
      <c r="C248" s="13" t="s">
        <v>983</v>
      </c>
      <c r="D248" s="13" t="s">
        <v>984</v>
      </c>
      <c r="E248" s="13" t="s">
        <v>985</v>
      </c>
      <c r="F248" s="13" t="s">
        <v>993</v>
      </c>
      <c r="G248" s="13" t="s">
        <v>994</v>
      </c>
      <c r="H248" s="13" t="s">
        <v>988</v>
      </c>
      <c r="I248" s="13" t="s">
        <v>16</v>
      </c>
      <c r="J248" s="13"/>
      <c r="K248" s="13" t="s">
        <v>2</v>
      </c>
      <c r="L248" s="13" t="s">
        <v>6</v>
      </c>
      <c r="M248" s="13" t="s">
        <v>11</v>
      </c>
      <c r="N248" s="13" t="s">
        <v>29</v>
      </c>
      <c r="O248" s="13" t="s">
        <v>412</v>
      </c>
    </row>
    <row r="249" spans="1:15" ht="28.5">
      <c r="A249" s="12">
        <v>245</v>
      </c>
      <c r="B249" s="12" t="s">
        <v>995</v>
      </c>
      <c r="C249" s="13" t="s">
        <v>983</v>
      </c>
      <c r="D249" s="13" t="s">
        <v>984</v>
      </c>
      <c r="E249" s="13" t="s">
        <v>985</v>
      </c>
      <c r="F249" s="13" t="s">
        <v>996</v>
      </c>
      <c r="G249" s="13" t="s">
        <v>997</v>
      </c>
      <c r="H249" s="13" t="s">
        <v>988</v>
      </c>
      <c r="I249" s="13" t="s">
        <v>16</v>
      </c>
      <c r="J249" s="13"/>
      <c r="K249" s="13" t="s">
        <v>1</v>
      </c>
      <c r="L249" s="13" t="s">
        <v>6</v>
      </c>
      <c r="M249" s="13" t="s">
        <v>11</v>
      </c>
      <c r="N249" s="13" t="s">
        <v>29</v>
      </c>
      <c r="O249" s="13" t="s">
        <v>80</v>
      </c>
    </row>
    <row r="250" spans="1:15" ht="42.75">
      <c r="A250" s="12">
        <v>246</v>
      </c>
      <c r="B250" s="12" t="s">
        <v>998</v>
      </c>
      <c r="C250" s="13" t="s">
        <v>983</v>
      </c>
      <c r="D250" s="13" t="s">
        <v>984</v>
      </c>
      <c r="E250" s="13" t="s">
        <v>985</v>
      </c>
      <c r="F250" s="13" t="s">
        <v>999</v>
      </c>
      <c r="G250" s="13" t="s">
        <v>1000</v>
      </c>
      <c r="H250" s="13" t="s">
        <v>988</v>
      </c>
      <c r="I250" s="13" t="s">
        <v>16</v>
      </c>
      <c r="J250" s="13"/>
      <c r="K250" s="13" t="s">
        <v>1</v>
      </c>
      <c r="L250" s="13" t="s">
        <v>6</v>
      </c>
      <c r="M250" s="13" t="s">
        <v>11</v>
      </c>
      <c r="N250" s="13" t="s">
        <v>29</v>
      </c>
      <c r="O250" s="13" t="s">
        <v>84</v>
      </c>
    </row>
    <row r="251" spans="1:15" ht="28.5">
      <c r="A251" s="12">
        <v>247</v>
      </c>
      <c r="B251" s="12" t="s">
        <v>1001</v>
      </c>
      <c r="C251" s="13" t="s">
        <v>983</v>
      </c>
      <c r="D251" s="13" t="s">
        <v>984</v>
      </c>
      <c r="E251" s="13" t="s">
        <v>985</v>
      </c>
      <c r="F251" s="13" t="s">
        <v>1002</v>
      </c>
      <c r="G251" s="13" t="s">
        <v>1003</v>
      </c>
      <c r="H251" s="13" t="s">
        <v>988</v>
      </c>
      <c r="I251" s="13" t="s">
        <v>88</v>
      </c>
      <c r="J251" s="13"/>
      <c r="K251" s="13" t="s">
        <v>2</v>
      </c>
      <c r="L251" s="13" t="s">
        <v>6</v>
      </c>
      <c r="M251" s="13" t="s">
        <v>11</v>
      </c>
      <c r="N251" s="13" t="s">
        <v>29</v>
      </c>
      <c r="O251" s="13" t="s">
        <v>89</v>
      </c>
    </row>
    <row r="252" spans="1:15" ht="28.5">
      <c r="A252" s="12">
        <v>248</v>
      </c>
      <c r="B252" s="12" t="s">
        <v>1004</v>
      </c>
      <c r="C252" s="13" t="s">
        <v>983</v>
      </c>
      <c r="D252" s="13" t="s">
        <v>984</v>
      </c>
      <c r="E252" s="13" t="s">
        <v>985</v>
      </c>
      <c r="F252" s="13" t="s">
        <v>1005</v>
      </c>
      <c r="G252" s="13" t="s">
        <v>1006</v>
      </c>
      <c r="H252" s="13" t="s">
        <v>988</v>
      </c>
      <c r="I252" s="13" t="s">
        <v>93</v>
      </c>
      <c r="J252" s="13" t="s">
        <v>24</v>
      </c>
      <c r="K252" s="13"/>
      <c r="L252" s="13" t="s">
        <v>1</v>
      </c>
      <c r="M252" s="13" t="s">
        <v>6</v>
      </c>
      <c r="N252" s="13" t="s">
        <v>11</v>
      </c>
      <c r="O252" s="13" t="s">
        <v>29</v>
      </c>
    </row>
    <row r="253" spans="1:15" ht="42.75">
      <c r="A253" s="12">
        <v>249</v>
      </c>
      <c r="B253" s="12" t="s">
        <v>1007</v>
      </c>
      <c r="C253" s="13" t="s">
        <v>983</v>
      </c>
      <c r="D253" s="13" t="s">
        <v>984</v>
      </c>
      <c r="E253" s="13" t="s">
        <v>193</v>
      </c>
      <c r="F253" s="13" t="s">
        <v>1008</v>
      </c>
      <c r="G253" s="13" t="s">
        <v>1009</v>
      </c>
      <c r="H253" s="13" t="s">
        <v>1010</v>
      </c>
      <c r="I253" s="13" t="s">
        <v>19</v>
      </c>
      <c r="J253" s="13"/>
      <c r="K253" s="13" t="s">
        <v>1</v>
      </c>
      <c r="L253" s="13" t="s">
        <v>6</v>
      </c>
      <c r="M253" s="13" t="s">
        <v>11</v>
      </c>
      <c r="N253" s="13" t="s">
        <v>30</v>
      </c>
      <c r="O253" s="13"/>
    </row>
    <row r="254" spans="1:15" ht="42.75">
      <c r="A254" s="12">
        <v>250</v>
      </c>
      <c r="B254" s="12" t="s">
        <v>1011</v>
      </c>
      <c r="C254" s="13" t="s">
        <v>983</v>
      </c>
      <c r="D254" s="13" t="s">
        <v>984</v>
      </c>
      <c r="E254" s="13" t="s">
        <v>1012</v>
      </c>
      <c r="F254" s="13" t="s">
        <v>1013</v>
      </c>
      <c r="G254" s="13" t="s">
        <v>1014</v>
      </c>
      <c r="H254" s="13" t="s">
        <v>1010</v>
      </c>
      <c r="I254" s="13" t="s">
        <v>19</v>
      </c>
      <c r="J254" s="13"/>
      <c r="K254" s="13" t="s">
        <v>1</v>
      </c>
      <c r="L254" s="13" t="s">
        <v>6</v>
      </c>
      <c r="M254" s="13" t="s">
        <v>11</v>
      </c>
      <c r="N254" s="13" t="s">
        <v>30</v>
      </c>
      <c r="O254" s="13"/>
    </row>
    <row r="255" spans="1:15" ht="28.5">
      <c r="A255" s="12">
        <v>251</v>
      </c>
      <c r="B255" s="12" t="s">
        <v>1015</v>
      </c>
      <c r="C255" s="13" t="s">
        <v>983</v>
      </c>
      <c r="D255" s="13" t="s">
        <v>1016</v>
      </c>
      <c r="E255" s="13" t="s">
        <v>1017</v>
      </c>
      <c r="F255" s="13" t="s">
        <v>1018</v>
      </c>
      <c r="G255" s="13" t="s">
        <v>1019</v>
      </c>
      <c r="H255" s="13" t="s">
        <v>1020</v>
      </c>
      <c r="I255" s="13" t="s">
        <v>19</v>
      </c>
      <c r="J255" s="13"/>
      <c r="K255" s="13" t="s">
        <v>1</v>
      </c>
      <c r="L255" s="13" t="s">
        <v>6</v>
      </c>
      <c r="M255" s="13" t="s">
        <v>11</v>
      </c>
      <c r="N255" s="13" t="s">
        <v>29</v>
      </c>
      <c r="O255" s="13"/>
    </row>
    <row r="256" spans="1:15" ht="28.5">
      <c r="A256" s="12">
        <v>252</v>
      </c>
      <c r="B256" s="12" t="s">
        <v>1021</v>
      </c>
      <c r="C256" s="13" t="s">
        <v>983</v>
      </c>
      <c r="D256" s="13" t="s">
        <v>1016</v>
      </c>
      <c r="E256" s="13" t="s">
        <v>1017</v>
      </c>
      <c r="F256" s="13" t="s">
        <v>1022</v>
      </c>
      <c r="G256" s="13" t="s">
        <v>1023</v>
      </c>
      <c r="H256" s="13" t="s">
        <v>1020</v>
      </c>
      <c r="I256" s="13" t="s">
        <v>19</v>
      </c>
      <c r="J256" s="13"/>
      <c r="K256" s="13" t="s">
        <v>2</v>
      </c>
      <c r="L256" s="13" t="s">
        <v>6</v>
      </c>
      <c r="M256" s="13" t="s">
        <v>11</v>
      </c>
      <c r="N256" s="13" t="s">
        <v>30</v>
      </c>
      <c r="O256" s="13"/>
    </row>
    <row r="257" spans="1:15" ht="28.5">
      <c r="A257" s="12">
        <v>253</v>
      </c>
      <c r="B257" s="12" t="s">
        <v>1024</v>
      </c>
      <c r="C257" s="13" t="s">
        <v>983</v>
      </c>
      <c r="D257" s="13" t="s">
        <v>1016</v>
      </c>
      <c r="E257" s="13" t="s">
        <v>1025</v>
      </c>
      <c r="F257" s="13" t="s">
        <v>1026</v>
      </c>
      <c r="G257" s="13" t="s">
        <v>1027</v>
      </c>
      <c r="H257" s="13" t="s">
        <v>1020</v>
      </c>
      <c r="I257" s="13" t="s">
        <v>19</v>
      </c>
      <c r="J257" s="13"/>
      <c r="K257" s="13" t="s">
        <v>1</v>
      </c>
      <c r="L257" s="13" t="s">
        <v>6</v>
      </c>
      <c r="M257" s="13" t="s">
        <v>11</v>
      </c>
      <c r="N257" s="13" t="s">
        <v>30</v>
      </c>
      <c r="O257" s="13"/>
    </row>
    <row r="258" spans="1:15" ht="28.5">
      <c r="A258" s="12">
        <v>254</v>
      </c>
      <c r="B258" s="12" t="s">
        <v>1028</v>
      </c>
      <c r="C258" s="13" t="s">
        <v>983</v>
      </c>
      <c r="D258" s="13" t="s">
        <v>1016</v>
      </c>
      <c r="E258" s="13" t="s">
        <v>1029</v>
      </c>
      <c r="F258" s="13" t="s">
        <v>1030</v>
      </c>
      <c r="G258" s="13" t="s">
        <v>1031</v>
      </c>
      <c r="H258" s="13" t="s">
        <v>1010</v>
      </c>
      <c r="I258" s="13" t="s">
        <v>20</v>
      </c>
      <c r="J258" s="13"/>
      <c r="K258" s="13" t="s">
        <v>1</v>
      </c>
      <c r="L258" s="13" t="s">
        <v>6</v>
      </c>
      <c r="M258" s="13" t="s">
        <v>11</v>
      </c>
      <c r="N258" s="13" t="s">
        <v>30</v>
      </c>
      <c r="O258" s="13"/>
    </row>
    <row r="259" spans="1:15" ht="28.5">
      <c r="A259" s="12">
        <v>255</v>
      </c>
      <c r="B259" s="12" t="s">
        <v>1032</v>
      </c>
      <c r="C259" s="13" t="s">
        <v>983</v>
      </c>
      <c r="D259" s="13" t="s">
        <v>1016</v>
      </c>
      <c r="E259" s="13" t="s">
        <v>1033</v>
      </c>
      <c r="F259" s="13" t="s">
        <v>1034</v>
      </c>
      <c r="G259" s="13" t="s">
        <v>1035</v>
      </c>
      <c r="H259" s="13" t="s">
        <v>1036</v>
      </c>
      <c r="I259" s="13" t="s">
        <v>19</v>
      </c>
      <c r="J259" s="13"/>
      <c r="K259" s="13" t="s">
        <v>2</v>
      </c>
      <c r="L259" s="13" t="s">
        <v>7</v>
      </c>
      <c r="M259" s="13" t="s">
        <v>11</v>
      </c>
      <c r="N259" s="13" t="s">
        <v>30</v>
      </c>
      <c r="O259" s="13"/>
    </row>
    <row r="260" spans="1:15" ht="28.5">
      <c r="A260" s="12">
        <v>256</v>
      </c>
      <c r="B260" s="12" t="s">
        <v>1037</v>
      </c>
      <c r="C260" s="13" t="s">
        <v>983</v>
      </c>
      <c r="D260" s="13" t="s">
        <v>1038</v>
      </c>
      <c r="E260" s="13" t="s">
        <v>1039</v>
      </c>
      <c r="F260" s="13" t="s">
        <v>1040</v>
      </c>
      <c r="G260" s="13" t="s">
        <v>1041</v>
      </c>
      <c r="H260" s="13" t="s">
        <v>1042</v>
      </c>
      <c r="I260" s="13" t="s">
        <v>16</v>
      </c>
      <c r="J260" s="13"/>
      <c r="K260" s="13" t="s">
        <v>1</v>
      </c>
      <c r="L260" s="13" t="s">
        <v>6</v>
      </c>
      <c r="M260" s="13" t="s">
        <v>11</v>
      </c>
      <c r="N260" s="13" t="s">
        <v>29</v>
      </c>
      <c r="O260" s="13" t="s">
        <v>72</v>
      </c>
    </row>
    <row r="261" spans="1:15" ht="28.5">
      <c r="A261" s="12">
        <v>257</v>
      </c>
      <c r="B261" s="12" t="s">
        <v>1043</v>
      </c>
      <c r="C261" s="13" t="s">
        <v>983</v>
      </c>
      <c r="D261" s="13" t="s">
        <v>1038</v>
      </c>
      <c r="E261" s="13" t="s">
        <v>1039</v>
      </c>
      <c r="F261" s="13" t="s">
        <v>1044</v>
      </c>
      <c r="G261" s="13" t="s">
        <v>1045</v>
      </c>
      <c r="H261" s="13" t="s">
        <v>1042</v>
      </c>
      <c r="I261" s="13" t="s">
        <v>16</v>
      </c>
      <c r="J261" s="13"/>
      <c r="K261" s="13" t="s">
        <v>1</v>
      </c>
      <c r="L261" s="13" t="s">
        <v>6</v>
      </c>
      <c r="M261" s="13" t="s">
        <v>11</v>
      </c>
      <c r="N261" s="13" t="s">
        <v>29</v>
      </c>
      <c r="O261" s="13" t="s">
        <v>76</v>
      </c>
    </row>
    <row r="262" spans="1:15" ht="28.5">
      <c r="A262" s="12">
        <v>258</v>
      </c>
      <c r="B262" s="12" t="s">
        <v>1046</v>
      </c>
      <c r="C262" s="13" t="s">
        <v>983</v>
      </c>
      <c r="D262" s="13" t="s">
        <v>1038</v>
      </c>
      <c r="E262" s="13" t="s">
        <v>1039</v>
      </c>
      <c r="F262" s="13" t="s">
        <v>1047</v>
      </c>
      <c r="G262" s="13" t="s">
        <v>1048</v>
      </c>
      <c r="H262" s="13" t="s">
        <v>1042</v>
      </c>
      <c r="I262" s="13" t="s">
        <v>16</v>
      </c>
      <c r="J262" s="13"/>
      <c r="K262" s="13" t="s">
        <v>2</v>
      </c>
      <c r="L262" s="13" t="s">
        <v>6</v>
      </c>
      <c r="M262" s="13" t="s">
        <v>11</v>
      </c>
      <c r="N262" s="13" t="s">
        <v>29</v>
      </c>
      <c r="O262" s="13" t="s">
        <v>412</v>
      </c>
    </row>
    <row r="263" spans="1:15" ht="28.5">
      <c r="A263" s="12">
        <v>259</v>
      </c>
      <c r="B263" s="12" t="s">
        <v>1049</v>
      </c>
      <c r="C263" s="13" t="s">
        <v>983</v>
      </c>
      <c r="D263" s="13" t="s">
        <v>1038</v>
      </c>
      <c r="E263" s="13" t="s">
        <v>1039</v>
      </c>
      <c r="F263" s="13" t="s">
        <v>1050</v>
      </c>
      <c r="G263" s="13" t="s">
        <v>1051</v>
      </c>
      <c r="H263" s="13" t="s">
        <v>1042</v>
      </c>
      <c r="I263" s="13" t="s">
        <v>16</v>
      </c>
      <c r="J263" s="13"/>
      <c r="K263" s="13" t="s">
        <v>1</v>
      </c>
      <c r="L263" s="13" t="s">
        <v>6</v>
      </c>
      <c r="M263" s="13" t="s">
        <v>11</v>
      </c>
      <c r="N263" s="13" t="s">
        <v>29</v>
      </c>
      <c r="O263" s="13" t="s">
        <v>80</v>
      </c>
    </row>
    <row r="264" spans="1:15" ht="42.75">
      <c r="A264" s="12">
        <v>260</v>
      </c>
      <c r="B264" s="12" t="s">
        <v>1052</v>
      </c>
      <c r="C264" s="13" t="s">
        <v>983</v>
      </c>
      <c r="D264" s="13" t="s">
        <v>1038</v>
      </c>
      <c r="E264" s="13" t="s">
        <v>1039</v>
      </c>
      <c r="F264" s="13" t="s">
        <v>1053</v>
      </c>
      <c r="G264" s="13" t="s">
        <v>1054</v>
      </c>
      <c r="H264" s="13" t="s">
        <v>1042</v>
      </c>
      <c r="I264" s="13" t="s">
        <v>16</v>
      </c>
      <c r="J264" s="13"/>
      <c r="K264" s="13" t="s">
        <v>1</v>
      </c>
      <c r="L264" s="13" t="s">
        <v>6</v>
      </c>
      <c r="M264" s="13" t="s">
        <v>11</v>
      </c>
      <c r="N264" s="13" t="s">
        <v>29</v>
      </c>
      <c r="O264" s="13" t="s">
        <v>84</v>
      </c>
    </row>
    <row r="265" spans="1:15" ht="28.5">
      <c r="A265" s="12">
        <v>261</v>
      </c>
      <c r="B265" s="12" t="s">
        <v>1055</v>
      </c>
      <c r="C265" s="13" t="s">
        <v>983</v>
      </c>
      <c r="D265" s="13" t="s">
        <v>1038</v>
      </c>
      <c r="E265" s="13" t="s">
        <v>1039</v>
      </c>
      <c r="F265" s="13" t="s">
        <v>1056</v>
      </c>
      <c r="G265" s="13" t="s">
        <v>1057</v>
      </c>
      <c r="H265" s="13" t="s">
        <v>1042</v>
      </c>
      <c r="I265" s="13" t="s">
        <v>88</v>
      </c>
      <c r="J265" s="13"/>
      <c r="K265" s="13" t="s">
        <v>2</v>
      </c>
      <c r="L265" s="13" t="s">
        <v>6</v>
      </c>
      <c r="M265" s="13" t="s">
        <v>11</v>
      </c>
      <c r="N265" s="13" t="s">
        <v>29</v>
      </c>
      <c r="O265" s="13" t="s">
        <v>89</v>
      </c>
    </row>
    <row r="266" spans="1:15" ht="28.5">
      <c r="A266" s="12">
        <v>262</v>
      </c>
      <c r="B266" s="12" t="s">
        <v>1058</v>
      </c>
      <c r="C266" s="13" t="s">
        <v>983</v>
      </c>
      <c r="D266" s="13" t="s">
        <v>1038</v>
      </c>
      <c r="E266" s="13" t="s">
        <v>1039</v>
      </c>
      <c r="F266" s="13" t="s">
        <v>1059</v>
      </c>
      <c r="G266" s="13" t="s">
        <v>1060</v>
      </c>
      <c r="H266" s="13" t="s">
        <v>1042</v>
      </c>
      <c r="I266" s="13" t="s">
        <v>93</v>
      </c>
      <c r="J266" s="13" t="s">
        <v>24</v>
      </c>
      <c r="K266" s="13"/>
      <c r="L266" s="13" t="s">
        <v>1</v>
      </c>
      <c r="M266" s="13" t="s">
        <v>6</v>
      </c>
      <c r="N266" s="13" t="s">
        <v>11</v>
      </c>
      <c r="O266" s="13" t="s">
        <v>29</v>
      </c>
    </row>
    <row r="267" spans="1:15" ht="28.5">
      <c r="A267" s="12">
        <v>263</v>
      </c>
      <c r="B267" s="12" t="s">
        <v>1061</v>
      </c>
      <c r="C267" s="13" t="s">
        <v>983</v>
      </c>
      <c r="D267" s="13" t="s">
        <v>1038</v>
      </c>
      <c r="E267" s="13" t="s">
        <v>1017</v>
      </c>
      <c r="F267" s="13" t="s">
        <v>1062</v>
      </c>
      <c r="G267" s="13" t="s">
        <v>1063</v>
      </c>
      <c r="H267" s="13" t="s">
        <v>1042</v>
      </c>
      <c r="I267" s="13" t="s">
        <v>19</v>
      </c>
      <c r="J267" s="13"/>
      <c r="K267" s="13" t="s">
        <v>1</v>
      </c>
      <c r="L267" s="13" t="s">
        <v>6</v>
      </c>
      <c r="M267" s="13" t="s">
        <v>11</v>
      </c>
      <c r="N267" s="13" t="s">
        <v>30</v>
      </c>
      <c r="O267" s="13"/>
    </row>
    <row r="268" spans="1:15" ht="28.5">
      <c r="A268" s="12">
        <v>264</v>
      </c>
      <c r="B268" s="12" t="s">
        <v>1064</v>
      </c>
      <c r="C268" s="13" t="s">
        <v>983</v>
      </c>
      <c r="D268" s="13" t="s">
        <v>1038</v>
      </c>
      <c r="E268" s="13" t="s">
        <v>1065</v>
      </c>
      <c r="F268" s="13" t="s">
        <v>1066</v>
      </c>
      <c r="G268" s="13" t="s">
        <v>1067</v>
      </c>
      <c r="H268" s="13" t="s">
        <v>1068</v>
      </c>
      <c r="I268" s="13" t="s">
        <v>19</v>
      </c>
      <c r="J268" s="13"/>
      <c r="K268" s="13" t="s">
        <v>1</v>
      </c>
      <c r="L268" s="13" t="s">
        <v>6</v>
      </c>
      <c r="M268" s="13" t="s">
        <v>11</v>
      </c>
      <c r="N268" s="13" t="s">
        <v>30</v>
      </c>
      <c r="O268" s="13"/>
    </row>
    <row r="269" spans="1:15" ht="28.5">
      <c r="A269" s="12">
        <v>265</v>
      </c>
      <c r="B269" s="12" t="s">
        <v>1069</v>
      </c>
      <c r="C269" s="13" t="s">
        <v>983</v>
      </c>
      <c r="D269" s="13" t="s">
        <v>1038</v>
      </c>
      <c r="E269" s="13" t="s">
        <v>1070</v>
      </c>
      <c r="F269" s="13" t="s">
        <v>1071</v>
      </c>
      <c r="G269" s="13" t="s">
        <v>1072</v>
      </c>
      <c r="H269" s="13" t="s">
        <v>1042</v>
      </c>
      <c r="I269" s="13" t="s">
        <v>19</v>
      </c>
      <c r="J269" s="13"/>
      <c r="K269" s="13" t="s">
        <v>2</v>
      </c>
      <c r="L269" s="13" t="s">
        <v>7</v>
      </c>
      <c r="M269" s="13" t="s">
        <v>11</v>
      </c>
      <c r="N269" s="13" t="s">
        <v>30</v>
      </c>
      <c r="O269" s="13"/>
    </row>
    <row r="270" spans="1:15" ht="28.5">
      <c r="A270" s="12">
        <v>266</v>
      </c>
      <c r="B270" s="12" t="s">
        <v>1073</v>
      </c>
      <c r="C270" s="13" t="s">
        <v>983</v>
      </c>
      <c r="D270" s="13" t="s">
        <v>1074</v>
      </c>
      <c r="E270" s="13" t="s">
        <v>1074</v>
      </c>
      <c r="F270" s="13" t="s">
        <v>1075</v>
      </c>
      <c r="G270" s="13" t="s">
        <v>1076</v>
      </c>
      <c r="H270" s="13" t="s">
        <v>1042</v>
      </c>
      <c r="I270" s="13" t="s">
        <v>16</v>
      </c>
      <c r="J270" s="13"/>
      <c r="K270" s="13" t="s">
        <v>1</v>
      </c>
      <c r="L270" s="13" t="s">
        <v>6</v>
      </c>
      <c r="M270" s="13" t="s">
        <v>11</v>
      </c>
      <c r="N270" s="13" t="s">
        <v>29</v>
      </c>
      <c r="O270" s="13" t="s">
        <v>72</v>
      </c>
    </row>
    <row r="271" spans="1:15" ht="28.5">
      <c r="A271" s="12">
        <v>267</v>
      </c>
      <c r="B271" s="12" t="s">
        <v>1077</v>
      </c>
      <c r="C271" s="13" t="s">
        <v>983</v>
      </c>
      <c r="D271" s="13" t="s">
        <v>1074</v>
      </c>
      <c r="E271" s="13" t="s">
        <v>1074</v>
      </c>
      <c r="F271" s="13" t="s">
        <v>1078</v>
      </c>
      <c r="G271" s="13" t="s">
        <v>1079</v>
      </c>
      <c r="H271" s="13" t="s">
        <v>1042</v>
      </c>
      <c r="I271" s="13" t="s">
        <v>16</v>
      </c>
      <c r="J271" s="13"/>
      <c r="K271" s="13" t="s">
        <v>1</v>
      </c>
      <c r="L271" s="13" t="s">
        <v>6</v>
      </c>
      <c r="M271" s="13" t="s">
        <v>11</v>
      </c>
      <c r="N271" s="13" t="s">
        <v>29</v>
      </c>
      <c r="O271" s="13" t="s">
        <v>76</v>
      </c>
    </row>
    <row r="272" spans="1:15" ht="28.5">
      <c r="A272" s="12">
        <v>268</v>
      </c>
      <c r="B272" s="12" t="s">
        <v>1080</v>
      </c>
      <c r="C272" s="13" t="s">
        <v>983</v>
      </c>
      <c r="D272" s="13" t="s">
        <v>1074</v>
      </c>
      <c r="E272" s="13" t="s">
        <v>1074</v>
      </c>
      <c r="F272" s="13" t="s">
        <v>1081</v>
      </c>
      <c r="G272" s="13" t="s">
        <v>1082</v>
      </c>
      <c r="H272" s="13" t="s">
        <v>1042</v>
      </c>
      <c r="I272" s="13" t="s">
        <v>16</v>
      </c>
      <c r="J272" s="13"/>
      <c r="K272" s="13" t="s">
        <v>2</v>
      </c>
      <c r="L272" s="13" t="s">
        <v>6</v>
      </c>
      <c r="M272" s="13" t="s">
        <v>11</v>
      </c>
      <c r="N272" s="13" t="s">
        <v>29</v>
      </c>
      <c r="O272" s="13" t="s">
        <v>412</v>
      </c>
    </row>
    <row r="273" spans="1:15" ht="28.5">
      <c r="A273" s="12">
        <v>269</v>
      </c>
      <c r="B273" s="12" t="s">
        <v>1083</v>
      </c>
      <c r="C273" s="13" t="s">
        <v>983</v>
      </c>
      <c r="D273" s="13" t="s">
        <v>1074</v>
      </c>
      <c r="E273" s="13" t="s">
        <v>1074</v>
      </c>
      <c r="F273" s="13" t="s">
        <v>1084</v>
      </c>
      <c r="G273" s="13" t="s">
        <v>1085</v>
      </c>
      <c r="H273" s="13" t="s">
        <v>1042</v>
      </c>
      <c r="I273" s="13" t="s">
        <v>16</v>
      </c>
      <c r="J273" s="13"/>
      <c r="K273" s="13" t="s">
        <v>1</v>
      </c>
      <c r="L273" s="13" t="s">
        <v>6</v>
      </c>
      <c r="M273" s="13" t="s">
        <v>11</v>
      </c>
      <c r="N273" s="13" t="s">
        <v>29</v>
      </c>
      <c r="O273" s="13" t="s">
        <v>80</v>
      </c>
    </row>
    <row r="274" spans="1:15" ht="42.75">
      <c r="A274" s="12">
        <v>270</v>
      </c>
      <c r="B274" s="12" t="s">
        <v>1086</v>
      </c>
      <c r="C274" s="13" t="s">
        <v>983</v>
      </c>
      <c r="D274" s="13" t="s">
        <v>1074</v>
      </c>
      <c r="E274" s="13" t="s">
        <v>1074</v>
      </c>
      <c r="F274" s="13" t="s">
        <v>1087</v>
      </c>
      <c r="G274" s="13" t="s">
        <v>1088</v>
      </c>
      <c r="H274" s="13" t="s">
        <v>1042</v>
      </c>
      <c r="I274" s="13" t="s">
        <v>16</v>
      </c>
      <c r="J274" s="13"/>
      <c r="K274" s="13" t="s">
        <v>1</v>
      </c>
      <c r="L274" s="13" t="s">
        <v>6</v>
      </c>
      <c r="M274" s="13" t="s">
        <v>11</v>
      </c>
      <c r="N274" s="13" t="s">
        <v>29</v>
      </c>
      <c r="O274" s="13" t="s">
        <v>84</v>
      </c>
    </row>
    <row r="275" spans="1:15" ht="28.5">
      <c r="A275" s="12">
        <v>271</v>
      </c>
      <c r="B275" s="12" t="s">
        <v>1089</v>
      </c>
      <c r="C275" s="13" t="s">
        <v>983</v>
      </c>
      <c r="D275" s="13" t="s">
        <v>1074</v>
      </c>
      <c r="E275" s="13" t="s">
        <v>1074</v>
      </c>
      <c r="F275" s="13" t="s">
        <v>1090</v>
      </c>
      <c r="G275" s="13" t="s">
        <v>1091</v>
      </c>
      <c r="H275" s="13" t="s">
        <v>1042</v>
      </c>
      <c r="I275" s="13" t="s">
        <v>88</v>
      </c>
      <c r="J275" s="13"/>
      <c r="K275" s="13" t="s">
        <v>2</v>
      </c>
      <c r="L275" s="13" t="s">
        <v>6</v>
      </c>
      <c r="M275" s="13" t="s">
        <v>11</v>
      </c>
      <c r="N275" s="13" t="s">
        <v>29</v>
      </c>
      <c r="O275" s="13" t="s">
        <v>89</v>
      </c>
    </row>
    <row r="276" spans="1:15" ht="28.5">
      <c r="A276" s="12">
        <v>272</v>
      </c>
      <c r="B276" s="12" t="s">
        <v>1092</v>
      </c>
      <c r="C276" s="13" t="s">
        <v>983</v>
      </c>
      <c r="D276" s="13" t="s">
        <v>1074</v>
      </c>
      <c r="E276" s="13" t="s">
        <v>1074</v>
      </c>
      <c r="F276" s="13" t="s">
        <v>1093</v>
      </c>
      <c r="G276" s="13" t="s">
        <v>1094</v>
      </c>
      <c r="H276" s="13" t="s">
        <v>1042</v>
      </c>
      <c r="I276" s="13" t="s">
        <v>93</v>
      </c>
      <c r="J276" s="13" t="s">
        <v>24</v>
      </c>
      <c r="K276" s="13"/>
      <c r="L276" s="13" t="s">
        <v>1</v>
      </c>
      <c r="M276" s="13" t="s">
        <v>6</v>
      </c>
      <c r="N276" s="13" t="s">
        <v>11</v>
      </c>
      <c r="O276" s="13" t="s">
        <v>29</v>
      </c>
    </row>
    <row r="277" spans="1:15" ht="28.5">
      <c r="A277" s="12">
        <v>273</v>
      </c>
      <c r="B277" s="12" t="s">
        <v>1095</v>
      </c>
      <c r="C277" s="13" t="s">
        <v>983</v>
      </c>
      <c r="D277" s="13" t="s">
        <v>1074</v>
      </c>
      <c r="E277" s="13" t="s">
        <v>1096</v>
      </c>
      <c r="F277" s="13" t="s">
        <v>1097</v>
      </c>
      <c r="G277" s="13" t="s">
        <v>1098</v>
      </c>
      <c r="H277" s="13" t="s">
        <v>1042</v>
      </c>
      <c r="I277" s="13" t="s">
        <v>19</v>
      </c>
      <c r="J277" s="13"/>
      <c r="K277" s="13" t="s">
        <v>1</v>
      </c>
      <c r="L277" s="13" t="s">
        <v>6</v>
      </c>
      <c r="M277" s="13" t="s">
        <v>11</v>
      </c>
      <c r="N277" s="13" t="s">
        <v>30</v>
      </c>
      <c r="O277" s="13"/>
    </row>
    <row r="278" spans="1:15" ht="28.5">
      <c r="A278" s="12">
        <v>274</v>
      </c>
      <c r="B278" s="12" t="s">
        <v>1099</v>
      </c>
      <c r="C278" s="13" t="s">
        <v>983</v>
      </c>
      <c r="D278" s="13" t="s">
        <v>1074</v>
      </c>
      <c r="E278" s="13" t="s">
        <v>1100</v>
      </c>
      <c r="F278" s="13" t="s">
        <v>1101</v>
      </c>
      <c r="G278" s="13" t="s">
        <v>1102</v>
      </c>
      <c r="H278" s="13" t="s">
        <v>1042</v>
      </c>
      <c r="I278" s="13" t="s">
        <v>19</v>
      </c>
      <c r="J278" s="13"/>
      <c r="K278" s="13" t="s">
        <v>1</v>
      </c>
      <c r="L278" s="13" t="s">
        <v>6</v>
      </c>
      <c r="M278" s="13" t="s">
        <v>11</v>
      </c>
      <c r="N278" s="13" t="s">
        <v>30</v>
      </c>
      <c r="O278" s="13"/>
    </row>
    <row r="279" spans="1:15" ht="28.5">
      <c r="A279" s="12">
        <v>275</v>
      </c>
      <c r="B279" s="12" t="s">
        <v>1103</v>
      </c>
      <c r="C279" s="13" t="s">
        <v>983</v>
      </c>
      <c r="D279" s="13" t="s">
        <v>1074</v>
      </c>
      <c r="E279" s="13" t="s">
        <v>1065</v>
      </c>
      <c r="F279" s="13" t="s">
        <v>1104</v>
      </c>
      <c r="G279" s="13" t="s">
        <v>1105</v>
      </c>
      <c r="H279" s="13" t="s">
        <v>1068</v>
      </c>
      <c r="I279" s="13" t="s">
        <v>19</v>
      </c>
      <c r="J279" s="13"/>
      <c r="K279" s="13" t="s">
        <v>1</v>
      </c>
      <c r="L279" s="13" t="s">
        <v>6</v>
      </c>
      <c r="M279" s="13" t="s">
        <v>11</v>
      </c>
      <c r="N279" s="13" t="s">
        <v>30</v>
      </c>
      <c r="O279" s="13"/>
    </row>
    <row r="280" spans="1:15" ht="28.5">
      <c r="A280" s="12">
        <v>276</v>
      </c>
      <c r="B280" s="12" t="s">
        <v>1106</v>
      </c>
      <c r="C280" s="13" t="s">
        <v>983</v>
      </c>
      <c r="D280" s="13" t="s">
        <v>1074</v>
      </c>
      <c r="E280" s="13" t="s">
        <v>1107</v>
      </c>
      <c r="F280" s="13" t="s">
        <v>1108</v>
      </c>
      <c r="G280" s="13" t="s">
        <v>1109</v>
      </c>
      <c r="H280" s="13" t="s">
        <v>405</v>
      </c>
      <c r="I280" s="13" t="s">
        <v>19</v>
      </c>
      <c r="J280" s="13"/>
      <c r="K280" s="13" t="s">
        <v>2</v>
      </c>
      <c r="L280" s="13" t="s">
        <v>6</v>
      </c>
      <c r="M280" s="13" t="s">
        <v>11</v>
      </c>
      <c r="N280" s="13" t="s">
        <v>1110</v>
      </c>
      <c r="O280" s="13"/>
    </row>
    <row r="281" spans="1:15" ht="42.75">
      <c r="A281" s="12">
        <v>277</v>
      </c>
      <c r="B281" s="12" t="s">
        <v>1111</v>
      </c>
      <c r="C281" s="13" t="s">
        <v>983</v>
      </c>
      <c r="D281" s="13" t="s">
        <v>1112</v>
      </c>
      <c r="E281" s="13" t="s">
        <v>1113</v>
      </c>
      <c r="F281" s="13" t="s">
        <v>1114</v>
      </c>
      <c r="G281" s="13" t="s">
        <v>1115</v>
      </c>
      <c r="H281" s="13" t="s">
        <v>1042</v>
      </c>
      <c r="I281" s="13" t="s">
        <v>16</v>
      </c>
      <c r="J281" s="13"/>
      <c r="K281" s="13" t="s">
        <v>1</v>
      </c>
      <c r="L281" s="13" t="s">
        <v>6</v>
      </c>
      <c r="M281" s="13" t="s">
        <v>11</v>
      </c>
      <c r="N281" s="13" t="s">
        <v>29</v>
      </c>
      <c r="O281" s="13" t="s">
        <v>72</v>
      </c>
    </row>
    <row r="282" spans="1:15" ht="28.5">
      <c r="A282" s="12">
        <v>278</v>
      </c>
      <c r="B282" s="12" t="s">
        <v>1116</v>
      </c>
      <c r="C282" s="13" t="s">
        <v>983</v>
      </c>
      <c r="D282" s="13" t="s">
        <v>1112</v>
      </c>
      <c r="E282" s="13" t="s">
        <v>1113</v>
      </c>
      <c r="F282" s="13" t="s">
        <v>1117</v>
      </c>
      <c r="G282" s="13" t="s">
        <v>1118</v>
      </c>
      <c r="H282" s="13" t="s">
        <v>1042</v>
      </c>
      <c r="I282" s="13" t="s">
        <v>16</v>
      </c>
      <c r="J282" s="13"/>
      <c r="K282" s="13" t="s">
        <v>1</v>
      </c>
      <c r="L282" s="13" t="s">
        <v>6</v>
      </c>
      <c r="M282" s="13" t="s">
        <v>11</v>
      </c>
      <c r="N282" s="13" t="s">
        <v>29</v>
      </c>
      <c r="O282" s="13" t="s">
        <v>76</v>
      </c>
    </row>
    <row r="283" spans="1:15" ht="42.75">
      <c r="A283" s="12">
        <v>279</v>
      </c>
      <c r="B283" s="12" t="s">
        <v>1119</v>
      </c>
      <c r="C283" s="13" t="s">
        <v>983</v>
      </c>
      <c r="D283" s="13" t="s">
        <v>1112</v>
      </c>
      <c r="E283" s="13" t="s">
        <v>1113</v>
      </c>
      <c r="F283" s="13" t="s">
        <v>1120</v>
      </c>
      <c r="G283" s="13" t="s">
        <v>1121</v>
      </c>
      <c r="H283" s="13" t="s">
        <v>1042</v>
      </c>
      <c r="I283" s="13" t="s">
        <v>16</v>
      </c>
      <c r="J283" s="13"/>
      <c r="K283" s="13" t="s">
        <v>1</v>
      </c>
      <c r="L283" s="13" t="s">
        <v>6</v>
      </c>
      <c r="M283" s="13" t="s">
        <v>11</v>
      </c>
      <c r="N283" s="13" t="s">
        <v>29</v>
      </c>
      <c r="O283" s="13" t="s">
        <v>80</v>
      </c>
    </row>
    <row r="284" spans="1:15" ht="42.75">
      <c r="A284" s="12">
        <v>280</v>
      </c>
      <c r="B284" s="12" t="s">
        <v>1122</v>
      </c>
      <c r="C284" s="13" t="s">
        <v>983</v>
      </c>
      <c r="D284" s="13" t="s">
        <v>1112</v>
      </c>
      <c r="E284" s="13" t="s">
        <v>1113</v>
      </c>
      <c r="F284" s="13" t="s">
        <v>1123</v>
      </c>
      <c r="G284" s="13" t="s">
        <v>1124</v>
      </c>
      <c r="H284" s="13" t="s">
        <v>1042</v>
      </c>
      <c r="I284" s="13" t="s">
        <v>16</v>
      </c>
      <c r="J284" s="13"/>
      <c r="K284" s="13" t="s">
        <v>1</v>
      </c>
      <c r="L284" s="13" t="s">
        <v>6</v>
      </c>
      <c r="M284" s="13" t="s">
        <v>11</v>
      </c>
      <c r="N284" s="13" t="s">
        <v>29</v>
      </c>
      <c r="O284" s="13" t="s">
        <v>84</v>
      </c>
    </row>
    <row r="285" spans="1:15" ht="28.5">
      <c r="A285" s="12">
        <v>281</v>
      </c>
      <c r="B285" s="12" t="s">
        <v>1125</v>
      </c>
      <c r="C285" s="13" t="s">
        <v>983</v>
      </c>
      <c r="D285" s="13" t="s">
        <v>1112</v>
      </c>
      <c r="E285" s="13" t="s">
        <v>1113</v>
      </c>
      <c r="F285" s="13" t="s">
        <v>1126</v>
      </c>
      <c r="G285" s="13" t="s">
        <v>1127</v>
      </c>
      <c r="H285" s="13" t="s">
        <v>1042</v>
      </c>
      <c r="I285" s="13" t="s">
        <v>88</v>
      </c>
      <c r="J285" s="13"/>
      <c r="K285" s="13" t="s">
        <v>2</v>
      </c>
      <c r="L285" s="13" t="s">
        <v>6</v>
      </c>
      <c r="M285" s="13" t="s">
        <v>11</v>
      </c>
      <c r="N285" s="13" t="s">
        <v>29</v>
      </c>
      <c r="O285" s="13" t="s">
        <v>89</v>
      </c>
    </row>
    <row r="286" spans="1:15" ht="28.5">
      <c r="A286" s="12">
        <v>282</v>
      </c>
      <c r="B286" s="12" t="s">
        <v>1128</v>
      </c>
      <c r="C286" s="13" t="s">
        <v>983</v>
      </c>
      <c r="D286" s="13" t="s">
        <v>1112</v>
      </c>
      <c r="E286" s="13" t="s">
        <v>1113</v>
      </c>
      <c r="F286" s="13" t="s">
        <v>1129</v>
      </c>
      <c r="G286" s="13" t="s">
        <v>1130</v>
      </c>
      <c r="H286" s="13" t="s">
        <v>1042</v>
      </c>
      <c r="I286" s="13" t="s">
        <v>93</v>
      </c>
      <c r="J286" s="13" t="s">
        <v>24</v>
      </c>
      <c r="K286" s="13"/>
      <c r="L286" s="13" t="s">
        <v>1</v>
      </c>
      <c r="M286" s="13" t="s">
        <v>6</v>
      </c>
      <c r="N286" s="13" t="s">
        <v>11</v>
      </c>
      <c r="O286" s="13" t="s">
        <v>29</v>
      </c>
    </row>
    <row r="287" spans="1:15" ht="42.75">
      <c r="A287" s="12">
        <v>283</v>
      </c>
      <c r="B287" s="12" t="s">
        <v>1131</v>
      </c>
      <c r="C287" s="13" t="s">
        <v>983</v>
      </c>
      <c r="D287" s="13" t="s">
        <v>1112</v>
      </c>
      <c r="E287" s="13" t="s">
        <v>1132</v>
      </c>
      <c r="F287" s="13" t="s">
        <v>1133</v>
      </c>
      <c r="G287" s="13" t="s">
        <v>1134</v>
      </c>
      <c r="H287" s="13" t="s">
        <v>1042</v>
      </c>
      <c r="I287" s="13" t="s">
        <v>19</v>
      </c>
      <c r="J287" s="13"/>
      <c r="K287" s="13" t="s">
        <v>1</v>
      </c>
      <c r="L287" s="13" t="s">
        <v>6</v>
      </c>
      <c r="M287" s="13" t="s">
        <v>11</v>
      </c>
      <c r="N287" s="13" t="s">
        <v>30</v>
      </c>
      <c r="O287" s="13"/>
    </row>
    <row r="288" spans="1:15" ht="28.5">
      <c r="A288" s="12">
        <v>284</v>
      </c>
      <c r="B288" s="12" t="s">
        <v>1135</v>
      </c>
      <c r="C288" s="13" t="s">
        <v>983</v>
      </c>
      <c r="D288" s="13" t="s">
        <v>1112</v>
      </c>
      <c r="E288" s="13" t="s">
        <v>1136</v>
      </c>
      <c r="F288" s="13" t="s">
        <v>1137</v>
      </c>
      <c r="G288" s="13" t="s">
        <v>1138</v>
      </c>
      <c r="H288" s="13" t="s">
        <v>1042</v>
      </c>
      <c r="I288" s="13" t="s">
        <v>19</v>
      </c>
      <c r="J288" s="13"/>
      <c r="K288" s="13" t="s">
        <v>1</v>
      </c>
      <c r="L288" s="13" t="s">
        <v>6</v>
      </c>
      <c r="M288" s="13" t="s">
        <v>11</v>
      </c>
      <c r="N288" s="13" t="s">
        <v>30</v>
      </c>
      <c r="O288" s="13"/>
    </row>
    <row r="289" spans="1:15" ht="28.5">
      <c r="A289" s="12">
        <v>285</v>
      </c>
      <c r="B289" s="12" t="s">
        <v>1139</v>
      </c>
      <c r="C289" s="13" t="s">
        <v>983</v>
      </c>
      <c r="D289" s="13" t="s">
        <v>1112</v>
      </c>
      <c r="E289" s="13" t="s">
        <v>1140</v>
      </c>
      <c r="F289" s="13" t="s">
        <v>1141</v>
      </c>
      <c r="G289" s="13" t="s">
        <v>1142</v>
      </c>
      <c r="H289" s="13" t="s">
        <v>1042</v>
      </c>
      <c r="I289" s="13" t="s">
        <v>19</v>
      </c>
      <c r="J289" s="13"/>
      <c r="K289" s="13" t="s">
        <v>1</v>
      </c>
      <c r="L289" s="13" t="s">
        <v>6</v>
      </c>
      <c r="M289" s="13" t="s">
        <v>11</v>
      </c>
      <c r="N289" s="13" t="s">
        <v>30</v>
      </c>
      <c r="O289" s="13"/>
    </row>
    <row r="290" spans="1:15" ht="42.75">
      <c r="A290" s="12">
        <v>286</v>
      </c>
      <c r="B290" s="12" t="s">
        <v>1143</v>
      </c>
      <c r="C290" s="13" t="s">
        <v>983</v>
      </c>
      <c r="D290" s="13" t="s">
        <v>1112</v>
      </c>
      <c r="E290" s="13" t="s">
        <v>166</v>
      </c>
      <c r="F290" s="13" t="s">
        <v>1144</v>
      </c>
      <c r="G290" s="13" t="s">
        <v>1145</v>
      </c>
      <c r="H290" s="13" t="s">
        <v>1068</v>
      </c>
      <c r="I290" s="13" t="s">
        <v>19</v>
      </c>
      <c r="J290" s="13"/>
      <c r="K290" s="13" t="s">
        <v>2</v>
      </c>
      <c r="L290" s="13" t="s">
        <v>7</v>
      </c>
      <c r="M290" s="13" t="s">
        <v>11</v>
      </c>
      <c r="N290" s="13" t="s">
        <v>30</v>
      </c>
      <c r="O290" s="13"/>
    </row>
    <row r="291" spans="1:15" ht="28.5">
      <c r="A291" s="12">
        <v>287</v>
      </c>
      <c r="B291" s="12" t="s">
        <v>1146</v>
      </c>
      <c r="C291" s="13" t="s">
        <v>983</v>
      </c>
      <c r="D291" s="13" t="s">
        <v>1147</v>
      </c>
      <c r="E291" s="13" t="s">
        <v>1148</v>
      </c>
      <c r="F291" s="13" t="s">
        <v>1149</v>
      </c>
      <c r="G291" s="13" t="s">
        <v>1150</v>
      </c>
      <c r="H291" s="13" t="s">
        <v>405</v>
      </c>
      <c r="I291" s="13" t="s">
        <v>16</v>
      </c>
      <c r="J291" s="13"/>
      <c r="K291" s="13" t="s">
        <v>2</v>
      </c>
      <c r="L291" s="13" t="s">
        <v>7</v>
      </c>
      <c r="M291" s="13" t="s">
        <v>11</v>
      </c>
      <c r="N291" s="13" t="s">
        <v>1151</v>
      </c>
      <c r="O291" s="13" t="s">
        <v>72</v>
      </c>
    </row>
    <row r="292" spans="1:15" ht="28.5">
      <c r="A292" s="12">
        <v>288</v>
      </c>
      <c r="B292" s="12" t="s">
        <v>1152</v>
      </c>
      <c r="C292" s="13" t="s">
        <v>983</v>
      </c>
      <c r="D292" s="13" t="s">
        <v>1147</v>
      </c>
      <c r="E292" s="13" t="s">
        <v>1148</v>
      </c>
      <c r="F292" s="13" t="s">
        <v>1153</v>
      </c>
      <c r="G292" s="13" t="s">
        <v>1154</v>
      </c>
      <c r="H292" s="13" t="s">
        <v>405</v>
      </c>
      <c r="I292" s="13" t="s">
        <v>16</v>
      </c>
      <c r="J292" s="13"/>
      <c r="K292" s="13" t="s">
        <v>2</v>
      </c>
      <c r="L292" s="13" t="s">
        <v>7</v>
      </c>
      <c r="M292" s="13" t="s">
        <v>11</v>
      </c>
      <c r="N292" s="13" t="s">
        <v>1151</v>
      </c>
      <c r="O292" s="13" t="s">
        <v>76</v>
      </c>
    </row>
    <row r="293" spans="1:15" ht="28.5">
      <c r="A293" s="12">
        <v>289</v>
      </c>
      <c r="B293" s="12" t="s">
        <v>1155</v>
      </c>
      <c r="C293" s="13" t="s">
        <v>983</v>
      </c>
      <c r="D293" s="13" t="s">
        <v>1147</v>
      </c>
      <c r="E293" s="13" t="s">
        <v>1148</v>
      </c>
      <c r="F293" s="13" t="s">
        <v>1156</v>
      </c>
      <c r="G293" s="13" t="s">
        <v>1157</v>
      </c>
      <c r="H293" s="13" t="s">
        <v>405</v>
      </c>
      <c r="I293" s="13" t="s">
        <v>16</v>
      </c>
      <c r="J293" s="13"/>
      <c r="K293" s="13" t="s">
        <v>2</v>
      </c>
      <c r="L293" s="13" t="s">
        <v>7</v>
      </c>
      <c r="M293" s="13" t="s">
        <v>11</v>
      </c>
      <c r="N293" s="13" t="s">
        <v>1151</v>
      </c>
      <c r="O293" s="13" t="s">
        <v>412</v>
      </c>
    </row>
    <row r="294" spans="1:15" ht="28.5">
      <c r="A294" s="12">
        <v>290</v>
      </c>
      <c r="B294" s="12" t="s">
        <v>1158</v>
      </c>
      <c r="C294" s="13" t="s">
        <v>983</v>
      </c>
      <c r="D294" s="13" t="s">
        <v>1147</v>
      </c>
      <c r="E294" s="13" t="s">
        <v>1148</v>
      </c>
      <c r="F294" s="13" t="s">
        <v>1159</v>
      </c>
      <c r="G294" s="13" t="s">
        <v>1160</v>
      </c>
      <c r="H294" s="13" t="s">
        <v>405</v>
      </c>
      <c r="I294" s="13" t="s">
        <v>16</v>
      </c>
      <c r="J294" s="13"/>
      <c r="K294" s="13" t="s">
        <v>2</v>
      </c>
      <c r="L294" s="13" t="s">
        <v>7</v>
      </c>
      <c r="M294" s="13" t="s">
        <v>11</v>
      </c>
      <c r="N294" s="13" t="s">
        <v>1151</v>
      </c>
      <c r="O294" s="13" t="s">
        <v>80</v>
      </c>
    </row>
    <row r="295" spans="1:15" ht="42.75">
      <c r="A295" s="12">
        <v>291</v>
      </c>
      <c r="B295" s="12" t="s">
        <v>1161</v>
      </c>
      <c r="C295" s="13" t="s">
        <v>983</v>
      </c>
      <c r="D295" s="13" t="s">
        <v>1147</v>
      </c>
      <c r="E295" s="13" t="s">
        <v>1148</v>
      </c>
      <c r="F295" s="13" t="s">
        <v>1162</v>
      </c>
      <c r="G295" s="13" t="s">
        <v>1163</v>
      </c>
      <c r="H295" s="13" t="s">
        <v>405</v>
      </c>
      <c r="I295" s="13" t="s">
        <v>16</v>
      </c>
      <c r="J295" s="13"/>
      <c r="K295" s="13" t="s">
        <v>2</v>
      </c>
      <c r="L295" s="13" t="s">
        <v>7</v>
      </c>
      <c r="M295" s="13" t="s">
        <v>11</v>
      </c>
      <c r="N295" s="13" t="s">
        <v>1151</v>
      </c>
      <c r="O295" s="13" t="s">
        <v>84</v>
      </c>
    </row>
    <row r="296" spans="1:15" ht="28.5">
      <c r="A296" s="12">
        <v>292</v>
      </c>
      <c r="B296" s="12" t="s">
        <v>1164</v>
      </c>
      <c r="C296" s="13" t="s">
        <v>983</v>
      </c>
      <c r="D296" s="13" t="s">
        <v>1147</v>
      </c>
      <c r="E296" s="13" t="s">
        <v>1148</v>
      </c>
      <c r="F296" s="13" t="s">
        <v>1165</v>
      </c>
      <c r="G296" s="13" t="s">
        <v>1166</v>
      </c>
      <c r="H296" s="13" t="s">
        <v>405</v>
      </c>
      <c r="I296" s="13" t="s">
        <v>88</v>
      </c>
      <c r="J296" s="13"/>
      <c r="K296" s="13" t="s">
        <v>2</v>
      </c>
      <c r="L296" s="13" t="s">
        <v>7</v>
      </c>
      <c r="M296" s="13" t="s">
        <v>11</v>
      </c>
      <c r="N296" s="13" t="s">
        <v>1151</v>
      </c>
      <c r="O296" s="13" t="s">
        <v>89</v>
      </c>
    </row>
    <row r="297" spans="1:15" ht="28.5">
      <c r="A297" s="12">
        <v>293</v>
      </c>
      <c r="B297" s="12" t="s">
        <v>1167</v>
      </c>
      <c r="C297" s="13" t="s">
        <v>983</v>
      </c>
      <c r="D297" s="13" t="s">
        <v>1147</v>
      </c>
      <c r="E297" s="13" t="s">
        <v>1148</v>
      </c>
      <c r="F297" s="13" t="s">
        <v>1168</v>
      </c>
      <c r="G297" s="13" t="s">
        <v>1169</v>
      </c>
      <c r="H297" s="13" t="s">
        <v>405</v>
      </c>
      <c r="I297" s="13" t="s">
        <v>93</v>
      </c>
      <c r="J297" s="13" t="s">
        <v>24</v>
      </c>
      <c r="K297" s="13"/>
      <c r="L297" s="13" t="s">
        <v>1</v>
      </c>
      <c r="M297" s="13" t="s">
        <v>7</v>
      </c>
      <c r="N297" s="13" t="s">
        <v>11</v>
      </c>
      <c r="O297" s="13" t="s">
        <v>1151</v>
      </c>
    </row>
    <row r="298" spans="1:15" ht="28.5">
      <c r="A298" s="12">
        <v>294</v>
      </c>
      <c r="B298" s="12" t="s">
        <v>1170</v>
      </c>
      <c r="C298" s="13" t="s">
        <v>983</v>
      </c>
      <c r="D298" s="13" t="s">
        <v>1147</v>
      </c>
      <c r="E298" s="13" t="s">
        <v>1171</v>
      </c>
      <c r="F298" s="13" t="s">
        <v>1172</v>
      </c>
      <c r="G298" s="13" t="s">
        <v>1173</v>
      </c>
      <c r="H298" s="13" t="s">
        <v>405</v>
      </c>
      <c r="I298" s="13" t="s">
        <v>19</v>
      </c>
      <c r="J298" s="13"/>
      <c r="K298" s="13" t="s">
        <v>2</v>
      </c>
      <c r="L298" s="13" t="s">
        <v>7</v>
      </c>
      <c r="M298" s="13" t="s">
        <v>11</v>
      </c>
      <c r="N298" s="13" t="s">
        <v>30</v>
      </c>
      <c r="O298" s="13"/>
    </row>
    <row r="299" spans="1:15" ht="28.5">
      <c r="A299" s="12">
        <v>295</v>
      </c>
      <c r="B299" s="12" t="s">
        <v>1174</v>
      </c>
      <c r="C299" s="13" t="s">
        <v>983</v>
      </c>
      <c r="D299" s="13" t="s">
        <v>1147</v>
      </c>
      <c r="E299" s="13" t="s">
        <v>1175</v>
      </c>
      <c r="F299" s="13" t="s">
        <v>1176</v>
      </c>
      <c r="G299" s="13" t="s">
        <v>1177</v>
      </c>
      <c r="H299" s="13" t="s">
        <v>1042</v>
      </c>
      <c r="I299" s="13" t="s">
        <v>19</v>
      </c>
      <c r="J299" s="13"/>
      <c r="K299" s="13" t="s">
        <v>2</v>
      </c>
      <c r="L299" s="13" t="s">
        <v>7</v>
      </c>
      <c r="M299" s="13" t="s">
        <v>11</v>
      </c>
      <c r="N299" s="13" t="s">
        <v>30</v>
      </c>
      <c r="O299" s="13"/>
    </row>
    <row r="300" spans="1:15" ht="28.5">
      <c r="A300" s="12">
        <v>296</v>
      </c>
      <c r="B300" s="12" t="s">
        <v>1178</v>
      </c>
      <c r="C300" s="13" t="s">
        <v>983</v>
      </c>
      <c r="D300" s="13" t="s">
        <v>1147</v>
      </c>
      <c r="E300" s="13" t="s">
        <v>1179</v>
      </c>
      <c r="F300" s="13" t="s">
        <v>1180</v>
      </c>
      <c r="G300" s="13" t="s">
        <v>1181</v>
      </c>
      <c r="H300" s="13" t="s">
        <v>1182</v>
      </c>
      <c r="I300" s="13" t="s">
        <v>25</v>
      </c>
      <c r="J300" s="13"/>
      <c r="K300" s="13" t="s">
        <v>2</v>
      </c>
      <c r="L300" s="13" t="s">
        <v>7</v>
      </c>
      <c r="M300" s="13" t="s">
        <v>11</v>
      </c>
      <c r="N300" s="13" t="s">
        <v>30</v>
      </c>
      <c r="O300" s="13"/>
    </row>
    <row r="301" spans="1:15" ht="28.5">
      <c r="A301" s="12">
        <v>297</v>
      </c>
      <c r="B301" s="12" t="s">
        <v>1183</v>
      </c>
      <c r="C301" s="13" t="s">
        <v>983</v>
      </c>
      <c r="D301" s="13" t="s">
        <v>1184</v>
      </c>
      <c r="E301" s="13" t="s">
        <v>1185</v>
      </c>
      <c r="F301" s="13" t="s">
        <v>1186</v>
      </c>
      <c r="G301" s="13" t="s">
        <v>1187</v>
      </c>
      <c r="H301" s="13" t="s">
        <v>1042</v>
      </c>
      <c r="I301" s="13" t="s">
        <v>16</v>
      </c>
      <c r="J301" s="13"/>
      <c r="K301" s="13" t="s">
        <v>2</v>
      </c>
      <c r="L301" s="13" t="s">
        <v>7</v>
      </c>
      <c r="M301" s="13" t="s">
        <v>11</v>
      </c>
      <c r="N301" s="13" t="s">
        <v>1188</v>
      </c>
      <c r="O301" s="13" t="s">
        <v>72</v>
      </c>
    </row>
    <row r="302" spans="1:15" ht="28.5">
      <c r="A302" s="12">
        <v>298</v>
      </c>
      <c r="B302" s="12" t="s">
        <v>1189</v>
      </c>
      <c r="C302" s="13" t="s">
        <v>983</v>
      </c>
      <c r="D302" s="13" t="s">
        <v>1184</v>
      </c>
      <c r="E302" s="13" t="s">
        <v>1185</v>
      </c>
      <c r="F302" s="13" t="s">
        <v>1190</v>
      </c>
      <c r="G302" s="13" t="s">
        <v>1191</v>
      </c>
      <c r="H302" s="13" t="s">
        <v>1042</v>
      </c>
      <c r="I302" s="13" t="s">
        <v>16</v>
      </c>
      <c r="J302" s="13"/>
      <c r="K302" s="13" t="s">
        <v>2</v>
      </c>
      <c r="L302" s="13" t="s">
        <v>7</v>
      </c>
      <c r="M302" s="13" t="s">
        <v>11</v>
      </c>
      <c r="N302" s="13" t="s">
        <v>1188</v>
      </c>
      <c r="O302" s="13" t="s">
        <v>76</v>
      </c>
    </row>
    <row r="303" spans="1:15" ht="28.5">
      <c r="A303" s="12">
        <v>299</v>
      </c>
      <c r="B303" s="12" t="s">
        <v>1192</v>
      </c>
      <c r="C303" s="13" t="s">
        <v>983</v>
      </c>
      <c r="D303" s="13" t="s">
        <v>1184</v>
      </c>
      <c r="E303" s="13" t="s">
        <v>1185</v>
      </c>
      <c r="F303" s="13" t="s">
        <v>1193</v>
      </c>
      <c r="G303" s="13" t="s">
        <v>1194</v>
      </c>
      <c r="H303" s="13" t="s">
        <v>1042</v>
      </c>
      <c r="I303" s="13" t="s">
        <v>16</v>
      </c>
      <c r="J303" s="13"/>
      <c r="K303" s="13" t="s">
        <v>2</v>
      </c>
      <c r="L303" s="13" t="s">
        <v>7</v>
      </c>
      <c r="M303" s="13" t="s">
        <v>11</v>
      </c>
      <c r="N303" s="13" t="s">
        <v>1188</v>
      </c>
      <c r="O303" s="13" t="s">
        <v>412</v>
      </c>
    </row>
    <row r="304" spans="1:15" ht="28.5">
      <c r="A304" s="12">
        <v>300</v>
      </c>
      <c r="B304" s="12" t="s">
        <v>1195</v>
      </c>
      <c r="C304" s="13" t="s">
        <v>983</v>
      </c>
      <c r="D304" s="13" t="s">
        <v>1184</v>
      </c>
      <c r="E304" s="13" t="s">
        <v>1185</v>
      </c>
      <c r="F304" s="13" t="s">
        <v>1196</v>
      </c>
      <c r="G304" s="13" t="s">
        <v>1197</v>
      </c>
      <c r="H304" s="13" t="s">
        <v>1042</v>
      </c>
      <c r="I304" s="13" t="s">
        <v>16</v>
      </c>
      <c r="J304" s="13"/>
      <c r="K304" s="13" t="s">
        <v>2</v>
      </c>
      <c r="L304" s="13" t="s">
        <v>7</v>
      </c>
      <c r="M304" s="13" t="s">
        <v>11</v>
      </c>
      <c r="N304" s="13" t="s">
        <v>1188</v>
      </c>
      <c r="O304" s="13" t="s">
        <v>80</v>
      </c>
    </row>
    <row r="305" spans="1:15" ht="42.75">
      <c r="A305" s="12">
        <v>301</v>
      </c>
      <c r="B305" s="12" t="s">
        <v>1198</v>
      </c>
      <c r="C305" s="13" t="s">
        <v>983</v>
      </c>
      <c r="D305" s="13" t="s">
        <v>1184</v>
      </c>
      <c r="E305" s="13" t="s">
        <v>1185</v>
      </c>
      <c r="F305" s="13" t="s">
        <v>1199</v>
      </c>
      <c r="G305" s="13" t="s">
        <v>1200</v>
      </c>
      <c r="H305" s="13" t="s">
        <v>1042</v>
      </c>
      <c r="I305" s="13" t="s">
        <v>16</v>
      </c>
      <c r="J305" s="13"/>
      <c r="K305" s="13" t="s">
        <v>2</v>
      </c>
      <c r="L305" s="13" t="s">
        <v>7</v>
      </c>
      <c r="M305" s="13" t="s">
        <v>11</v>
      </c>
      <c r="N305" s="13" t="s">
        <v>1188</v>
      </c>
      <c r="O305" s="13" t="s">
        <v>84</v>
      </c>
    </row>
    <row r="306" spans="1:15" ht="28.5">
      <c r="A306" s="12">
        <v>302</v>
      </c>
      <c r="B306" s="12" t="s">
        <v>1201</v>
      </c>
      <c r="C306" s="13" t="s">
        <v>983</v>
      </c>
      <c r="D306" s="13" t="s">
        <v>1184</v>
      </c>
      <c r="E306" s="13" t="s">
        <v>1185</v>
      </c>
      <c r="F306" s="13" t="s">
        <v>1202</v>
      </c>
      <c r="G306" s="13" t="s">
        <v>1203</v>
      </c>
      <c r="H306" s="13" t="s">
        <v>1042</v>
      </c>
      <c r="I306" s="13" t="s">
        <v>88</v>
      </c>
      <c r="J306" s="13"/>
      <c r="K306" s="13" t="s">
        <v>2</v>
      </c>
      <c r="L306" s="13" t="s">
        <v>7</v>
      </c>
      <c r="M306" s="13" t="s">
        <v>11</v>
      </c>
      <c r="N306" s="13" t="s">
        <v>1188</v>
      </c>
      <c r="O306" s="13" t="s">
        <v>89</v>
      </c>
    </row>
    <row r="307" spans="1:15" ht="28.5">
      <c r="A307" s="12">
        <v>303</v>
      </c>
      <c r="B307" s="12" t="s">
        <v>1204</v>
      </c>
      <c r="C307" s="13" t="s">
        <v>983</v>
      </c>
      <c r="D307" s="13" t="s">
        <v>1184</v>
      </c>
      <c r="E307" s="13" t="s">
        <v>1185</v>
      </c>
      <c r="F307" s="13" t="s">
        <v>1205</v>
      </c>
      <c r="G307" s="13" t="s">
        <v>1206</v>
      </c>
      <c r="H307" s="13" t="s">
        <v>1042</v>
      </c>
      <c r="I307" s="13" t="s">
        <v>93</v>
      </c>
      <c r="J307" s="13" t="s">
        <v>24</v>
      </c>
      <c r="K307" s="13"/>
      <c r="L307" s="13" t="s">
        <v>1</v>
      </c>
      <c r="M307" s="13" t="s">
        <v>7</v>
      </c>
      <c r="N307" s="13" t="s">
        <v>11</v>
      </c>
      <c r="O307" s="13" t="s">
        <v>1188</v>
      </c>
    </row>
    <row r="308" spans="1:15" ht="28.5">
      <c r="A308" s="12">
        <v>304</v>
      </c>
      <c r="B308" s="12" t="s">
        <v>1207</v>
      </c>
      <c r="C308" s="13" t="s">
        <v>983</v>
      </c>
      <c r="D308" s="13" t="s">
        <v>1184</v>
      </c>
      <c r="E308" s="13" t="s">
        <v>1208</v>
      </c>
      <c r="F308" s="13" t="s">
        <v>1209</v>
      </c>
      <c r="G308" s="13" t="s">
        <v>1210</v>
      </c>
      <c r="H308" s="13" t="s">
        <v>405</v>
      </c>
      <c r="I308" s="13" t="s">
        <v>19</v>
      </c>
      <c r="J308" s="13"/>
      <c r="K308" s="13" t="s">
        <v>2</v>
      </c>
      <c r="L308" s="13" t="s">
        <v>7</v>
      </c>
      <c r="M308" s="13" t="s">
        <v>11</v>
      </c>
      <c r="N308" s="13" t="s">
        <v>30</v>
      </c>
      <c r="O308" s="13"/>
    </row>
    <row r="309" spans="1:15" ht="28.5">
      <c r="A309" s="12">
        <v>305</v>
      </c>
      <c r="B309" s="12" t="s">
        <v>1211</v>
      </c>
      <c r="C309" s="13" t="s">
        <v>983</v>
      </c>
      <c r="D309" s="13" t="s">
        <v>1184</v>
      </c>
      <c r="E309" s="13" t="s">
        <v>1212</v>
      </c>
      <c r="F309" s="13" t="s">
        <v>1213</v>
      </c>
      <c r="G309" s="13" t="s">
        <v>1214</v>
      </c>
      <c r="H309" s="13" t="s">
        <v>1042</v>
      </c>
      <c r="I309" s="13" t="s">
        <v>19</v>
      </c>
      <c r="J309" s="13"/>
      <c r="K309" s="13" t="s">
        <v>2</v>
      </c>
      <c r="L309" s="13" t="s">
        <v>7</v>
      </c>
      <c r="M309" s="13" t="s">
        <v>11</v>
      </c>
      <c r="N309" s="13" t="s">
        <v>30</v>
      </c>
      <c r="O309" s="13"/>
    </row>
    <row r="310" spans="1:15" ht="28.5">
      <c r="A310" s="12">
        <v>306</v>
      </c>
      <c r="B310" s="12" t="s">
        <v>1215</v>
      </c>
      <c r="C310" s="13" t="s">
        <v>983</v>
      </c>
      <c r="D310" s="13" t="s">
        <v>1216</v>
      </c>
      <c r="E310" s="13" t="s">
        <v>1217</v>
      </c>
      <c r="F310" s="13" t="s">
        <v>1218</v>
      </c>
      <c r="G310" s="13" t="s">
        <v>1219</v>
      </c>
      <c r="H310" s="13" t="s">
        <v>1220</v>
      </c>
      <c r="I310" s="13" t="s">
        <v>16</v>
      </c>
      <c r="J310" s="13"/>
      <c r="K310" s="13" t="s">
        <v>1</v>
      </c>
      <c r="L310" s="13" t="s">
        <v>6</v>
      </c>
      <c r="M310" s="13" t="s">
        <v>11</v>
      </c>
      <c r="N310" s="13" t="s">
        <v>1221</v>
      </c>
      <c r="O310" s="13" t="s">
        <v>72</v>
      </c>
    </row>
    <row r="311" spans="1:15" ht="28.5">
      <c r="A311" s="12">
        <v>307</v>
      </c>
      <c r="B311" s="12" t="s">
        <v>1222</v>
      </c>
      <c r="C311" s="13" t="s">
        <v>983</v>
      </c>
      <c r="D311" s="13" t="s">
        <v>1216</v>
      </c>
      <c r="E311" s="13" t="s">
        <v>1217</v>
      </c>
      <c r="F311" s="13" t="s">
        <v>1223</v>
      </c>
      <c r="G311" s="13" t="s">
        <v>1224</v>
      </c>
      <c r="H311" s="13" t="s">
        <v>1220</v>
      </c>
      <c r="I311" s="13" t="s">
        <v>16</v>
      </c>
      <c r="J311" s="13"/>
      <c r="K311" s="13" t="s">
        <v>1</v>
      </c>
      <c r="L311" s="13" t="s">
        <v>6</v>
      </c>
      <c r="M311" s="13" t="s">
        <v>11</v>
      </c>
      <c r="N311" s="13" t="s">
        <v>1221</v>
      </c>
      <c r="O311" s="13" t="s">
        <v>76</v>
      </c>
    </row>
    <row r="312" spans="1:15" ht="28.5">
      <c r="A312" s="12">
        <v>308</v>
      </c>
      <c r="B312" s="12" t="s">
        <v>1225</v>
      </c>
      <c r="C312" s="13" t="s">
        <v>983</v>
      </c>
      <c r="D312" s="13" t="s">
        <v>1216</v>
      </c>
      <c r="E312" s="13" t="s">
        <v>1217</v>
      </c>
      <c r="F312" s="13" t="s">
        <v>1226</v>
      </c>
      <c r="G312" s="13" t="s">
        <v>1227</v>
      </c>
      <c r="H312" s="13" t="s">
        <v>1220</v>
      </c>
      <c r="I312" s="13" t="s">
        <v>16</v>
      </c>
      <c r="J312" s="13"/>
      <c r="K312" s="13" t="s">
        <v>1</v>
      </c>
      <c r="L312" s="13" t="s">
        <v>6</v>
      </c>
      <c r="M312" s="13" t="s">
        <v>11</v>
      </c>
      <c r="N312" s="13" t="s">
        <v>1221</v>
      </c>
      <c r="O312" s="13" t="s">
        <v>80</v>
      </c>
    </row>
    <row r="313" spans="1:15" ht="42.75">
      <c r="A313" s="12">
        <v>309</v>
      </c>
      <c r="B313" s="12" t="s">
        <v>1228</v>
      </c>
      <c r="C313" s="13" t="s">
        <v>983</v>
      </c>
      <c r="D313" s="13" t="s">
        <v>1216</v>
      </c>
      <c r="E313" s="13" t="s">
        <v>1217</v>
      </c>
      <c r="F313" s="13" t="s">
        <v>1229</v>
      </c>
      <c r="G313" s="13" t="s">
        <v>1230</v>
      </c>
      <c r="H313" s="13" t="s">
        <v>1220</v>
      </c>
      <c r="I313" s="13" t="s">
        <v>16</v>
      </c>
      <c r="J313" s="13"/>
      <c r="K313" s="13" t="s">
        <v>1</v>
      </c>
      <c r="L313" s="13" t="s">
        <v>6</v>
      </c>
      <c r="M313" s="13" t="s">
        <v>11</v>
      </c>
      <c r="N313" s="13" t="s">
        <v>1221</v>
      </c>
      <c r="O313" s="13" t="s">
        <v>84</v>
      </c>
    </row>
    <row r="314" spans="1:15" ht="28.5">
      <c r="A314" s="12">
        <v>310</v>
      </c>
      <c r="B314" s="12" t="s">
        <v>1231</v>
      </c>
      <c r="C314" s="13" t="s">
        <v>983</v>
      </c>
      <c r="D314" s="13" t="s">
        <v>1216</v>
      </c>
      <c r="E314" s="13" t="s">
        <v>1217</v>
      </c>
      <c r="F314" s="13" t="s">
        <v>1232</v>
      </c>
      <c r="G314" s="13" t="s">
        <v>1233</v>
      </c>
      <c r="H314" s="13" t="s">
        <v>1220</v>
      </c>
      <c r="I314" s="13" t="s">
        <v>88</v>
      </c>
      <c r="J314" s="13"/>
      <c r="K314" s="13" t="s">
        <v>2</v>
      </c>
      <c r="L314" s="13" t="s">
        <v>6</v>
      </c>
      <c r="M314" s="13" t="s">
        <v>11</v>
      </c>
      <c r="N314" s="13" t="s">
        <v>1221</v>
      </c>
      <c r="O314" s="13" t="s">
        <v>89</v>
      </c>
    </row>
    <row r="315" spans="1:15" ht="28.5">
      <c r="A315" s="12">
        <v>311</v>
      </c>
      <c r="B315" s="12" t="s">
        <v>1234</v>
      </c>
      <c r="C315" s="13" t="s">
        <v>983</v>
      </c>
      <c r="D315" s="13" t="s">
        <v>1216</v>
      </c>
      <c r="E315" s="13" t="s">
        <v>1217</v>
      </c>
      <c r="F315" s="13" t="s">
        <v>1235</v>
      </c>
      <c r="G315" s="13" t="s">
        <v>1236</v>
      </c>
      <c r="H315" s="13" t="s">
        <v>1220</v>
      </c>
      <c r="I315" s="13" t="s">
        <v>93</v>
      </c>
      <c r="J315" s="13" t="s">
        <v>24</v>
      </c>
      <c r="K315" s="13"/>
      <c r="L315" s="13" t="s">
        <v>1</v>
      </c>
      <c r="M315" s="13" t="s">
        <v>6</v>
      </c>
      <c r="N315" s="13" t="s">
        <v>11</v>
      </c>
      <c r="O315" s="13" t="s">
        <v>1221</v>
      </c>
    </row>
    <row r="316" spans="1:15" ht="28.5">
      <c r="A316" s="12">
        <v>312</v>
      </c>
      <c r="B316" s="12" t="s">
        <v>1237</v>
      </c>
      <c r="C316" s="13" t="s">
        <v>983</v>
      </c>
      <c r="D316" s="13" t="s">
        <v>1216</v>
      </c>
      <c r="E316" s="13" t="s">
        <v>1238</v>
      </c>
      <c r="F316" s="13" t="s">
        <v>1239</v>
      </c>
      <c r="G316" s="13" t="s">
        <v>1240</v>
      </c>
      <c r="H316" s="13" t="s">
        <v>1220</v>
      </c>
      <c r="I316" s="13" t="s">
        <v>19</v>
      </c>
      <c r="J316" s="13"/>
      <c r="K316" s="13" t="s">
        <v>2</v>
      </c>
      <c r="L316" s="13" t="s">
        <v>6</v>
      </c>
      <c r="M316" s="13" t="s">
        <v>11</v>
      </c>
      <c r="N316" s="13" t="s">
        <v>30</v>
      </c>
      <c r="O316" s="13"/>
    </row>
    <row r="317" spans="1:15" ht="28.5">
      <c r="A317" s="12">
        <v>313</v>
      </c>
      <c r="B317" s="12" t="s">
        <v>1241</v>
      </c>
      <c r="C317" s="13" t="s">
        <v>983</v>
      </c>
      <c r="D317" s="13" t="s">
        <v>1242</v>
      </c>
      <c r="E317" s="13" t="s">
        <v>1243</v>
      </c>
      <c r="F317" s="13" t="s">
        <v>1244</v>
      </c>
      <c r="G317" s="13" t="s">
        <v>1245</v>
      </c>
      <c r="H317" s="13" t="s">
        <v>1246</v>
      </c>
      <c r="I317" s="13" t="s">
        <v>19</v>
      </c>
      <c r="J317" s="13" t="s">
        <v>901</v>
      </c>
      <c r="K317" s="13" t="s">
        <v>3</v>
      </c>
      <c r="L317" s="13" t="s">
        <v>8</v>
      </c>
      <c r="M317" s="13" t="s">
        <v>11</v>
      </c>
      <c r="N317" s="13" t="s">
        <v>30</v>
      </c>
      <c r="O317" s="13"/>
    </row>
    <row r="318" spans="1:15" ht="28.5">
      <c r="A318" s="12">
        <v>314</v>
      </c>
      <c r="B318" s="12" t="s">
        <v>1247</v>
      </c>
      <c r="C318" s="13" t="s">
        <v>983</v>
      </c>
      <c r="D318" s="13" t="s">
        <v>1242</v>
      </c>
      <c r="E318" s="13" t="s">
        <v>1248</v>
      </c>
      <c r="F318" s="13" t="s">
        <v>1249</v>
      </c>
      <c r="G318" s="13" t="s">
        <v>1250</v>
      </c>
      <c r="H318" s="13" t="s">
        <v>1246</v>
      </c>
      <c r="I318" s="13" t="s">
        <v>19</v>
      </c>
      <c r="J318" s="13" t="s">
        <v>901</v>
      </c>
      <c r="K318" s="13" t="s">
        <v>3</v>
      </c>
      <c r="L318" s="13" t="s">
        <v>8</v>
      </c>
      <c r="M318" s="13" t="s">
        <v>11</v>
      </c>
      <c r="N318" s="13" t="s">
        <v>30</v>
      </c>
      <c r="O318" s="13"/>
    </row>
    <row r="319" spans="1:15" ht="28.5">
      <c r="A319" s="12">
        <v>315</v>
      </c>
      <c r="B319" s="12" t="s">
        <v>1251</v>
      </c>
      <c r="C319" s="13" t="s">
        <v>1252</v>
      </c>
      <c r="D319" s="13" t="s">
        <v>1253</v>
      </c>
      <c r="E319" s="13" t="s">
        <v>1254</v>
      </c>
      <c r="F319" s="13" t="s">
        <v>1255</v>
      </c>
      <c r="G319" s="13" t="s">
        <v>1256</v>
      </c>
      <c r="H319" s="13" t="s">
        <v>1257</v>
      </c>
      <c r="I319" s="13" t="s">
        <v>16</v>
      </c>
      <c r="J319" s="13"/>
      <c r="K319" s="13" t="s">
        <v>1</v>
      </c>
      <c r="L319" s="13" t="s">
        <v>6</v>
      </c>
      <c r="M319" s="13" t="s">
        <v>11</v>
      </c>
      <c r="N319" s="13" t="s">
        <v>1258</v>
      </c>
      <c r="O319" s="13" t="s">
        <v>72</v>
      </c>
    </row>
    <row r="320" spans="1:15" ht="28.5">
      <c r="A320" s="12">
        <v>316</v>
      </c>
      <c r="B320" s="12" t="s">
        <v>1259</v>
      </c>
      <c r="C320" s="13" t="s">
        <v>1252</v>
      </c>
      <c r="D320" s="13" t="s">
        <v>1253</v>
      </c>
      <c r="E320" s="13" t="s">
        <v>1254</v>
      </c>
      <c r="F320" s="13" t="s">
        <v>1260</v>
      </c>
      <c r="G320" s="13" t="s">
        <v>1261</v>
      </c>
      <c r="H320" s="13" t="s">
        <v>1257</v>
      </c>
      <c r="I320" s="13" t="s">
        <v>16</v>
      </c>
      <c r="J320" s="13"/>
      <c r="K320" s="13" t="s">
        <v>1</v>
      </c>
      <c r="L320" s="13" t="s">
        <v>6</v>
      </c>
      <c r="M320" s="13" t="s">
        <v>11</v>
      </c>
      <c r="N320" s="13" t="s">
        <v>1258</v>
      </c>
      <c r="O320" s="13" t="s">
        <v>76</v>
      </c>
    </row>
    <row r="321" spans="1:15" ht="28.5">
      <c r="A321" s="12">
        <v>317</v>
      </c>
      <c r="B321" s="12" t="s">
        <v>1262</v>
      </c>
      <c r="C321" s="13" t="s">
        <v>1252</v>
      </c>
      <c r="D321" s="13" t="s">
        <v>1253</v>
      </c>
      <c r="E321" s="13" t="s">
        <v>1254</v>
      </c>
      <c r="F321" s="13" t="s">
        <v>1263</v>
      </c>
      <c r="G321" s="13" t="s">
        <v>1264</v>
      </c>
      <c r="H321" s="13" t="s">
        <v>1257</v>
      </c>
      <c r="I321" s="13" t="s">
        <v>16</v>
      </c>
      <c r="J321" s="13"/>
      <c r="K321" s="13" t="s">
        <v>2</v>
      </c>
      <c r="L321" s="13" t="s">
        <v>6</v>
      </c>
      <c r="M321" s="13" t="s">
        <v>11</v>
      </c>
      <c r="N321" s="13" t="s">
        <v>1258</v>
      </c>
      <c r="O321" s="13" t="s">
        <v>412</v>
      </c>
    </row>
    <row r="322" spans="1:15" ht="28.5">
      <c r="A322" s="12">
        <v>318</v>
      </c>
      <c r="B322" s="12" t="s">
        <v>1265</v>
      </c>
      <c r="C322" s="13" t="s">
        <v>1252</v>
      </c>
      <c r="D322" s="13" t="s">
        <v>1253</v>
      </c>
      <c r="E322" s="13" t="s">
        <v>1254</v>
      </c>
      <c r="F322" s="13" t="s">
        <v>1266</v>
      </c>
      <c r="G322" s="13" t="s">
        <v>1267</v>
      </c>
      <c r="H322" s="13" t="s">
        <v>1257</v>
      </c>
      <c r="I322" s="13" t="s">
        <v>16</v>
      </c>
      <c r="J322" s="13"/>
      <c r="K322" s="13" t="s">
        <v>1</v>
      </c>
      <c r="L322" s="13" t="s">
        <v>6</v>
      </c>
      <c r="M322" s="13" t="s">
        <v>11</v>
      </c>
      <c r="N322" s="13" t="s">
        <v>1258</v>
      </c>
      <c r="O322" s="13" t="s">
        <v>80</v>
      </c>
    </row>
    <row r="323" spans="1:15" ht="42.75">
      <c r="A323" s="12">
        <v>319</v>
      </c>
      <c r="B323" s="12" t="s">
        <v>1268</v>
      </c>
      <c r="C323" s="13" t="s">
        <v>1252</v>
      </c>
      <c r="D323" s="13" t="s">
        <v>1253</v>
      </c>
      <c r="E323" s="13" t="s">
        <v>1254</v>
      </c>
      <c r="F323" s="13" t="s">
        <v>1269</v>
      </c>
      <c r="G323" s="13" t="s">
        <v>1270</v>
      </c>
      <c r="H323" s="13" t="s">
        <v>1257</v>
      </c>
      <c r="I323" s="13" t="s">
        <v>16</v>
      </c>
      <c r="J323" s="13"/>
      <c r="K323" s="13" t="s">
        <v>1</v>
      </c>
      <c r="L323" s="13" t="s">
        <v>6</v>
      </c>
      <c r="M323" s="13" t="s">
        <v>11</v>
      </c>
      <c r="N323" s="13" t="s">
        <v>1258</v>
      </c>
      <c r="O323" s="13" t="s">
        <v>84</v>
      </c>
    </row>
    <row r="324" spans="1:15" ht="28.5">
      <c r="A324" s="12">
        <v>320</v>
      </c>
      <c r="B324" s="12" t="s">
        <v>1271</v>
      </c>
      <c r="C324" s="13" t="s">
        <v>1252</v>
      </c>
      <c r="D324" s="13" t="s">
        <v>1253</v>
      </c>
      <c r="E324" s="13" t="s">
        <v>1254</v>
      </c>
      <c r="F324" s="13" t="s">
        <v>1272</v>
      </c>
      <c r="G324" s="13" t="s">
        <v>1273</v>
      </c>
      <c r="H324" s="13" t="s">
        <v>1257</v>
      </c>
      <c r="I324" s="13" t="s">
        <v>88</v>
      </c>
      <c r="J324" s="13"/>
      <c r="K324" s="13" t="s">
        <v>2</v>
      </c>
      <c r="L324" s="13" t="s">
        <v>6</v>
      </c>
      <c r="M324" s="13" t="s">
        <v>11</v>
      </c>
      <c r="N324" s="13" t="s">
        <v>1258</v>
      </c>
      <c r="O324" s="13" t="s">
        <v>89</v>
      </c>
    </row>
    <row r="325" spans="1:15" ht="28.5">
      <c r="A325" s="12">
        <v>321</v>
      </c>
      <c r="B325" s="12" t="s">
        <v>1274</v>
      </c>
      <c r="C325" s="13" t="s">
        <v>1252</v>
      </c>
      <c r="D325" s="13" t="s">
        <v>1253</v>
      </c>
      <c r="E325" s="13" t="s">
        <v>1254</v>
      </c>
      <c r="F325" s="13" t="s">
        <v>1275</v>
      </c>
      <c r="G325" s="13" t="s">
        <v>1276</v>
      </c>
      <c r="H325" s="13" t="s">
        <v>1257</v>
      </c>
      <c r="I325" s="13" t="s">
        <v>93</v>
      </c>
      <c r="J325" s="13" t="s">
        <v>24</v>
      </c>
      <c r="K325" s="13"/>
      <c r="L325" s="13" t="s">
        <v>1</v>
      </c>
      <c r="M325" s="13" t="s">
        <v>6</v>
      </c>
      <c r="N325" s="13" t="s">
        <v>11</v>
      </c>
      <c r="O325" s="13" t="s">
        <v>1258</v>
      </c>
    </row>
    <row r="326" spans="1:15" ht="28.5">
      <c r="A326" s="12">
        <v>322</v>
      </c>
      <c r="B326" s="12" t="s">
        <v>1277</v>
      </c>
      <c r="C326" s="13" t="s">
        <v>1252</v>
      </c>
      <c r="D326" s="13" t="s">
        <v>1278</v>
      </c>
      <c r="E326" s="13" t="s">
        <v>1279</v>
      </c>
      <c r="F326" s="13" t="s">
        <v>1280</v>
      </c>
      <c r="G326" s="13" t="s">
        <v>1281</v>
      </c>
      <c r="H326" s="13" t="s">
        <v>1282</v>
      </c>
      <c r="I326" s="13" t="s">
        <v>20</v>
      </c>
      <c r="J326" s="13"/>
      <c r="K326" s="13" t="s">
        <v>2</v>
      </c>
      <c r="L326" s="13" t="s">
        <v>7</v>
      </c>
      <c r="M326" s="13" t="s">
        <v>12</v>
      </c>
      <c r="N326" s="13" t="s">
        <v>504</v>
      </c>
      <c r="O326" s="13"/>
    </row>
    <row r="327" spans="1:15" ht="28.5">
      <c r="A327" s="12">
        <v>323</v>
      </c>
      <c r="B327" s="12" t="s">
        <v>1283</v>
      </c>
      <c r="C327" s="13" t="s">
        <v>1252</v>
      </c>
      <c r="D327" s="13" t="s">
        <v>1278</v>
      </c>
      <c r="E327" s="13" t="s">
        <v>1279</v>
      </c>
      <c r="F327" s="13" t="s">
        <v>1284</v>
      </c>
      <c r="G327" s="13" t="s">
        <v>1285</v>
      </c>
      <c r="H327" s="13" t="s">
        <v>1282</v>
      </c>
      <c r="I327" s="13" t="s">
        <v>20</v>
      </c>
      <c r="J327" s="13"/>
      <c r="K327" s="13" t="s">
        <v>2</v>
      </c>
      <c r="L327" s="13" t="s">
        <v>7</v>
      </c>
      <c r="M327" s="13" t="s">
        <v>12</v>
      </c>
      <c r="N327" s="13" t="s">
        <v>504</v>
      </c>
      <c r="O327" s="13"/>
    </row>
    <row r="328" spans="1:15" ht="28.5">
      <c r="A328" s="12">
        <v>324</v>
      </c>
      <c r="B328" s="12" t="s">
        <v>1286</v>
      </c>
      <c r="C328" s="13" t="s">
        <v>1252</v>
      </c>
      <c r="D328" s="13" t="s">
        <v>1278</v>
      </c>
      <c r="E328" s="13" t="s">
        <v>1279</v>
      </c>
      <c r="F328" s="13" t="s">
        <v>1287</v>
      </c>
      <c r="G328" s="13" t="s">
        <v>1288</v>
      </c>
      <c r="H328" s="13" t="s">
        <v>1282</v>
      </c>
      <c r="I328" s="13" t="s">
        <v>20</v>
      </c>
      <c r="J328" s="13"/>
      <c r="K328" s="13" t="s">
        <v>2</v>
      </c>
      <c r="L328" s="13" t="s">
        <v>7</v>
      </c>
      <c r="M328" s="13" t="s">
        <v>12</v>
      </c>
      <c r="N328" s="13" t="s">
        <v>504</v>
      </c>
      <c r="O328" s="13"/>
    </row>
    <row r="329" spans="1:15" ht="28.5">
      <c r="A329" s="12">
        <v>325</v>
      </c>
      <c r="B329" s="12" t="s">
        <v>1289</v>
      </c>
      <c r="C329" s="13" t="s">
        <v>1252</v>
      </c>
      <c r="D329" s="13" t="s">
        <v>1278</v>
      </c>
      <c r="E329" s="13" t="s">
        <v>1279</v>
      </c>
      <c r="F329" s="13" t="s">
        <v>1290</v>
      </c>
      <c r="G329" s="13" t="s">
        <v>1291</v>
      </c>
      <c r="H329" s="13" t="s">
        <v>1282</v>
      </c>
      <c r="I329" s="13" t="s">
        <v>20</v>
      </c>
      <c r="J329" s="13"/>
      <c r="K329" s="13" t="s">
        <v>2</v>
      </c>
      <c r="L329" s="13" t="s">
        <v>7</v>
      </c>
      <c r="M329" s="13" t="s">
        <v>12</v>
      </c>
      <c r="N329" s="13" t="s">
        <v>504</v>
      </c>
      <c r="O329" s="13"/>
    </row>
    <row r="330" spans="1:15" ht="28.5">
      <c r="A330" s="12">
        <v>326</v>
      </c>
      <c r="B330" s="12" t="s">
        <v>1292</v>
      </c>
      <c r="C330" s="13" t="s">
        <v>1252</v>
      </c>
      <c r="D330" s="13" t="s">
        <v>1278</v>
      </c>
      <c r="E330" s="13" t="s">
        <v>1279</v>
      </c>
      <c r="F330" s="13" t="s">
        <v>1293</v>
      </c>
      <c r="G330" s="13" t="s">
        <v>1294</v>
      </c>
      <c r="H330" s="13" t="s">
        <v>1282</v>
      </c>
      <c r="I330" s="13" t="s">
        <v>20</v>
      </c>
      <c r="J330" s="13"/>
      <c r="K330" s="13" t="s">
        <v>2</v>
      </c>
      <c r="L330" s="13" t="s">
        <v>7</v>
      </c>
      <c r="M330" s="13" t="s">
        <v>12</v>
      </c>
      <c r="N330" s="13" t="s">
        <v>504</v>
      </c>
      <c r="O330" s="13"/>
    </row>
    <row r="331" spans="1:15" ht="28.5">
      <c r="A331" s="12">
        <v>327</v>
      </c>
      <c r="B331" s="12" t="s">
        <v>1295</v>
      </c>
      <c r="C331" s="13" t="s">
        <v>1252</v>
      </c>
      <c r="D331" s="13" t="s">
        <v>1278</v>
      </c>
      <c r="E331" s="13" t="s">
        <v>1279</v>
      </c>
      <c r="F331" s="13" t="s">
        <v>1296</v>
      </c>
      <c r="G331" s="13" t="s">
        <v>1297</v>
      </c>
      <c r="H331" s="13" t="s">
        <v>1282</v>
      </c>
      <c r="I331" s="13" t="s">
        <v>20</v>
      </c>
      <c r="J331" s="13"/>
      <c r="K331" s="13" t="s">
        <v>2</v>
      </c>
      <c r="L331" s="13" t="s">
        <v>7</v>
      </c>
      <c r="M331" s="13" t="s">
        <v>12</v>
      </c>
      <c r="N331" s="13" t="s">
        <v>504</v>
      </c>
      <c r="O331" s="13"/>
    </row>
    <row r="332" spans="1:15" ht="28.5">
      <c r="A332" s="12">
        <v>328</v>
      </c>
      <c r="B332" s="12" t="s">
        <v>1298</v>
      </c>
      <c r="C332" s="13" t="s">
        <v>1252</v>
      </c>
      <c r="D332" s="13" t="s">
        <v>1278</v>
      </c>
      <c r="E332" s="13" t="s">
        <v>1279</v>
      </c>
      <c r="F332" s="13" t="s">
        <v>1299</v>
      </c>
      <c r="G332" s="13" t="s">
        <v>1300</v>
      </c>
      <c r="H332" s="13" t="s">
        <v>1282</v>
      </c>
      <c r="I332" s="13" t="s">
        <v>20</v>
      </c>
      <c r="J332" s="13"/>
      <c r="K332" s="13" t="s">
        <v>2</v>
      </c>
      <c r="L332" s="13" t="s">
        <v>7</v>
      </c>
      <c r="M332" s="13" t="s">
        <v>12</v>
      </c>
      <c r="N332" s="13" t="s">
        <v>504</v>
      </c>
      <c r="O332" s="13"/>
    </row>
    <row r="333" spans="1:15" ht="28.5">
      <c r="A333" s="12">
        <v>329</v>
      </c>
      <c r="B333" s="12" t="s">
        <v>1301</v>
      </c>
      <c r="C333" s="13" t="s">
        <v>1252</v>
      </c>
      <c r="D333" s="13" t="s">
        <v>1278</v>
      </c>
      <c r="E333" s="13" t="s">
        <v>1279</v>
      </c>
      <c r="F333" s="13" t="s">
        <v>1302</v>
      </c>
      <c r="G333" s="13" t="s">
        <v>1303</v>
      </c>
      <c r="H333" s="13" t="s">
        <v>1282</v>
      </c>
      <c r="I333" s="13" t="s">
        <v>20</v>
      </c>
      <c r="J333" s="13"/>
      <c r="K333" s="13" t="s">
        <v>2</v>
      </c>
      <c r="L333" s="13" t="s">
        <v>7</v>
      </c>
      <c r="M333" s="13" t="s">
        <v>12</v>
      </c>
      <c r="N333" s="13" t="s">
        <v>504</v>
      </c>
      <c r="O333" s="13"/>
    </row>
    <row r="334" spans="1:15" ht="28.5">
      <c r="A334" s="12">
        <v>330</v>
      </c>
      <c r="B334" s="12" t="s">
        <v>1304</v>
      </c>
      <c r="C334" s="13" t="s">
        <v>1252</v>
      </c>
      <c r="D334" s="13" t="s">
        <v>1305</v>
      </c>
      <c r="E334" s="13" t="s">
        <v>1306</v>
      </c>
      <c r="F334" s="13" t="s">
        <v>1307</v>
      </c>
      <c r="G334" s="13" t="s">
        <v>1308</v>
      </c>
      <c r="H334" s="13" t="s">
        <v>1257</v>
      </c>
      <c r="I334" s="13" t="s">
        <v>25</v>
      </c>
      <c r="J334" s="13"/>
      <c r="K334" s="13" t="s">
        <v>1</v>
      </c>
      <c r="L334" s="13" t="s">
        <v>6</v>
      </c>
      <c r="M334" s="13" t="s">
        <v>11</v>
      </c>
      <c r="N334" s="13" t="s">
        <v>30</v>
      </c>
      <c r="O334" s="13"/>
    </row>
    <row r="335" spans="1:15" ht="28.5">
      <c r="A335" s="12">
        <v>331</v>
      </c>
      <c r="B335" s="12" t="s">
        <v>1309</v>
      </c>
      <c r="C335" s="13" t="s">
        <v>1252</v>
      </c>
      <c r="D335" s="13" t="s">
        <v>1305</v>
      </c>
      <c r="E335" s="13" t="s">
        <v>1310</v>
      </c>
      <c r="F335" s="13" t="s">
        <v>1311</v>
      </c>
      <c r="G335" s="13" t="s">
        <v>1312</v>
      </c>
      <c r="H335" s="13" t="s">
        <v>1313</v>
      </c>
      <c r="I335" s="13" t="s">
        <v>18</v>
      </c>
      <c r="J335" s="13"/>
      <c r="K335" s="13" t="s">
        <v>1</v>
      </c>
      <c r="L335" s="13" t="s">
        <v>6</v>
      </c>
      <c r="M335" s="13" t="s">
        <v>11</v>
      </c>
      <c r="N335" s="13" t="s">
        <v>30</v>
      </c>
      <c r="O335" s="13"/>
    </row>
    <row r="336" spans="1:15" ht="28.5">
      <c r="A336" s="12">
        <v>332</v>
      </c>
      <c r="B336" s="12" t="s">
        <v>1314</v>
      </c>
      <c r="C336" s="13" t="s">
        <v>1252</v>
      </c>
      <c r="D336" s="13" t="s">
        <v>1305</v>
      </c>
      <c r="E336" s="13" t="s">
        <v>802</v>
      </c>
      <c r="F336" s="13" t="s">
        <v>1315</v>
      </c>
      <c r="G336" s="13" t="s">
        <v>1316</v>
      </c>
      <c r="H336" s="13" t="s">
        <v>1317</v>
      </c>
      <c r="I336" s="13" t="s">
        <v>25</v>
      </c>
      <c r="J336" s="13"/>
      <c r="K336" s="13" t="s">
        <v>2</v>
      </c>
      <c r="L336" s="13" t="s">
        <v>7</v>
      </c>
      <c r="M336" s="13" t="s">
        <v>11</v>
      </c>
      <c r="N336" s="13" t="s">
        <v>30</v>
      </c>
      <c r="O336" s="13"/>
    </row>
    <row r="337" spans="1:15" ht="28.5">
      <c r="A337" s="12">
        <v>333</v>
      </c>
      <c r="B337" s="12" t="s">
        <v>1318</v>
      </c>
      <c r="C337" s="13" t="s">
        <v>1319</v>
      </c>
      <c r="D337" s="13" t="s">
        <v>1320</v>
      </c>
      <c r="E337" s="13" t="s">
        <v>1321</v>
      </c>
      <c r="F337" s="13" t="s">
        <v>1322</v>
      </c>
      <c r="G337" s="13" t="s">
        <v>1323</v>
      </c>
      <c r="H337" s="13" t="s">
        <v>1182</v>
      </c>
      <c r="I337" s="13" t="s">
        <v>25</v>
      </c>
      <c r="J337" s="13"/>
      <c r="K337" s="13" t="s">
        <v>1</v>
      </c>
      <c r="L337" s="13" t="s">
        <v>7</v>
      </c>
      <c r="M337" s="13" t="s">
        <v>11</v>
      </c>
      <c r="N337" s="13" t="s">
        <v>1324</v>
      </c>
      <c r="O337" s="13"/>
    </row>
    <row r="338" spans="1:15" ht="28.5">
      <c r="A338" s="12">
        <v>334</v>
      </c>
      <c r="B338" s="12" t="s">
        <v>1325</v>
      </c>
      <c r="C338" s="13" t="s">
        <v>1319</v>
      </c>
      <c r="D338" s="13" t="s">
        <v>1320</v>
      </c>
      <c r="E338" s="13" t="s">
        <v>1321</v>
      </c>
      <c r="F338" s="13" t="s">
        <v>1326</v>
      </c>
      <c r="G338" s="13" t="s">
        <v>1327</v>
      </c>
      <c r="H338" s="13" t="s">
        <v>1182</v>
      </c>
      <c r="I338" s="13" t="s">
        <v>25</v>
      </c>
      <c r="J338" s="13"/>
      <c r="K338" s="13" t="s">
        <v>1</v>
      </c>
      <c r="L338" s="13" t="s">
        <v>7</v>
      </c>
      <c r="M338" s="13" t="s">
        <v>11</v>
      </c>
      <c r="N338" s="13" t="s">
        <v>1324</v>
      </c>
      <c r="O338" s="13"/>
    </row>
    <row r="339" spans="1:15" ht="28.5">
      <c r="A339" s="12">
        <v>335</v>
      </c>
      <c r="B339" s="12" t="s">
        <v>1328</v>
      </c>
      <c r="C339" s="13" t="s">
        <v>1319</v>
      </c>
      <c r="D339" s="13" t="s">
        <v>1320</v>
      </c>
      <c r="E339" s="13" t="s">
        <v>1321</v>
      </c>
      <c r="F339" s="13" t="s">
        <v>1329</v>
      </c>
      <c r="G339" s="13" t="s">
        <v>1330</v>
      </c>
      <c r="H339" s="13" t="s">
        <v>1182</v>
      </c>
      <c r="I339" s="13" t="s">
        <v>25</v>
      </c>
      <c r="J339" s="13"/>
      <c r="K339" s="13" t="s">
        <v>1</v>
      </c>
      <c r="L339" s="13" t="s">
        <v>7</v>
      </c>
      <c r="M339" s="13" t="s">
        <v>11</v>
      </c>
      <c r="N339" s="13" t="s">
        <v>1324</v>
      </c>
      <c r="O339" s="13"/>
    </row>
    <row r="340" spans="1:15" ht="28.5">
      <c r="A340" s="12">
        <v>336</v>
      </c>
      <c r="B340" s="12" t="s">
        <v>1331</v>
      </c>
      <c r="C340" s="13" t="s">
        <v>1319</v>
      </c>
      <c r="D340" s="13" t="s">
        <v>1320</v>
      </c>
      <c r="E340" s="13" t="s">
        <v>1321</v>
      </c>
      <c r="F340" s="13" t="s">
        <v>1332</v>
      </c>
      <c r="G340" s="13" t="s">
        <v>1333</v>
      </c>
      <c r="H340" s="13" t="s">
        <v>1182</v>
      </c>
      <c r="I340" s="13" t="s">
        <v>25</v>
      </c>
      <c r="J340" s="13"/>
      <c r="K340" s="13" t="s">
        <v>1</v>
      </c>
      <c r="L340" s="13" t="s">
        <v>7</v>
      </c>
      <c r="M340" s="13" t="s">
        <v>11</v>
      </c>
      <c r="N340" s="13" t="s">
        <v>1324</v>
      </c>
      <c r="O340" s="13"/>
    </row>
    <row r="341" spans="1:15" ht="28.5">
      <c r="A341" s="12">
        <v>337</v>
      </c>
      <c r="B341" s="12" t="s">
        <v>1334</v>
      </c>
      <c r="C341" s="13" t="s">
        <v>1319</v>
      </c>
      <c r="D341" s="13" t="s">
        <v>1320</v>
      </c>
      <c r="E341" s="13" t="s">
        <v>1321</v>
      </c>
      <c r="F341" s="13" t="s">
        <v>1335</v>
      </c>
      <c r="G341" s="13" t="s">
        <v>1336</v>
      </c>
      <c r="H341" s="13" t="s">
        <v>1182</v>
      </c>
      <c r="I341" s="13" t="s">
        <v>25</v>
      </c>
      <c r="J341" s="13"/>
      <c r="K341" s="13" t="s">
        <v>1</v>
      </c>
      <c r="L341" s="13" t="s">
        <v>7</v>
      </c>
      <c r="M341" s="13" t="s">
        <v>11</v>
      </c>
      <c r="N341" s="13" t="s">
        <v>1324</v>
      </c>
      <c r="O341" s="13"/>
    </row>
    <row r="342" spans="1:15" ht="28.5">
      <c r="A342" s="12">
        <v>338</v>
      </c>
      <c r="B342" s="12" t="s">
        <v>1337</v>
      </c>
      <c r="C342" s="13" t="s">
        <v>1319</v>
      </c>
      <c r="D342" s="13" t="s">
        <v>1320</v>
      </c>
      <c r="E342" s="13" t="s">
        <v>1321</v>
      </c>
      <c r="F342" s="13" t="s">
        <v>1338</v>
      </c>
      <c r="G342" s="13" t="s">
        <v>1339</v>
      </c>
      <c r="H342" s="13" t="s">
        <v>1182</v>
      </c>
      <c r="I342" s="13" t="s">
        <v>25</v>
      </c>
      <c r="J342" s="13"/>
      <c r="K342" s="13" t="s">
        <v>1</v>
      </c>
      <c r="L342" s="13" t="s">
        <v>7</v>
      </c>
      <c r="M342" s="13" t="s">
        <v>11</v>
      </c>
      <c r="N342" s="13" t="s">
        <v>1324</v>
      </c>
      <c r="O342" s="13"/>
    </row>
    <row r="343" spans="1:15" ht="28.5">
      <c r="A343" s="12">
        <v>339</v>
      </c>
      <c r="B343" s="12" t="s">
        <v>1340</v>
      </c>
      <c r="C343" s="13" t="s">
        <v>1319</v>
      </c>
      <c r="D343" s="13" t="s">
        <v>1320</v>
      </c>
      <c r="E343" s="13" t="s">
        <v>1321</v>
      </c>
      <c r="F343" s="13" t="s">
        <v>1341</v>
      </c>
      <c r="G343" s="13" t="s">
        <v>1342</v>
      </c>
      <c r="H343" s="13" t="s">
        <v>1182</v>
      </c>
      <c r="I343" s="13" t="s">
        <v>25</v>
      </c>
      <c r="J343" s="13"/>
      <c r="K343" s="13" t="s">
        <v>1</v>
      </c>
      <c r="L343" s="13" t="s">
        <v>7</v>
      </c>
      <c r="M343" s="13" t="s">
        <v>11</v>
      </c>
      <c r="N343" s="13" t="s">
        <v>1324</v>
      </c>
      <c r="O343" s="13"/>
    </row>
    <row r="344" spans="1:15" ht="28.5">
      <c r="A344" s="12">
        <v>340</v>
      </c>
      <c r="B344" s="12" t="s">
        <v>1343</v>
      </c>
      <c r="C344" s="13" t="s">
        <v>1319</v>
      </c>
      <c r="D344" s="13" t="s">
        <v>1320</v>
      </c>
      <c r="E344" s="13" t="s">
        <v>1321</v>
      </c>
      <c r="F344" s="13" t="s">
        <v>1344</v>
      </c>
      <c r="G344" s="13" t="s">
        <v>1345</v>
      </c>
      <c r="H344" s="13" t="s">
        <v>1182</v>
      </c>
      <c r="I344" s="13" t="s">
        <v>25</v>
      </c>
      <c r="J344" s="13"/>
      <c r="K344" s="13" t="s">
        <v>1</v>
      </c>
      <c r="L344" s="13" t="s">
        <v>7</v>
      </c>
      <c r="M344" s="13" t="s">
        <v>11</v>
      </c>
      <c r="N344" s="13" t="s">
        <v>1324</v>
      </c>
      <c r="O344" s="13"/>
    </row>
    <row r="345" spans="1:15" ht="28.5">
      <c r="A345" s="12">
        <v>341</v>
      </c>
      <c r="B345" s="12" t="s">
        <v>1346</v>
      </c>
      <c r="C345" s="13" t="s">
        <v>1319</v>
      </c>
      <c r="D345" s="13" t="s">
        <v>1320</v>
      </c>
      <c r="E345" s="13" t="s">
        <v>1321</v>
      </c>
      <c r="F345" s="13" t="s">
        <v>1347</v>
      </c>
      <c r="G345" s="13" t="s">
        <v>1348</v>
      </c>
      <c r="H345" s="13" t="s">
        <v>1182</v>
      </c>
      <c r="I345" s="13" t="s">
        <v>25</v>
      </c>
      <c r="J345" s="13"/>
      <c r="K345" s="13" t="s">
        <v>1</v>
      </c>
      <c r="L345" s="13" t="s">
        <v>7</v>
      </c>
      <c r="M345" s="13" t="s">
        <v>11</v>
      </c>
      <c r="N345" s="13" t="s">
        <v>1324</v>
      </c>
      <c r="O345" s="13"/>
    </row>
    <row r="346" spans="1:15" ht="28.5">
      <c r="A346" s="12">
        <v>342</v>
      </c>
      <c r="B346" s="12" t="s">
        <v>1349</v>
      </c>
      <c r="C346" s="13" t="s">
        <v>1319</v>
      </c>
      <c r="D346" s="13" t="s">
        <v>1320</v>
      </c>
      <c r="E346" s="13" t="s">
        <v>1321</v>
      </c>
      <c r="F346" s="13" t="s">
        <v>1350</v>
      </c>
      <c r="G346" s="13" t="s">
        <v>1351</v>
      </c>
      <c r="H346" s="13" t="s">
        <v>1182</v>
      </c>
      <c r="I346" s="13" t="s">
        <v>25</v>
      </c>
      <c r="J346" s="13"/>
      <c r="K346" s="13" t="s">
        <v>1</v>
      </c>
      <c r="L346" s="13" t="s">
        <v>7</v>
      </c>
      <c r="M346" s="13" t="s">
        <v>11</v>
      </c>
      <c r="N346" s="13" t="s">
        <v>1324</v>
      </c>
      <c r="O346" s="13"/>
    </row>
    <row r="347" spans="1:15" ht="28.5">
      <c r="A347" s="12">
        <v>343</v>
      </c>
      <c r="B347" s="12" t="s">
        <v>1352</v>
      </c>
      <c r="C347" s="13" t="s">
        <v>1319</v>
      </c>
      <c r="D347" s="13" t="s">
        <v>1353</v>
      </c>
      <c r="E347" s="13" t="s">
        <v>1354</v>
      </c>
      <c r="F347" s="13" t="s">
        <v>1355</v>
      </c>
      <c r="G347" s="13" t="s">
        <v>1356</v>
      </c>
      <c r="H347" s="13" t="s">
        <v>1357</v>
      </c>
      <c r="I347" s="13" t="s">
        <v>25</v>
      </c>
      <c r="J347" s="13"/>
      <c r="K347" s="13" t="s">
        <v>2</v>
      </c>
      <c r="L347" s="13" t="s">
        <v>7</v>
      </c>
      <c r="M347" s="13" t="s">
        <v>11</v>
      </c>
      <c r="N347" s="13" t="s">
        <v>30</v>
      </c>
      <c r="O347" s="13"/>
    </row>
    <row r="348" spans="1:15" ht="28.5">
      <c r="A348" s="12">
        <v>344</v>
      </c>
      <c r="B348" s="12" t="s">
        <v>1358</v>
      </c>
      <c r="C348" s="13" t="s">
        <v>1319</v>
      </c>
      <c r="D348" s="13" t="s">
        <v>1353</v>
      </c>
      <c r="E348" s="13" t="s">
        <v>1359</v>
      </c>
      <c r="F348" s="13" t="s">
        <v>1360</v>
      </c>
      <c r="G348" s="13" t="s">
        <v>1361</v>
      </c>
      <c r="H348" s="13" t="s">
        <v>1362</v>
      </c>
      <c r="I348" s="13" t="s">
        <v>25</v>
      </c>
      <c r="J348" s="13"/>
      <c r="K348" s="13" t="s">
        <v>2</v>
      </c>
      <c r="L348" s="13" t="s">
        <v>7</v>
      </c>
      <c r="M348" s="13" t="s">
        <v>11</v>
      </c>
      <c r="N348" s="13" t="s">
        <v>30</v>
      </c>
      <c r="O348" s="13"/>
    </row>
    <row r="349" spans="1:15" ht="28.5">
      <c r="A349" s="12">
        <v>345</v>
      </c>
      <c r="B349" s="12" t="s">
        <v>1363</v>
      </c>
      <c r="C349" s="13" t="s">
        <v>1364</v>
      </c>
      <c r="D349" s="13" t="s">
        <v>1365</v>
      </c>
      <c r="E349" s="13" t="s">
        <v>24</v>
      </c>
      <c r="F349" s="13" t="s">
        <v>1366</v>
      </c>
      <c r="G349" s="13" t="s">
        <v>1367</v>
      </c>
      <c r="H349" s="13" t="s">
        <v>1368</v>
      </c>
      <c r="I349" s="13" t="s">
        <v>24</v>
      </c>
      <c r="J349" s="13"/>
      <c r="K349" s="13" t="s">
        <v>1</v>
      </c>
      <c r="L349" s="13" t="s">
        <v>6</v>
      </c>
      <c r="M349" s="13" t="s">
        <v>11</v>
      </c>
      <c r="N349" s="13" t="s">
        <v>1369</v>
      </c>
      <c r="O349" s="13"/>
    </row>
    <row r="350" spans="1:15" ht="28.5">
      <c r="A350" s="12">
        <v>346</v>
      </c>
      <c r="B350" s="12" t="s">
        <v>1370</v>
      </c>
      <c r="C350" s="13" t="s">
        <v>1364</v>
      </c>
      <c r="D350" s="13" t="s">
        <v>1365</v>
      </c>
      <c r="E350" s="13" t="s">
        <v>24</v>
      </c>
      <c r="F350" s="13" t="s">
        <v>1371</v>
      </c>
      <c r="G350" s="13" t="s">
        <v>1372</v>
      </c>
      <c r="H350" s="13" t="s">
        <v>1368</v>
      </c>
      <c r="I350" s="13" t="s">
        <v>24</v>
      </c>
      <c r="J350" s="13"/>
      <c r="K350" s="13" t="s">
        <v>1</v>
      </c>
      <c r="L350" s="13" t="s">
        <v>6</v>
      </c>
      <c r="M350" s="13" t="s">
        <v>11</v>
      </c>
      <c r="N350" s="13" t="s">
        <v>1369</v>
      </c>
      <c r="O350" s="13"/>
    </row>
    <row r="351" spans="1:15" ht="28.5">
      <c r="A351" s="12">
        <v>347</v>
      </c>
      <c r="B351" s="12" t="s">
        <v>1373</v>
      </c>
      <c r="C351" s="13" t="s">
        <v>1364</v>
      </c>
      <c r="D351" s="13" t="s">
        <v>1365</v>
      </c>
      <c r="E351" s="13" t="s">
        <v>24</v>
      </c>
      <c r="F351" s="13" t="s">
        <v>1374</v>
      </c>
      <c r="G351" s="13" t="s">
        <v>1375</v>
      </c>
      <c r="H351" s="13" t="s">
        <v>1368</v>
      </c>
      <c r="I351" s="13" t="s">
        <v>24</v>
      </c>
      <c r="J351" s="13"/>
      <c r="K351" s="13" t="s">
        <v>1</v>
      </c>
      <c r="L351" s="13" t="s">
        <v>6</v>
      </c>
      <c r="M351" s="13" t="s">
        <v>11</v>
      </c>
      <c r="N351" s="13" t="s">
        <v>1369</v>
      </c>
      <c r="O351" s="13"/>
    </row>
    <row r="352" spans="1:15" ht="28.5">
      <c r="A352" s="12">
        <v>348</v>
      </c>
      <c r="B352" s="12" t="s">
        <v>1376</v>
      </c>
      <c r="C352" s="13" t="s">
        <v>1364</v>
      </c>
      <c r="D352" s="13" t="s">
        <v>1365</v>
      </c>
      <c r="E352" s="13" t="s">
        <v>24</v>
      </c>
      <c r="F352" s="13" t="s">
        <v>1377</v>
      </c>
      <c r="G352" s="13" t="s">
        <v>1378</v>
      </c>
      <c r="H352" s="13" t="s">
        <v>1368</v>
      </c>
      <c r="I352" s="13" t="s">
        <v>24</v>
      </c>
      <c r="J352" s="13"/>
      <c r="K352" s="13" t="s">
        <v>1</v>
      </c>
      <c r="L352" s="13" t="s">
        <v>6</v>
      </c>
      <c r="M352" s="13" t="s">
        <v>11</v>
      </c>
      <c r="N352" s="13" t="s">
        <v>1369</v>
      </c>
      <c r="O352" s="13"/>
    </row>
    <row r="353" spans="1:15" ht="28.5">
      <c r="A353" s="12">
        <v>349</v>
      </c>
      <c r="B353" s="12" t="s">
        <v>1379</v>
      </c>
      <c r="C353" s="13" t="s">
        <v>1364</v>
      </c>
      <c r="D353" s="13" t="s">
        <v>1365</v>
      </c>
      <c r="E353" s="13" t="s">
        <v>24</v>
      </c>
      <c r="F353" s="13" t="s">
        <v>1380</v>
      </c>
      <c r="G353" s="13" t="s">
        <v>1381</v>
      </c>
      <c r="H353" s="13" t="s">
        <v>1368</v>
      </c>
      <c r="I353" s="13" t="s">
        <v>24</v>
      </c>
      <c r="J353" s="13"/>
      <c r="K353" s="13" t="s">
        <v>1</v>
      </c>
      <c r="L353" s="13" t="s">
        <v>6</v>
      </c>
      <c r="M353" s="13" t="s">
        <v>11</v>
      </c>
      <c r="N353" s="13" t="s">
        <v>1369</v>
      </c>
      <c r="O353" s="13"/>
    </row>
    <row r="354" spans="1:15" ht="28.5">
      <c r="A354" s="12">
        <v>350</v>
      </c>
      <c r="B354" s="12" t="s">
        <v>1382</v>
      </c>
      <c r="C354" s="13" t="s">
        <v>1364</v>
      </c>
      <c r="D354" s="13" t="s">
        <v>1365</v>
      </c>
      <c r="E354" s="13" t="s">
        <v>24</v>
      </c>
      <c r="F354" s="13" t="s">
        <v>1383</v>
      </c>
      <c r="G354" s="13" t="s">
        <v>1384</v>
      </c>
      <c r="H354" s="13" t="s">
        <v>1368</v>
      </c>
      <c r="I354" s="13" t="s">
        <v>24</v>
      </c>
      <c r="J354" s="13"/>
      <c r="K354" s="13" t="s">
        <v>1</v>
      </c>
      <c r="L354" s="13" t="s">
        <v>6</v>
      </c>
      <c r="M354" s="13" t="s">
        <v>11</v>
      </c>
      <c r="N354" s="13" t="s">
        <v>1369</v>
      </c>
      <c r="O354" s="13"/>
    </row>
    <row r="355" spans="1:15" ht="28.5">
      <c r="A355" s="12">
        <v>351</v>
      </c>
      <c r="B355" s="12" t="s">
        <v>1385</v>
      </c>
      <c r="C355" s="13" t="s">
        <v>1364</v>
      </c>
      <c r="D355" s="13" t="s">
        <v>1386</v>
      </c>
      <c r="E355" s="13" t="s">
        <v>1387</v>
      </c>
      <c r="F355" s="13" t="s">
        <v>1388</v>
      </c>
      <c r="G355" s="13" t="s">
        <v>1389</v>
      </c>
      <c r="H355" s="13" t="s">
        <v>70</v>
      </c>
      <c r="I355" s="13" t="s">
        <v>19</v>
      </c>
      <c r="J355" s="13"/>
      <c r="K355" s="13" t="s">
        <v>1</v>
      </c>
      <c r="L355" s="13" t="s">
        <v>6</v>
      </c>
      <c r="M355" s="13" t="s">
        <v>11</v>
      </c>
      <c r="N355" s="13" t="s">
        <v>30</v>
      </c>
      <c r="O355" s="13"/>
    </row>
    <row r="356" spans="1:15" ht="28.5">
      <c r="A356" s="12">
        <v>352</v>
      </c>
      <c r="B356" s="12" t="s">
        <v>1390</v>
      </c>
      <c r="C356" s="13" t="s">
        <v>1364</v>
      </c>
      <c r="D356" s="13" t="s">
        <v>1386</v>
      </c>
      <c r="E356" s="13" t="s">
        <v>1391</v>
      </c>
      <c r="F356" s="13" t="s">
        <v>1392</v>
      </c>
      <c r="G356" s="13" t="s">
        <v>1393</v>
      </c>
      <c r="H356" s="13" t="s">
        <v>70</v>
      </c>
      <c r="I356" s="13" t="s">
        <v>19</v>
      </c>
      <c r="J356" s="13"/>
      <c r="K356" s="13" t="s">
        <v>2</v>
      </c>
      <c r="L356" s="13" t="s">
        <v>7</v>
      </c>
      <c r="M356" s="13" t="s">
        <v>11</v>
      </c>
      <c r="N356" s="13" t="s">
        <v>30</v>
      </c>
      <c r="O356" s="13"/>
    </row>
    <row r="357" spans="1:15" ht="28.5">
      <c r="A357" s="12">
        <v>353</v>
      </c>
      <c r="B357" s="12" t="s">
        <v>1394</v>
      </c>
      <c r="C357" s="13" t="s">
        <v>1364</v>
      </c>
      <c r="D357" s="13" t="s">
        <v>1386</v>
      </c>
      <c r="E357" s="13" t="s">
        <v>1395</v>
      </c>
      <c r="F357" s="13" t="s">
        <v>1396</v>
      </c>
      <c r="G357" s="13" t="s">
        <v>1397</v>
      </c>
      <c r="H357" s="13" t="s">
        <v>1182</v>
      </c>
      <c r="I357" s="13" t="s">
        <v>25</v>
      </c>
      <c r="J357" s="13"/>
      <c r="K357" s="13" t="s">
        <v>2</v>
      </c>
      <c r="L357" s="13" t="s">
        <v>7</v>
      </c>
      <c r="M357" s="13" t="s">
        <v>11</v>
      </c>
      <c r="N357" s="13" t="s">
        <v>30</v>
      </c>
      <c r="O357" s="13"/>
    </row>
    <row r="358" spans="1:15" ht="28.5">
      <c r="A358" s="12">
        <v>354</v>
      </c>
      <c r="B358" s="12" t="s">
        <v>1398</v>
      </c>
      <c r="C358" s="13" t="s">
        <v>1364</v>
      </c>
      <c r="D358" s="13" t="s">
        <v>1399</v>
      </c>
      <c r="E358" s="13" t="s">
        <v>23</v>
      </c>
      <c r="F358" s="13" t="s">
        <v>1400</v>
      </c>
      <c r="G358" s="13" t="s">
        <v>1401</v>
      </c>
      <c r="H358" s="13" t="s">
        <v>1402</v>
      </c>
      <c r="I358" s="13" t="s">
        <v>23</v>
      </c>
      <c r="J358" s="13"/>
      <c r="K358" s="13" t="s">
        <v>1</v>
      </c>
      <c r="L358" s="13" t="s">
        <v>6</v>
      </c>
      <c r="M358" s="13" t="s">
        <v>11</v>
      </c>
      <c r="N358" s="13" t="s">
        <v>30</v>
      </c>
      <c r="O358" s="13"/>
    </row>
    <row r="359" spans="1:15" ht="28.5">
      <c r="A359" s="12">
        <v>355</v>
      </c>
      <c r="B359" s="12" t="s">
        <v>1403</v>
      </c>
      <c r="C359" s="13" t="s">
        <v>1364</v>
      </c>
      <c r="D359" s="13" t="s">
        <v>1399</v>
      </c>
      <c r="E359" s="13" t="s">
        <v>23</v>
      </c>
      <c r="F359" s="13" t="s">
        <v>1404</v>
      </c>
      <c r="G359" s="13" t="s">
        <v>1405</v>
      </c>
      <c r="H359" s="13" t="s">
        <v>1402</v>
      </c>
      <c r="I359" s="13" t="s">
        <v>23</v>
      </c>
      <c r="J359" s="13"/>
      <c r="K359" s="13" t="s">
        <v>1</v>
      </c>
      <c r="L359" s="13" t="s">
        <v>6</v>
      </c>
      <c r="M359" s="13" t="s">
        <v>11</v>
      </c>
      <c r="N359" s="13" t="s">
        <v>30</v>
      </c>
      <c r="O359" s="13"/>
    </row>
    <row r="360" spans="1:15" ht="28.5">
      <c r="A360" s="12">
        <v>356</v>
      </c>
      <c r="B360" s="12" t="s">
        <v>1406</v>
      </c>
      <c r="C360" s="13" t="s">
        <v>1407</v>
      </c>
      <c r="D360" s="13" t="s">
        <v>1408</v>
      </c>
      <c r="E360" s="13" t="s">
        <v>1409</v>
      </c>
      <c r="F360" s="13" t="s">
        <v>1410</v>
      </c>
      <c r="G360" s="13" t="s">
        <v>1411</v>
      </c>
      <c r="H360" s="13" t="s">
        <v>52</v>
      </c>
      <c r="I360" s="13" t="s">
        <v>26</v>
      </c>
      <c r="J360" s="13"/>
      <c r="K360" s="13" t="s">
        <v>2</v>
      </c>
      <c r="L360" s="13" t="s">
        <v>7</v>
      </c>
      <c r="M360" s="13" t="s">
        <v>11</v>
      </c>
      <c r="N360" s="13" t="s">
        <v>30</v>
      </c>
      <c r="O360" s="13"/>
    </row>
    <row r="361" spans="1:15" ht="28.5">
      <c r="A361" s="12">
        <v>357</v>
      </c>
      <c r="B361" s="12" t="s">
        <v>1412</v>
      </c>
      <c r="C361" s="13" t="s">
        <v>1407</v>
      </c>
      <c r="D361" s="13" t="s">
        <v>1408</v>
      </c>
      <c r="E361" s="13" t="s">
        <v>1413</v>
      </c>
      <c r="F361" s="13" t="s">
        <v>1414</v>
      </c>
      <c r="G361" s="13" t="s">
        <v>1415</v>
      </c>
      <c r="H361" s="13" t="s">
        <v>52</v>
      </c>
      <c r="I361" s="13" t="s">
        <v>26</v>
      </c>
      <c r="J361" s="13"/>
      <c r="K361" s="13" t="s">
        <v>3</v>
      </c>
      <c r="L361" s="13" t="s">
        <v>8</v>
      </c>
      <c r="M361" s="13" t="s">
        <v>11</v>
      </c>
      <c r="N361" s="13" t="s">
        <v>30</v>
      </c>
      <c r="O361" s="13"/>
    </row>
    <row r="362" spans="1:15" ht="28.5">
      <c r="A362" s="12">
        <v>358</v>
      </c>
      <c r="B362" s="12" t="s">
        <v>1416</v>
      </c>
      <c r="C362" s="13" t="s">
        <v>1407</v>
      </c>
      <c r="D362" s="13" t="s">
        <v>26</v>
      </c>
      <c r="E362" s="13" t="s">
        <v>1417</v>
      </c>
      <c r="F362" s="13" t="s">
        <v>1418</v>
      </c>
      <c r="G362" s="13" t="s">
        <v>1419</v>
      </c>
      <c r="H362" s="13" t="s">
        <v>52</v>
      </c>
      <c r="I362" s="13" t="s">
        <v>26</v>
      </c>
      <c r="J362" s="13"/>
      <c r="K362" s="13" t="s">
        <v>3</v>
      </c>
      <c r="L362" s="13" t="s">
        <v>8</v>
      </c>
      <c r="M362" s="13" t="s">
        <v>11</v>
      </c>
      <c r="N362" s="13" t="s">
        <v>30</v>
      </c>
      <c r="O362" s="13"/>
    </row>
  </sheetData>
  <mergeCells count="2">
    <mergeCell ref="A1:O1"/>
    <mergeCell ref="A2:O2"/>
  </mergeCells>
  <conditionalFormatting sqref="K5:K362">
    <cfRule type="expression" dxfId="48" priority="1" stopIfTrue="1">
      <formula>$K5="Must"</formula>
    </cfRule>
    <cfRule type="expression" dxfId="47" priority="2" stopIfTrue="1">
      <formula>$K5="Should"</formula>
    </cfRule>
    <cfRule type="expression" dxfId="46" priority="3" stopIfTrue="1">
      <formula>$K5="Could"</formula>
    </cfRule>
    <cfRule type="expression" dxfId="45" priority="4" stopIfTrue="1">
      <formula>$K5="Won't/Để sau"</formula>
    </cfRule>
  </conditionalFormatting>
  <conditionalFormatting sqref="M5:M362">
    <cfRule type="expression" dxfId="44" priority="5" stopIfTrue="1">
      <formula>$M5="Cần xác nhận"</formula>
    </cfRule>
  </conditionalFormatting>
  <dataValidations count="3">
    <dataValidation type="list" allowBlank="1" showInputMessage="1" showErrorMessage="1" sqref="K5:K362">
      <formula1>FSL_Priority</formula1>
    </dataValidation>
    <dataValidation type="list" allowBlank="1" showInputMessage="1" showErrorMessage="1" sqref="L5:L362">
      <formula1>FSL_Release</formula1>
    </dataValidation>
    <dataValidation type="list" allowBlank="1" showInputMessage="1" showErrorMessage="1" sqref="M5:M362">
      <formula1>FSL_ScopeStatus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286C6"/>
  </sheetPr>
  <dimension ref="A1:H21"/>
  <sheetViews>
    <sheetView showGridLines="0" workbookViewId="0">
      <pane ySplit="3" topLeftCell="A4" activePane="bottomLeft" state="frozenSplit"/>
      <selection pane="bottomLeft" sqref="A1:H1"/>
    </sheetView>
  </sheetViews>
  <sheetFormatPr defaultRowHeight="14.25"/>
  <cols>
    <col min="1" max="1" width="7.7109375" style="2" customWidth="1"/>
    <col min="2" max="2" width="34.7109375" style="2" customWidth="1"/>
    <col min="3" max="3" width="65.7109375" style="2" customWidth="1"/>
    <col min="4" max="8" width="15.7109375" style="2" customWidth="1"/>
    <col min="9" max="16384" width="9.140625" style="2"/>
  </cols>
  <sheetData>
    <row r="1" spans="1:8" ht="20.25">
      <c r="A1" s="9" t="s">
        <v>1420</v>
      </c>
      <c r="B1" s="9"/>
      <c r="C1" s="9"/>
      <c r="D1" s="9"/>
      <c r="E1" s="9"/>
      <c r="F1" s="9"/>
      <c r="G1" s="9"/>
      <c r="H1" s="9"/>
    </row>
    <row r="3" spans="1:8" ht="15">
      <c r="A3" s="14" t="s">
        <v>34</v>
      </c>
      <c r="B3" s="14" t="s">
        <v>36</v>
      </c>
      <c r="C3" s="14" t="s">
        <v>40</v>
      </c>
      <c r="D3" s="14" t="s">
        <v>1421</v>
      </c>
      <c r="E3" s="14" t="s">
        <v>1</v>
      </c>
      <c r="F3" s="14" t="s">
        <v>2</v>
      </c>
      <c r="G3" s="14" t="s">
        <v>3</v>
      </c>
      <c r="H3" s="14" t="s">
        <v>12</v>
      </c>
    </row>
    <row r="4" spans="1:8">
      <c r="A4" s="12">
        <v>1</v>
      </c>
      <c r="B4" s="13" t="s">
        <v>47</v>
      </c>
      <c r="C4" s="13" t="s">
        <v>1422</v>
      </c>
      <c r="D4" s="12">
        <f>COUNTIF('01_Functional_Scope'!$C$5:$C$362,B4)</f>
        <v>30</v>
      </c>
      <c r="E4" s="12">
        <f>COUNTIFS('01_Functional_Scope'!$C$5:$C$362,B4,'01_Functional_Scope'!$K$5:$K$362,E$3)</f>
        <v>21</v>
      </c>
      <c r="F4" s="12">
        <f>COUNTIFS('01_Functional_Scope'!$C$5:$C$362,B4,'01_Functional_Scope'!$K$5:$K$362,F$3)</f>
        <v>6</v>
      </c>
      <c r="G4" s="12">
        <f>COUNTIFS('01_Functional_Scope'!$C$5:$C$362,B4,'01_Functional_Scope'!$K$5:$K$362,G$3)</f>
        <v>0</v>
      </c>
      <c r="H4" s="12">
        <f>COUNTIFS('01_Functional_Scope'!$C$5:$C$362,B4,'01_Functional_Scope'!$M$5:$M$362,H$3)</f>
        <v>0</v>
      </c>
    </row>
    <row r="5" spans="1:8">
      <c r="A5" s="12">
        <v>2</v>
      </c>
      <c r="B5" s="13" t="s">
        <v>171</v>
      </c>
      <c r="C5" s="13" t="s">
        <v>1423</v>
      </c>
      <c r="D5" s="12">
        <f>COUNTIF('01_Functional_Scope'!$C$5:$C$362,B5)</f>
        <v>12</v>
      </c>
      <c r="E5" s="12">
        <f>COUNTIFS('01_Functional_Scope'!$C$5:$C$362,B5,'01_Functional_Scope'!$K$5:$K$362,E$3)</f>
        <v>8</v>
      </c>
      <c r="F5" s="12">
        <f>COUNTIFS('01_Functional_Scope'!$C$5:$C$362,B5,'01_Functional_Scope'!$K$5:$K$362,F$3)</f>
        <v>3</v>
      </c>
      <c r="G5" s="12">
        <f>COUNTIFS('01_Functional_Scope'!$C$5:$C$362,B5,'01_Functional_Scope'!$K$5:$K$362,G$3)</f>
        <v>0</v>
      </c>
      <c r="H5" s="12">
        <f>COUNTIFS('01_Functional_Scope'!$C$5:$C$362,B5,'01_Functional_Scope'!$M$5:$M$362,H$3)</f>
        <v>0</v>
      </c>
    </row>
    <row r="6" spans="1:8">
      <c r="A6" s="12">
        <v>3</v>
      </c>
      <c r="B6" s="13" t="s">
        <v>221</v>
      </c>
      <c r="C6" s="13" t="s">
        <v>1424</v>
      </c>
      <c r="D6" s="12">
        <f>COUNTIF('01_Functional_Scope'!$C$5:$C$362,B6)</f>
        <v>21</v>
      </c>
      <c r="E6" s="12">
        <f>COUNTIFS('01_Functional_Scope'!$C$5:$C$362,B6,'01_Functional_Scope'!$K$5:$K$362,E$3)</f>
        <v>15</v>
      </c>
      <c r="F6" s="12">
        <f>COUNTIFS('01_Functional_Scope'!$C$5:$C$362,B6,'01_Functional_Scope'!$K$5:$K$362,F$3)</f>
        <v>2</v>
      </c>
      <c r="G6" s="12">
        <f>COUNTIFS('01_Functional_Scope'!$C$5:$C$362,B6,'01_Functional_Scope'!$K$5:$K$362,G$3)</f>
        <v>0</v>
      </c>
      <c r="H6" s="12">
        <f>COUNTIFS('01_Functional_Scope'!$C$5:$C$362,B6,'01_Functional_Scope'!$M$5:$M$362,H$3)</f>
        <v>0</v>
      </c>
    </row>
    <row r="7" spans="1:8">
      <c r="A7" s="12">
        <v>4</v>
      </c>
      <c r="B7" s="13" t="s">
        <v>305</v>
      </c>
      <c r="C7" s="13" t="s">
        <v>1425</v>
      </c>
      <c r="D7" s="12">
        <f>COUNTIF('01_Functional_Scope'!$C$5:$C$362,B7)</f>
        <v>22</v>
      </c>
      <c r="E7" s="12">
        <f>COUNTIFS('01_Functional_Scope'!$C$5:$C$362,B7,'01_Functional_Scope'!$K$5:$K$362,E$3)</f>
        <v>14</v>
      </c>
      <c r="F7" s="12">
        <f>COUNTIFS('01_Functional_Scope'!$C$5:$C$362,B7,'01_Functional_Scope'!$K$5:$K$362,F$3)</f>
        <v>0</v>
      </c>
      <c r="G7" s="12">
        <f>COUNTIFS('01_Functional_Scope'!$C$5:$C$362,B7,'01_Functional_Scope'!$K$5:$K$362,G$3)</f>
        <v>8</v>
      </c>
      <c r="H7" s="12">
        <f>COUNTIFS('01_Functional_Scope'!$C$5:$C$362,B7,'01_Functional_Scope'!$M$5:$M$362,H$3)</f>
        <v>8</v>
      </c>
    </row>
    <row r="8" spans="1:8">
      <c r="A8" s="12">
        <v>5</v>
      </c>
      <c r="B8" s="13" t="s">
        <v>384</v>
      </c>
      <c r="C8" s="13" t="s">
        <v>1426</v>
      </c>
      <c r="D8" s="12">
        <f>COUNTIF('01_Functional_Scope'!$C$5:$C$362,B8)</f>
        <v>30</v>
      </c>
      <c r="E8" s="12">
        <f>COUNTIFS('01_Functional_Scope'!$C$5:$C$362,B8,'01_Functional_Scope'!$K$5:$K$362,E$3)</f>
        <v>16</v>
      </c>
      <c r="F8" s="12">
        <f>COUNTIFS('01_Functional_Scope'!$C$5:$C$362,B8,'01_Functional_Scope'!$K$5:$K$362,F$3)</f>
        <v>12</v>
      </c>
      <c r="G8" s="12">
        <f>COUNTIFS('01_Functional_Scope'!$C$5:$C$362,B8,'01_Functional_Scope'!$K$5:$K$362,G$3)</f>
        <v>0</v>
      </c>
      <c r="H8" s="12">
        <f>COUNTIFS('01_Functional_Scope'!$C$5:$C$362,B8,'01_Functional_Scope'!$M$5:$M$362,H$3)</f>
        <v>1</v>
      </c>
    </row>
    <row r="9" spans="1:8">
      <c r="A9" s="12">
        <v>6</v>
      </c>
      <c r="B9" s="13" t="s">
        <v>497</v>
      </c>
      <c r="C9" s="13" t="s">
        <v>1427</v>
      </c>
      <c r="D9" s="12">
        <f>COUNTIF('01_Functional_Scope'!$C$5:$C$362,B9)</f>
        <v>12</v>
      </c>
      <c r="E9" s="12">
        <f>COUNTIFS('01_Functional_Scope'!$C$5:$C$362,B9,'01_Functional_Scope'!$K$5:$K$362,E$3)</f>
        <v>9</v>
      </c>
      <c r="F9" s="12">
        <f>COUNTIFS('01_Functional_Scope'!$C$5:$C$362,B9,'01_Functional_Scope'!$K$5:$K$362,F$3)</f>
        <v>2</v>
      </c>
      <c r="G9" s="12">
        <f>COUNTIFS('01_Functional_Scope'!$C$5:$C$362,B9,'01_Functional_Scope'!$K$5:$K$362,G$3)</f>
        <v>0</v>
      </c>
      <c r="H9" s="12">
        <f>COUNTIFS('01_Functional_Scope'!$C$5:$C$362,B9,'01_Functional_Scope'!$M$5:$M$362,H$3)</f>
        <v>0</v>
      </c>
    </row>
    <row r="10" spans="1:8">
      <c r="A10" s="12">
        <v>7</v>
      </c>
      <c r="B10" s="13" t="s">
        <v>550</v>
      </c>
      <c r="C10" s="13" t="s">
        <v>1428</v>
      </c>
      <c r="D10" s="12">
        <f>COUNTIF('01_Functional_Scope'!$C$5:$C$362,B10)</f>
        <v>17</v>
      </c>
      <c r="E10" s="12">
        <f>COUNTIFS('01_Functional_Scope'!$C$5:$C$362,B10,'01_Functional_Scope'!$K$5:$K$362,E$3)</f>
        <v>10</v>
      </c>
      <c r="F10" s="12">
        <f>COUNTIFS('01_Functional_Scope'!$C$5:$C$362,B10,'01_Functional_Scope'!$K$5:$K$362,F$3)</f>
        <v>4</v>
      </c>
      <c r="G10" s="12">
        <f>COUNTIFS('01_Functional_Scope'!$C$5:$C$362,B10,'01_Functional_Scope'!$K$5:$K$362,G$3)</f>
        <v>1</v>
      </c>
      <c r="H10" s="12">
        <f>COUNTIFS('01_Functional_Scope'!$C$5:$C$362,B10,'01_Functional_Scope'!$M$5:$M$362,H$3)</f>
        <v>1</v>
      </c>
    </row>
    <row r="11" spans="1:8">
      <c r="A11" s="12">
        <v>8</v>
      </c>
      <c r="B11" s="13" t="s">
        <v>625</v>
      </c>
      <c r="C11" s="13" t="s">
        <v>1429</v>
      </c>
      <c r="D11" s="12">
        <f>COUNTIF('01_Functional_Scope'!$C$5:$C$362,B11)</f>
        <v>30</v>
      </c>
      <c r="E11" s="12">
        <f>COUNTIFS('01_Functional_Scope'!$C$5:$C$362,B11,'01_Functional_Scope'!$K$5:$K$362,E$3)</f>
        <v>18</v>
      </c>
      <c r="F11" s="12">
        <f>COUNTIFS('01_Functional_Scope'!$C$5:$C$362,B11,'01_Functional_Scope'!$K$5:$K$362,F$3)</f>
        <v>4</v>
      </c>
      <c r="G11" s="12">
        <f>COUNTIFS('01_Functional_Scope'!$C$5:$C$362,B11,'01_Functional_Scope'!$K$5:$K$362,G$3)</f>
        <v>0</v>
      </c>
      <c r="H11" s="12">
        <f>COUNTIFS('01_Functional_Scope'!$C$5:$C$362,B11,'01_Functional_Scope'!$M$5:$M$362,H$3)</f>
        <v>0</v>
      </c>
    </row>
    <row r="12" spans="1:8">
      <c r="A12" s="12">
        <v>9</v>
      </c>
      <c r="B12" s="13" t="s">
        <v>726</v>
      </c>
      <c r="C12" s="13" t="s">
        <v>1430</v>
      </c>
      <c r="D12" s="12">
        <f>COUNTIF('01_Functional_Scope'!$C$5:$C$362,B12)</f>
        <v>11</v>
      </c>
      <c r="E12" s="12">
        <f>COUNTIFS('01_Functional_Scope'!$C$5:$C$362,B12,'01_Functional_Scope'!$K$5:$K$362,E$3)</f>
        <v>7</v>
      </c>
      <c r="F12" s="12">
        <f>COUNTIFS('01_Functional_Scope'!$C$5:$C$362,B12,'01_Functional_Scope'!$K$5:$K$362,F$3)</f>
        <v>2</v>
      </c>
      <c r="G12" s="12">
        <f>COUNTIFS('01_Functional_Scope'!$C$5:$C$362,B12,'01_Functional_Scope'!$K$5:$K$362,G$3)</f>
        <v>0</v>
      </c>
      <c r="H12" s="12">
        <f>COUNTIFS('01_Functional_Scope'!$C$5:$C$362,B12,'01_Functional_Scope'!$M$5:$M$362,H$3)</f>
        <v>0</v>
      </c>
    </row>
    <row r="13" spans="1:8">
      <c r="A13" s="12">
        <v>10</v>
      </c>
      <c r="B13" s="13" t="s">
        <v>769</v>
      </c>
      <c r="C13" s="13" t="s">
        <v>1431</v>
      </c>
      <c r="D13" s="12">
        <f>COUNTIF('01_Functional_Scope'!$C$5:$C$362,B13)</f>
        <v>11</v>
      </c>
      <c r="E13" s="12">
        <f>COUNTIFS('01_Functional_Scope'!$C$5:$C$362,B13,'01_Functional_Scope'!$K$5:$K$362,E$3)</f>
        <v>8</v>
      </c>
      <c r="F13" s="12">
        <f>COUNTIFS('01_Functional_Scope'!$C$5:$C$362,B13,'01_Functional_Scope'!$K$5:$K$362,F$3)</f>
        <v>1</v>
      </c>
      <c r="G13" s="12">
        <f>COUNTIFS('01_Functional_Scope'!$C$5:$C$362,B13,'01_Functional_Scope'!$K$5:$K$362,G$3)</f>
        <v>0</v>
      </c>
      <c r="H13" s="12">
        <f>COUNTIFS('01_Functional_Scope'!$C$5:$C$362,B13,'01_Functional_Scope'!$M$5:$M$362,H$3)</f>
        <v>0</v>
      </c>
    </row>
    <row r="14" spans="1:8">
      <c r="A14" s="12">
        <v>11</v>
      </c>
      <c r="B14" s="13" t="s">
        <v>811</v>
      </c>
      <c r="C14" s="13" t="s">
        <v>1432</v>
      </c>
      <c r="D14" s="12">
        <f>COUNTIF('01_Functional_Scope'!$C$5:$C$362,B14)</f>
        <v>23</v>
      </c>
      <c r="E14" s="12">
        <f>COUNTIFS('01_Functional_Scope'!$C$5:$C$362,B14,'01_Functional_Scope'!$K$5:$K$362,E$3)</f>
        <v>5</v>
      </c>
      <c r="F14" s="12">
        <f>COUNTIFS('01_Functional_Scope'!$C$5:$C$362,B14,'01_Functional_Scope'!$K$5:$K$362,F$3)</f>
        <v>13</v>
      </c>
      <c r="G14" s="12">
        <f>COUNTIFS('01_Functional_Scope'!$C$5:$C$362,B14,'01_Functional_Scope'!$K$5:$K$362,G$3)</f>
        <v>1</v>
      </c>
      <c r="H14" s="12">
        <f>COUNTIFS('01_Functional_Scope'!$C$5:$C$362,B14,'01_Functional_Scope'!$M$5:$M$362,H$3)</f>
        <v>0</v>
      </c>
    </row>
    <row r="15" spans="1:8">
      <c r="A15" s="12">
        <v>12</v>
      </c>
      <c r="B15" s="13" t="s">
        <v>896</v>
      </c>
      <c r="C15" s="13" t="s">
        <v>1433</v>
      </c>
      <c r="D15" s="12">
        <f>COUNTIF('01_Functional_Scope'!$C$5:$C$362,B15)</f>
        <v>10</v>
      </c>
      <c r="E15" s="12">
        <f>COUNTIFS('01_Functional_Scope'!$C$5:$C$362,B15,'01_Functional_Scope'!$K$5:$K$362,E$3)</f>
        <v>3</v>
      </c>
      <c r="F15" s="12">
        <f>COUNTIFS('01_Functional_Scope'!$C$5:$C$362,B15,'01_Functional_Scope'!$K$5:$K$362,F$3)</f>
        <v>7</v>
      </c>
      <c r="G15" s="12">
        <f>COUNTIFS('01_Functional_Scope'!$C$5:$C$362,B15,'01_Functional_Scope'!$K$5:$K$362,G$3)</f>
        <v>0</v>
      </c>
      <c r="H15" s="12">
        <f>COUNTIFS('01_Functional_Scope'!$C$5:$C$362,B15,'01_Functional_Scope'!$M$5:$M$362,H$3)</f>
        <v>0</v>
      </c>
    </row>
    <row r="16" spans="1:8">
      <c r="A16" s="12">
        <v>13</v>
      </c>
      <c r="B16" s="13" t="s">
        <v>936</v>
      </c>
      <c r="C16" s="13" t="s">
        <v>1434</v>
      </c>
      <c r="D16" s="12">
        <f>COUNTIF('01_Functional_Scope'!$C$5:$C$362,B16)</f>
        <v>12</v>
      </c>
      <c r="E16" s="12">
        <f>COUNTIFS('01_Functional_Scope'!$C$5:$C$362,B16,'01_Functional_Scope'!$K$5:$K$362,E$3)</f>
        <v>0</v>
      </c>
      <c r="F16" s="12">
        <f>COUNTIFS('01_Functional_Scope'!$C$5:$C$362,B16,'01_Functional_Scope'!$K$5:$K$362,F$3)</f>
        <v>8</v>
      </c>
      <c r="G16" s="12">
        <f>COUNTIFS('01_Functional_Scope'!$C$5:$C$362,B16,'01_Functional_Scope'!$K$5:$K$362,G$3)</f>
        <v>2</v>
      </c>
      <c r="H16" s="12">
        <f>COUNTIFS('01_Functional_Scope'!$C$5:$C$362,B16,'01_Functional_Scope'!$M$5:$M$362,H$3)</f>
        <v>0</v>
      </c>
    </row>
    <row r="17" spans="1:8" ht="28.5">
      <c r="A17" s="12">
        <v>14</v>
      </c>
      <c r="B17" s="13" t="s">
        <v>983</v>
      </c>
      <c r="C17" s="13" t="s">
        <v>1435</v>
      </c>
      <c r="D17" s="12">
        <f>COUNTIF('01_Functional_Scope'!$C$5:$C$362,B17)</f>
        <v>73</v>
      </c>
      <c r="E17" s="12">
        <f>COUNTIFS('01_Functional_Scope'!$C$5:$C$362,B17,'01_Functional_Scope'!$K$5:$K$362,E$3)</f>
        <v>33</v>
      </c>
      <c r="F17" s="12">
        <f>COUNTIFS('01_Functional_Scope'!$C$5:$C$362,B17,'01_Functional_Scope'!$K$5:$K$362,F$3)</f>
        <v>31</v>
      </c>
      <c r="G17" s="12">
        <f>COUNTIFS('01_Functional_Scope'!$C$5:$C$362,B17,'01_Functional_Scope'!$K$5:$K$362,G$3)</f>
        <v>2</v>
      </c>
      <c r="H17" s="12">
        <f>COUNTIFS('01_Functional_Scope'!$C$5:$C$362,B17,'01_Functional_Scope'!$M$5:$M$362,H$3)</f>
        <v>0</v>
      </c>
    </row>
    <row r="18" spans="1:8">
      <c r="A18" s="12">
        <v>15</v>
      </c>
      <c r="B18" s="13" t="s">
        <v>1252</v>
      </c>
      <c r="C18" s="13" t="s">
        <v>1436</v>
      </c>
      <c r="D18" s="12">
        <f>COUNTIF('01_Functional_Scope'!$C$5:$C$362,B18)</f>
        <v>18</v>
      </c>
      <c r="E18" s="12">
        <f>COUNTIFS('01_Functional_Scope'!$C$5:$C$362,B18,'01_Functional_Scope'!$K$5:$K$362,E$3)</f>
        <v>6</v>
      </c>
      <c r="F18" s="12">
        <f>COUNTIFS('01_Functional_Scope'!$C$5:$C$362,B18,'01_Functional_Scope'!$K$5:$K$362,F$3)</f>
        <v>11</v>
      </c>
      <c r="G18" s="12">
        <f>COUNTIFS('01_Functional_Scope'!$C$5:$C$362,B18,'01_Functional_Scope'!$K$5:$K$362,G$3)</f>
        <v>0</v>
      </c>
      <c r="H18" s="12">
        <f>COUNTIFS('01_Functional_Scope'!$C$5:$C$362,B18,'01_Functional_Scope'!$M$5:$M$362,H$3)</f>
        <v>8</v>
      </c>
    </row>
    <row r="19" spans="1:8">
      <c r="A19" s="12">
        <v>16</v>
      </c>
      <c r="B19" s="13" t="s">
        <v>1319</v>
      </c>
      <c r="C19" s="13" t="s">
        <v>1437</v>
      </c>
      <c r="D19" s="12">
        <f>COUNTIF('01_Functional_Scope'!$C$5:$C$362,B19)</f>
        <v>12</v>
      </c>
      <c r="E19" s="12">
        <f>COUNTIFS('01_Functional_Scope'!$C$5:$C$362,B19,'01_Functional_Scope'!$K$5:$K$362,E$3)</f>
        <v>10</v>
      </c>
      <c r="F19" s="12">
        <f>COUNTIFS('01_Functional_Scope'!$C$5:$C$362,B19,'01_Functional_Scope'!$K$5:$K$362,F$3)</f>
        <v>2</v>
      </c>
      <c r="G19" s="12">
        <f>COUNTIFS('01_Functional_Scope'!$C$5:$C$362,B19,'01_Functional_Scope'!$K$5:$K$362,G$3)</f>
        <v>0</v>
      </c>
      <c r="H19" s="12">
        <f>COUNTIFS('01_Functional_Scope'!$C$5:$C$362,B19,'01_Functional_Scope'!$M$5:$M$362,H$3)</f>
        <v>0</v>
      </c>
    </row>
    <row r="20" spans="1:8">
      <c r="A20" s="12">
        <v>17</v>
      </c>
      <c r="B20" s="13" t="s">
        <v>1364</v>
      </c>
      <c r="C20" s="13" t="s">
        <v>1438</v>
      </c>
      <c r="D20" s="12">
        <f>COUNTIF('01_Functional_Scope'!$C$5:$C$362,B20)</f>
        <v>11</v>
      </c>
      <c r="E20" s="12">
        <f>COUNTIFS('01_Functional_Scope'!$C$5:$C$362,B20,'01_Functional_Scope'!$K$5:$K$362,E$3)</f>
        <v>9</v>
      </c>
      <c r="F20" s="12">
        <f>COUNTIFS('01_Functional_Scope'!$C$5:$C$362,B20,'01_Functional_Scope'!$K$5:$K$362,F$3)</f>
        <v>2</v>
      </c>
      <c r="G20" s="12">
        <f>COUNTIFS('01_Functional_Scope'!$C$5:$C$362,B20,'01_Functional_Scope'!$K$5:$K$362,G$3)</f>
        <v>0</v>
      </c>
      <c r="H20" s="12">
        <f>COUNTIFS('01_Functional_Scope'!$C$5:$C$362,B20,'01_Functional_Scope'!$M$5:$M$362,H$3)</f>
        <v>0</v>
      </c>
    </row>
    <row r="21" spans="1:8">
      <c r="A21" s="12">
        <v>18</v>
      </c>
      <c r="B21" s="13" t="s">
        <v>1407</v>
      </c>
      <c r="C21" s="13" t="s">
        <v>1439</v>
      </c>
      <c r="D21" s="12">
        <f>COUNTIF('01_Functional_Scope'!$C$5:$C$362,B21)</f>
        <v>3</v>
      </c>
      <c r="E21" s="12">
        <f>COUNTIFS('01_Functional_Scope'!$C$5:$C$362,B21,'01_Functional_Scope'!$K$5:$K$362,E$3)</f>
        <v>0</v>
      </c>
      <c r="F21" s="12">
        <f>COUNTIFS('01_Functional_Scope'!$C$5:$C$362,B21,'01_Functional_Scope'!$K$5:$K$362,F$3)</f>
        <v>1</v>
      </c>
      <c r="G21" s="12">
        <f>COUNTIFS('01_Functional_Scope'!$C$5:$C$362,B21,'01_Functional_Scope'!$K$5:$K$362,G$3)</f>
        <v>2</v>
      </c>
      <c r="H21" s="12">
        <f>COUNTIFS('01_Functional_Scope'!$C$5:$C$362,B21,'01_Functional_Scope'!$M$5:$M$362,H$3)</f>
        <v>0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286C6"/>
  </sheetPr>
  <dimension ref="A1:E12"/>
  <sheetViews>
    <sheetView workbookViewId="0"/>
  </sheetViews>
  <sheetFormatPr defaultRowHeight="14.25"/>
  <cols>
    <col min="1" max="5" width="28.7109375" style="2" customWidth="1"/>
    <col min="6" max="16384" width="9.140625" style="2"/>
  </cols>
  <sheetData>
    <row r="1" spans="1:5" ht="15">
      <c r="A1" s="15" t="s">
        <v>0</v>
      </c>
      <c r="B1" s="15" t="s">
        <v>5</v>
      </c>
      <c r="C1" s="15" t="s">
        <v>10</v>
      </c>
      <c r="D1" s="15" t="s">
        <v>15</v>
      </c>
      <c r="E1" s="15" t="s">
        <v>27</v>
      </c>
    </row>
    <row r="2" spans="1:5">
      <c r="A2" s="16" t="s">
        <v>1</v>
      </c>
      <c r="B2" s="16" t="s">
        <v>6</v>
      </c>
      <c r="C2" s="16" t="s">
        <v>11</v>
      </c>
      <c r="D2" s="16" t="s">
        <v>16</v>
      </c>
      <c r="E2" s="16" t="s">
        <v>28</v>
      </c>
    </row>
    <row r="3" spans="1:5">
      <c r="A3" s="16" t="s">
        <v>2</v>
      </c>
      <c r="B3" s="16" t="s">
        <v>7</v>
      </c>
      <c r="C3" s="16" t="s">
        <v>12</v>
      </c>
      <c r="D3" s="16" t="s">
        <v>17</v>
      </c>
      <c r="E3" s="16" t="s">
        <v>29</v>
      </c>
    </row>
    <row r="4" spans="1:5">
      <c r="A4" s="16" t="s">
        <v>3</v>
      </c>
      <c r="B4" s="16" t="s">
        <v>8</v>
      </c>
      <c r="C4" s="16" t="s">
        <v>13</v>
      </c>
      <c r="D4" s="16" t="s">
        <v>18</v>
      </c>
      <c r="E4" s="16" t="s">
        <v>30</v>
      </c>
    </row>
    <row r="5" spans="1:5">
      <c r="A5" s="16" t="s">
        <v>4</v>
      </c>
      <c r="B5" s="16" t="s">
        <v>9</v>
      </c>
      <c r="C5" s="16" t="s">
        <v>14</v>
      </c>
      <c r="D5" s="16" t="s">
        <v>19</v>
      </c>
      <c r="E5" s="16" t="s">
        <v>31</v>
      </c>
    </row>
    <row r="6" spans="1:5">
      <c r="A6" s="16"/>
      <c r="B6" s="16"/>
      <c r="C6" s="16"/>
      <c r="D6" s="16" t="s">
        <v>20</v>
      </c>
      <c r="E6" s="16" t="s">
        <v>12</v>
      </c>
    </row>
    <row r="7" spans="1:5">
      <c r="A7" s="16"/>
      <c r="B7" s="16"/>
      <c r="C7" s="16"/>
      <c r="D7" s="16" t="s">
        <v>21</v>
      </c>
      <c r="E7" s="16"/>
    </row>
    <row r="8" spans="1:5">
      <c r="A8" s="16"/>
      <c r="B8" s="16"/>
      <c r="C8" s="16"/>
      <c r="D8" s="16" t="s">
        <v>22</v>
      </c>
      <c r="E8" s="16"/>
    </row>
    <row r="9" spans="1:5">
      <c r="D9" s="2" t="s">
        <v>23</v>
      </c>
    </row>
    <row r="10" spans="1:5">
      <c r="D10" s="2" t="s">
        <v>24</v>
      </c>
    </row>
    <row r="11" spans="1:5">
      <c r="D11" s="2" t="s">
        <v>25</v>
      </c>
    </row>
    <row r="12" spans="1:5">
      <c r="D12" s="2" t="s">
        <v>26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99"/>
  </sheetPr>
  <dimension ref="A1:F17"/>
  <sheetViews>
    <sheetView showGridLines="0" workbookViewId="0">
      <pane ySplit="3" topLeftCell="A4" activePane="bottomLeft" state="frozenSplit"/>
      <selection pane="bottomLeft" sqref="A1:F1"/>
    </sheetView>
  </sheetViews>
  <sheetFormatPr defaultRowHeight="14.25"/>
  <cols>
    <col min="1" max="1" width="7.7109375" style="2" customWidth="1"/>
    <col min="2" max="2" width="20.7109375" style="2" customWidth="1"/>
    <col min="3" max="3" width="22.7109375" style="2" customWidth="1"/>
    <col min="4" max="6" width="45.7109375" style="2" customWidth="1"/>
    <col min="7" max="16384" width="9.140625" style="2"/>
  </cols>
  <sheetData>
    <row r="1" spans="1:6" ht="20.25">
      <c r="A1" s="9" t="s">
        <v>1448</v>
      </c>
      <c r="B1" s="9"/>
      <c r="C1" s="9"/>
      <c r="D1" s="9"/>
      <c r="E1" s="9"/>
      <c r="F1" s="9"/>
    </row>
    <row r="3" spans="1:6">
      <c r="A3" s="12" t="s">
        <v>34</v>
      </c>
      <c r="B3" s="12" t="s">
        <v>1449</v>
      </c>
      <c r="C3" s="12" t="s">
        <v>1450</v>
      </c>
      <c r="D3" s="12" t="s">
        <v>1409</v>
      </c>
      <c r="E3" s="12" t="s">
        <v>1451</v>
      </c>
      <c r="F3" s="12" t="s">
        <v>1452</v>
      </c>
    </row>
    <row r="4" spans="1:6" ht="28.5">
      <c r="A4" s="12">
        <v>1</v>
      </c>
      <c r="B4" s="13" t="s">
        <v>1453</v>
      </c>
      <c r="C4" s="13" t="s">
        <v>1454</v>
      </c>
      <c r="D4" s="13" t="s">
        <v>1455</v>
      </c>
      <c r="E4" s="13" t="s">
        <v>1456</v>
      </c>
      <c r="F4" s="13"/>
    </row>
    <row r="5" spans="1:6" ht="28.5">
      <c r="A5" s="12">
        <v>2</v>
      </c>
      <c r="B5" s="13" t="s">
        <v>1457</v>
      </c>
      <c r="C5" s="13" t="s">
        <v>1458</v>
      </c>
      <c r="D5" s="13" t="s">
        <v>1459</v>
      </c>
      <c r="E5" s="13" t="s">
        <v>1460</v>
      </c>
      <c r="F5" s="13"/>
    </row>
    <row r="6" spans="1:6" ht="28.5">
      <c r="A6" s="12">
        <v>3</v>
      </c>
      <c r="B6" s="13" t="s">
        <v>1461</v>
      </c>
      <c r="C6" s="13" t="s">
        <v>1462</v>
      </c>
      <c r="D6" s="13" t="s">
        <v>1459</v>
      </c>
      <c r="E6" s="13" t="s">
        <v>1463</v>
      </c>
      <c r="F6" s="13" t="s">
        <v>1464</v>
      </c>
    </row>
    <row r="7" spans="1:6">
      <c r="A7" s="12">
        <v>4</v>
      </c>
      <c r="B7" s="13" t="s">
        <v>1465</v>
      </c>
      <c r="C7" s="13" t="s">
        <v>1466</v>
      </c>
      <c r="D7" s="13" t="s">
        <v>1467</v>
      </c>
      <c r="E7" s="13" t="s">
        <v>1468</v>
      </c>
      <c r="F7" s="13"/>
    </row>
    <row r="8" spans="1:6" ht="28.5">
      <c r="A8" s="12">
        <v>5</v>
      </c>
      <c r="B8" s="13" t="s">
        <v>1465</v>
      </c>
      <c r="C8" s="13" t="s">
        <v>1469</v>
      </c>
      <c r="D8" s="13" t="s">
        <v>1470</v>
      </c>
      <c r="E8" s="13" t="s">
        <v>1471</v>
      </c>
      <c r="F8" s="13"/>
    </row>
    <row r="9" spans="1:6" ht="28.5">
      <c r="A9" s="12">
        <v>6</v>
      </c>
      <c r="B9" s="13" t="s">
        <v>1465</v>
      </c>
      <c r="C9" s="13" t="s">
        <v>1472</v>
      </c>
      <c r="D9" s="13" t="s">
        <v>1473</v>
      </c>
      <c r="E9" s="13" t="s">
        <v>1474</v>
      </c>
      <c r="F9" s="13"/>
    </row>
    <row r="10" spans="1:6">
      <c r="A10" s="12">
        <v>7</v>
      </c>
      <c r="B10" s="13" t="s">
        <v>1465</v>
      </c>
      <c r="C10" s="13" t="s">
        <v>1475</v>
      </c>
      <c r="D10" s="13" t="s">
        <v>1476</v>
      </c>
      <c r="E10" s="13" t="s">
        <v>1477</v>
      </c>
      <c r="F10" s="13"/>
    </row>
    <row r="11" spans="1:6" ht="28.5">
      <c r="A11" s="12">
        <v>8</v>
      </c>
      <c r="B11" s="13" t="s">
        <v>1478</v>
      </c>
      <c r="C11" s="13" t="s">
        <v>1479</v>
      </c>
      <c r="D11" s="13" t="s">
        <v>20</v>
      </c>
      <c r="E11" s="13" t="s">
        <v>1480</v>
      </c>
      <c r="F11" s="13" t="s">
        <v>1481</v>
      </c>
    </row>
    <row r="12" spans="1:6" ht="28.5">
      <c r="A12" s="12">
        <v>9</v>
      </c>
      <c r="B12" s="13" t="s">
        <v>1478</v>
      </c>
      <c r="C12" s="13" t="s">
        <v>1482</v>
      </c>
      <c r="D12" s="13" t="s">
        <v>1483</v>
      </c>
      <c r="E12" s="13" t="s">
        <v>1484</v>
      </c>
      <c r="F12" s="13"/>
    </row>
    <row r="13" spans="1:6" ht="28.5">
      <c r="A13" s="12">
        <v>10</v>
      </c>
      <c r="B13" s="13" t="s">
        <v>1485</v>
      </c>
      <c r="C13" s="13" t="s">
        <v>1486</v>
      </c>
      <c r="D13" s="13" t="s">
        <v>497</v>
      </c>
      <c r="E13" s="13" t="s">
        <v>1487</v>
      </c>
      <c r="F13" s="13"/>
    </row>
    <row r="14" spans="1:6" ht="28.5">
      <c r="A14" s="12">
        <v>11</v>
      </c>
      <c r="B14" s="13" t="s">
        <v>1485</v>
      </c>
      <c r="C14" s="13" t="s">
        <v>1486</v>
      </c>
      <c r="D14" s="13" t="s">
        <v>1488</v>
      </c>
      <c r="E14" s="13" t="s">
        <v>1489</v>
      </c>
      <c r="F14" s="13"/>
    </row>
    <row r="15" spans="1:6" ht="28.5">
      <c r="A15" s="12">
        <v>12</v>
      </c>
      <c r="B15" s="13" t="s">
        <v>1485</v>
      </c>
      <c r="C15" s="13" t="s">
        <v>1486</v>
      </c>
      <c r="D15" s="13" t="s">
        <v>1490</v>
      </c>
      <c r="E15" s="13" t="s">
        <v>1491</v>
      </c>
      <c r="F15" s="13"/>
    </row>
    <row r="16" spans="1:6" ht="28.5">
      <c r="A16" s="12">
        <v>13</v>
      </c>
      <c r="B16" s="13" t="s">
        <v>1485</v>
      </c>
      <c r="C16" s="13" t="s">
        <v>1486</v>
      </c>
      <c r="D16" s="13" t="s">
        <v>1492</v>
      </c>
      <c r="E16" s="13" t="s">
        <v>1493</v>
      </c>
      <c r="F16" s="13"/>
    </row>
    <row r="17" spans="1:6" ht="28.5">
      <c r="A17" s="12">
        <v>14</v>
      </c>
      <c r="B17" s="13" t="s">
        <v>1494</v>
      </c>
      <c r="C17" s="13" t="s">
        <v>1486</v>
      </c>
      <c r="D17" s="13" t="s">
        <v>1495</v>
      </c>
      <c r="E17" s="13" t="s">
        <v>1496</v>
      </c>
      <c r="F17" s="13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BFBF"/>
  </sheetPr>
  <dimension ref="A1:G115"/>
  <sheetViews>
    <sheetView showGridLines="0" workbookViewId="0">
      <pane ySplit="3" topLeftCell="A4" activePane="bottomLeft" state="frozenSplit"/>
      <selection pane="bottomLeft" activeCell="A3" sqref="A3:G115"/>
    </sheetView>
  </sheetViews>
  <sheetFormatPr defaultRowHeight="14.25"/>
  <cols>
    <col min="1" max="1" width="8.7109375" style="2" customWidth="1"/>
    <col min="2" max="3" width="28.7109375" style="2" customWidth="1"/>
    <col min="4" max="4" width="30.7109375" style="2" customWidth="1"/>
    <col min="5" max="5" width="50.7109375" style="2" customWidth="1"/>
    <col min="6" max="7" width="24.7109375" style="2" customWidth="1"/>
    <col min="8" max="16384" width="9.140625" style="2"/>
  </cols>
  <sheetData>
    <row r="1" spans="1:7" ht="18">
      <c r="A1" s="17" t="s">
        <v>1497</v>
      </c>
      <c r="B1" s="17"/>
      <c r="C1" s="17"/>
      <c r="D1" s="17"/>
      <c r="E1" s="17"/>
      <c r="F1" s="17"/>
      <c r="G1" s="17"/>
    </row>
    <row r="2" spans="1:7" ht="30">
      <c r="A2" s="18" t="s">
        <v>1612</v>
      </c>
      <c r="B2" s="18" t="s">
        <v>1613</v>
      </c>
      <c r="C2" s="18" t="s">
        <v>1614</v>
      </c>
      <c r="D2" s="18" t="s">
        <v>1615</v>
      </c>
      <c r="E2" s="18" t="s">
        <v>1616</v>
      </c>
      <c r="F2" s="18" t="s">
        <v>1617</v>
      </c>
      <c r="G2" s="18" t="s">
        <v>1618</v>
      </c>
    </row>
    <row r="3" spans="1:7" ht="28.5">
      <c r="A3" s="18" t="s">
        <v>1498</v>
      </c>
      <c r="B3" s="18" t="s">
        <v>36</v>
      </c>
      <c r="C3" s="18" t="s">
        <v>37</v>
      </c>
      <c r="D3" s="18" t="s">
        <v>1611</v>
      </c>
      <c r="E3" s="18" t="s">
        <v>1499</v>
      </c>
      <c r="F3" s="18" t="s">
        <v>1452</v>
      </c>
      <c r="G3" s="18" t="s">
        <v>0</v>
      </c>
    </row>
    <row r="4" spans="1:7">
      <c r="B4" s="2" t="s">
        <v>1500</v>
      </c>
      <c r="C4" s="2" t="s">
        <v>1500</v>
      </c>
      <c r="E4" s="2" t="s">
        <v>1501</v>
      </c>
    </row>
    <row r="5" spans="1:7">
      <c r="B5" s="2" t="s">
        <v>1502</v>
      </c>
      <c r="C5" s="2" t="s">
        <v>1503</v>
      </c>
      <c r="E5" s="2" t="s">
        <v>1504</v>
      </c>
    </row>
    <row r="6" spans="1:7">
      <c r="B6" s="2" t="s">
        <v>1502</v>
      </c>
      <c r="C6" s="2" t="s">
        <v>1503</v>
      </c>
      <c r="E6" s="2" t="s">
        <v>1505</v>
      </c>
    </row>
    <row r="7" spans="1:7">
      <c r="B7" s="2" t="s">
        <v>1502</v>
      </c>
      <c r="C7" s="2" t="s">
        <v>1506</v>
      </c>
      <c r="D7" s="2" t="s">
        <v>1507</v>
      </c>
      <c r="E7" s="2" t="s">
        <v>1507</v>
      </c>
    </row>
    <row r="8" spans="1:7">
      <c r="B8" s="2" t="s">
        <v>1502</v>
      </c>
      <c r="C8" s="2" t="s">
        <v>1506</v>
      </c>
      <c r="D8" s="2" t="s">
        <v>1508</v>
      </c>
      <c r="E8" s="2" t="s">
        <v>1509</v>
      </c>
    </row>
    <row r="9" spans="1:7">
      <c r="B9" s="2" t="s">
        <v>1502</v>
      </c>
      <c r="C9" s="2" t="s">
        <v>1506</v>
      </c>
      <c r="D9" s="2" t="s">
        <v>1508</v>
      </c>
      <c r="E9" s="2" t="s">
        <v>1510</v>
      </c>
    </row>
    <row r="10" spans="1:7">
      <c r="B10" s="2" t="s">
        <v>1502</v>
      </c>
      <c r="C10" s="2" t="s">
        <v>1503</v>
      </c>
      <c r="E10" s="2" t="s">
        <v>1511</v>
      </c>
      <c r="F10" s="2" t="s">
        <v>1512</v>
      </c>
    </row>
    <row r="11" spans="1:7">
      <c r="B11" s="2" t="s">
        <v>1502</v>
      </c>
      <c r="C11" s="2" t="s">
        <v>1503</v>
      </c>
      <c r="E11" s="2" t="s">
        <v>1513</v>
      </c>
      <c r="F11" s="2" t="s">
        <v>1512</v>
      </c>
    </row>
    <row r="12" spans="1:7">
      <c r="B12" s="2" t="s">
        <v>1502</v>
      </c>
      <c r="C12" s="2" t="s">
        <v>1503</v>
      </c>
      <c r="E12" s="2" t="s">
        <v>1514</v>
      </c>
      <c r="F12" s="2" t="s">
        <v>1512</v>
      </c>
    </row>
    <row r="13" spans="1:7">
      <c r="B13" s="2" t="s">
        <v>1502</v>
      </c>
      <c r="C13" s="2" t="s">
        <v>1503</v>
      </c>
      <c r="E13" s="2" t="s">
        <v>1515</v>
      </c>
      <c r="F13" s="2" t="s">
        <v>1512</v>
      </c>
    </row>
    <row r="14" spans="1:7">
      <c r="B14" s="2" t="s">
        <v>1502</v>
      </c>
      <c r="C14" s="2" t="s">
        <v>1503</v>
      </c>
      <c r="E14" s="2" t="s">
        <v>1516</v>
      </c>
    </row>
    <row r="15" spans="1:7">
      <c r="B15" s="2" t="s">
        <v>1502</v>
      </c>
      <c r="C15" s="2" t="s">
        <v>1503</v>
      </c>
      <c r="E15" s="2" t="s">
        <v>1517</v>
      </c>
      <c r="F15" s="2" t="s">
        <v>1518</v>
      </c>
    </row>
    <row r="16" spans="1:7">
      <c r="B16" s="2" t="s">
        <v>1502</v>
      </c>
      <c r="C16" s="2" t="s">
        <v>1503</v>
      </c>
      <c r="E16" s="2" t="s">
        <v>1519</v>
      </c>
      <c r="F16" s="2" t="s">
        <v>1520</v>
      </c>
    </row>
    <row r="17" spans="2:5">
      <c r="B17" s="2" t="s">
        <v>1502</v>
      </c>
      <c r="C17" s="2" t="s">
        <v>1503</v>
      </c>
      <c r="E17" s="2" t="s">
        <v>1521</v>
      </c>
    </row>
    <row r="18" spans="2:5">
      <c r="B18" s="2" t="s">
        <v>1502</v>
      </c>
      <c r="C18" s="2" t="s">
        <v>1503</v>
      </c>
      <c r="E18" s="2" t="s">
        <v>1522</v>
      </c>
    </row>
    <row r="19" spans="2:5">
      <c r="B19" s="2" t="s">
        <v>1502</v>
      </c>
      <c r="C19" s="2" t="s">
        <v>1503</v>
      </c>
      <c r="E19" s="2" t="s">
        <v>1523</v>
      </c>
    </row>
    <row r="20" spans="2:5">
      <c r="B20" s="2" t="s">
        <v>1502</v>
      </c>
      <c r="C20" s="2" t="s">
        <v>1524</v>
      </c>
      <c r="E20" s="2" t="s">
        <v>1525</v>
      </c>
    </row>
    <row r="21" spans="2:5">
      <c r="B21" s="2" t="s">
        <v>1502</v>
      </c>
      <c r="C21" s="2" t="s">
        <v>1524</v>
      </c>
      <c r="E21" s="2" t="s">
        <v>1526</v>
      </c>
    </row>
    <row r="22" spans="2:5">
      <c r="B22" s="2" t="s">
        <v>1502</v>
      </c>
      <c r="C22" s="2" t="s">
        <v>1524</v>
      </c>
      <c r="E22" s="2" t="s">
        <v>1527</v>
      </c>
    </row>
    <row r="23" spans="2:5">
      <c r="B23" s="2" t="s">
        <v>1502</v>
      </c>
      <c r="C23" s="2" t="s">
        <v>1524</v>
      </c>
      <c r="E23" s="2" t="s">
        <v>1528</v>
      </c>
    </row>
    <row r="24" spans="2:5">
      <c r="B24" s="2" t="s">
        <v>1502</v>
      </c>
      <c r="C24" s="2" t="s">
        <v>1524</v>
      </c>
      <c r="E24" s="2" t="s">
        <v>1529</v>
      </c>
    </row>
    <row r="25" spans="2:5">
      <c r="B25" s="2" t="s">
        <v>1502</v>
      </c>
      <c r="C25" s="2" t="s">
        <v>1524</v>
      </c>
      <c r="E25" s="2" t="s">
        <v>1530</v>
      </c>
    </row>
    <row r="26" spans="2:5">
      <c r="B26" s="2" t="s">
        <v>1502</v>
      </c>
      <c r="C26" s="2" t="s">
        <v>1524</v>
      </c>
      <c r="E26" s="2" t="s">
        <v>1531</v>
      </c>
    </row>
    <row r="27" spans="2:5">
      <c r="B27" s="2" t="s">
        <v>1502</v>
      </c>
      <c r="C27" s="2" t="s">
        <v>1532</v>
      </c>
      <c r="E27" s="2" t="s">
        <v>1075</v>
      </c>
    </row>
    <row r="28" spans="2:5">
      <c r="B28" s="2" t="s">
        <v>1502</v>
      </c>
      <c r="C28" s="2" t="s">
        <v>1532</v>
      </c>
      <c r="E28" s="2" t="s">
        <v>1533</v>
      </c>
    </row>
    <row r="29" spans="2:5">
      <c r="B29" s="2" t="s">
        <v>1502</v>
      </c>
      <c r="C29" s="2" t="s">
        <v>1532</v>
      </c>
      <c r="E29" s="2" t="s">
        <v>1534</v>
      </c>
    </row>
    <row r="30" spans="2:5">
      <c r="B30" s="2" t="s">
        <v>1502</v>
      </c>
      <c r="C30" s="2" t="s">
        <v>1532</v>
      </c>
      <c r="E30" s="2" t="s">
        <v>1535</v>
      </c>
    </row>
    <row r="31" spans="2:5">
      <c r="B31" s="2" t="s">
        <v>1502</v>
      </c>
      <c r="C31" s="2" t="s">
        <v>1532</v>
      </c>
      <c r="E31" s="2" t="s">
        <v>1536</v>
      </c>
    </row>
    <row r="32" spans="2:5">
      <c r="B32" s="2" t="s">
        <v>1502</v>
      </c>
      <c r="C32" s="2" t="s">
        <v>1532</v>
      </c>
      <c r="E32" s="2" t="s">
        <v>1537</v>
      </c>
    </row>
    <row r="33" spans="2:5">
      <c r="B33" s="2" t="s">
        <v>1502</v>
      </c>
      <c r="C33" s="2" t="s">
        <v>1532</v>
      </c>
      <c r="E33" s="2" t="s">
        <v>1538</v>
      </c>
    </row>
    <row r="34" spans="2:5">
      <c r="B34" s="2" t="s">
        <v>1502</v>
      </c>
      <c r="C34" s="2" t="s">
        <v>1532</v>
      </c>
      <c r="D34" s="2" t="s">
        <v>1074</v>
      </c>
      <c r="E34" s="2" t="s">
        <v>1539</v>
      </c>
    </row>
    <row r="35" spans="2:5">
      <c r="B35" s="2" t="s">
        <v>1502</v>
      </c>
      <c r="C35" s="2" t="s">
        <v>1532</v>
      </c>
      <c r="D35" s="2" t="s">
        <v>1107</v>
      </c>
      <c r="E35" s="2" t="s">
        <v>1540</v>
      </c>
    </row>
    <row r="36" spans="2:5">
      <c r="B36" s="2" t="s">
        <v>1502</v>
      </c>
      <c r="C36" s="2" t="s">
        <v>1532</v>
      </c>
      <c r="D36" s="2" t="s">
        <v>1107</v>
      </c>
      <c r="E36" s="2" t="s">
        <v>1541</v>
      </c>
    </row>
    <row r="37" spans="2:5">
      <c r="B37" s="2" t="s">
        <v>1502</v>
      </c>
      <c r="C37" s="2" t="s">
        <v>1532</v>
      </c>
      <c r="D37" s="2" t="s">
        <v>1107</v>
      </c>
      <c r="E37" s="2" t="s">
        <v>1542</v>
      </c>
    </row>
    <row r="38" spans="2:5">
      <c r="B38" s="2" t="s">
        <v>1502</v>
      </c>
      <c r="C38" s="2" t="s">
        <v>1532</v>
      </c>
      <c r="D38" s="2" t="s">
        <v>1107</v>
      </c>
      <c r="E38" s="2" t="s">
        <v>1543</v>
      </c>
    </row>
    <row r="39" spans="2:5">
      <c r="B39" s="2" t="s">
        <v>1502</v>
      </c>
      <c r="C39" s="2" t="s">
        <v>1544</v>
      </c>
      <c r="D39" s="2" t="s">
        <v>1545</v>
      </c>
      <c r="E39" s="2" t="s">
        <v>1546</v>
      </c>
    </row>
    <row r="40" spans="2:5">
      <c r="B40" s="2" t="s">
        <v>1502</v>
      </c>
      <c r="C40" s="2" t="s">
        <v>1544</v>
      </c>
      <c r="D40" s="2" t="s">
        <v>1545</v>
      </c>
      <c r="E40" s="2" t="s">
        <v>1547</v>
      </c>
    </row>
    <row r="41" spans="2:5">
      <c r="B41" s="2" t="s">
        <v>1502</v>
      </c>
      <c r="C41" s="2" t="s">
        <v>1544</v>
      </c>
      <c r="D41" s="2" t="s">
        <v>1545</v>
      </c>
      <c r="E41" s="2" t="s">
        <v>1548</v>
      </c>
    </row>
    <row r="42" spans="2:5">
      <c r="B42" s="2" t="s">
        <v>1502</v>
      </c>
      <c r="C42" s="2" t="s">
        <v>1544</v>
      </c>
      <c r="D42" s="2" t="s">
        <v>1545</v>
      </c>
      <c r="E42" s="2" t="s">
        <v>1549</v>
      </c>
    </row>
    <row r="43" spans="2:5">
      <c r="B43" s="2" t="s">
        <v>1502</v>
      </c>
      <c r="C43" s="2" t="s">
        <v>1544</v>
      </c>
      <c r="D43" s="2" t="s">
        <v>1545</v>
      </c>
      <c r="E43" s="2" t="s">
        <v>1550</v>
      </c>
    </row>
    <row r="44" spans="2:5">
      <c r="B44" s="2" t="s">
        <v>1502</v>
      </c>
      <c r="C44" s="2" t="s">
        <v>1544</v>
      </c>
      <c r="D44" s="2" t="s">
        <v>1545</v>
      </c>
      <c r="E44" s="2" t="s">
        <v>1551</v>
      </c>
    </row>
    <row r="45" spans="2:5">
      <c r="B45" s="2" t="s">
        <v>1502</v>
      </c>
      <c r="C45" s="2" t="s">
        <v>1544</v>
      </c>
      <c r="D45" s="2" t="s">
        <v>1545</v>
      </c>
      <c r="E45" s="2" t="s">
        <v>1552</v>
      </c>
    </row>
    <row r="46" spans="2:5">
      <c r="B46" s="2" t="s">
        <v>1502</v>
      </c>
      <c r="C46" s="2" t="s">
        <v>1544</v>
      </c>
      <c r="D46" s="2" t="s">
        <v>1545</v>
      </c>
      <c r="E46" s="2" t="s">
        <v>1553</v>
      </c>
    </row>
    <row r="47" spans="2:5">
      <c r="B47" s="2" t="s">
        <v>1502</v>
      </c>
      <c r="C47" s="2" t="s">
        <v>1544</v>
      </c>
      <c r="D47" s="2" t="s">
        <v>1545</v>
      </c>
      <c r="E47" s="2" t="s">
        <v>1554</v>
      </c>
    </row>
    <row r="48" spans="2:5">
      <c r="B48" s="2" t="s">
        <v>1502</v>
      </c>
      <c r="C48" s="2" t="s">
        <v>1544</v>
      </c>
      <c r="D48" s="2" t="s">
        <v>1140</v>
      </c>
      <c r="E48" s="2" t="s">
        <v>1555</v>
      </c>
    </row>
    <row r="49" spans="2:5">
      <c r="B49" s="2" t="s">
        <v>1502</v>
      </c>
      <c r="C49" s="2" t="s">
        <v>1544</v>
      </c>
      <c r="D49" s="2" t="s">
        <v>1140</v>
      </c>
      <c r="E49" s="2" t="s">
        <v>1556</v>
      </c>
    </row>
    <row r="50" spans="2:5">
      <c r="B50" s="2" t="s">
        <v>1502</v>
      </c>
      <c r="C50" s="2" t="s">
        <v>1544</v>
      </c>
      <c r="D50" s="2" t="s">
        <v>1557</v>
      </c>
      <c r="E50" s="2" t="s">
        <v>1558</v>
      </c>
    </row>
    <row r="51" spans="2:5">
      <c r="B51" s="2" t="s">
        <v>1502</v>
      </c>
      <c r="C51" s="2" t="s">
        <v>1544</v>
      </c>
      <c r="D51" s="2" t="s">
        <v>1557</v>
      </c>
      <c r="E51" s="2" t="s">
        <v>1559</v>
      </c>
    </row>
    <row r="52" spans="2:5">
      <c r="B52" s="2" t="s">
        <v>1502</v>
      </c>
      <c r="C52" s="2" t="s">
        <v>1544</v>
      </c>
      <c r="D52" s="2" t="s">
        <v>1557</v>
      </c>
      <c r="E52" s="2" t="s">
        <v>1560</v>
      </c>
    </row>
    <row r="53" spans="2:5">
      <c r="B53" s="2" t="s">
        <v>1502</v>
      </c>
      <c r="C53" s="2" t="s">
        <v>1544</v>
      </c>
      <c r="D53" s="2" t="s">
        <v>1557</v>
      </c>
      <c r="E53" s="2" t="s">
        <v>1561</v>
      </c>
    </row>
    <row r="54" spans="2:5">
      <c r="B54" s="2" t="s">
        <v>1502</v>
      </c>
      <c r="C54" s="2" t="s">
        <v>1544</v>
      </c>
      <c r="D54" s="2" t="s">
        <v>1557</v>
      </c>
      <c r="E54" s="2" t="s">
        <v>1562</v>
      </c>
    </row>
    <row r="55" spans="2:5">
      <c r="B55" s="2" t="s">
        <v>1502</v>
      </c>
      <c r="C55" s="2" t="s">
        <v>1544</v>
      </c>
      <c r="D55" s="2" t="s">
        <v>1557</v>
      </c>
      <c r="E55" s="2" t="s">
        <v>1563</v>
      </c>
    </row>
    <row r="56" spans="2:5">
      <c r="B56" s="2" t="s">
        <v>1502</v>
      </c>
      <c r="C56" s="2" t="s">
        <v>1544</v>
      </c>
      <c r="D56" s="2" t="s">
        <v>1557</v>
      </c>
      <c r="E56" s="2" t="s">
        <v>1564</v>
      </c>
    </row>
    <row r="57" spans="2:5">
      <c r="B57" s="2" t="s">
        <v>1502</v>
      </c>
      <c r="C57" s="2" t="s">
        <v>20</v>
      </c>
      <c r="D57" s="2" t="s">
        <v>20</v>
      </c>
      <c r="E57" s="2" t="s">
        <v>20</v>
      </c>
    </row>
    <row r="58" spans="2:5">
      <c r="B58" s="2" t="s">
        <v>1565</v>
      </c>
      <c r="C58" s="2" t="s">
        <v>1566</v>
      </c>
      <c r="D58" s="2" t="s">
        <v>1566</v>
      </c>
      <c r="E58" s="2" t="s">
        <v>174</v>
      </c>
    </row>
    <row r="59" spans="2:5">
      <c r="B59" s="2" t="s">
        <v>1565</v>
      </c>
      <c r="C59" s="2" t="s">
        <v>1566</v>
      </c>
      <c r="D59" s="2" t="s">
        <v>1566</v>
      </c>
      <c r="E59" s="2" t="s">
        <v>178</v>
      </c>
    </row>
    <row r="60" spans="2:5">
      <c r="B60" s="2" t="s">
        <v>1565</v>
      </c>
      <c r="C60" s="2" t="s">
        <v>1566</v>
      </c>
      <c r="D60" s="2" t="s">
        <v>1566</v>
      </c>
      <c r="E60" s="2" t="s">
        <v>181</v>
      </c>
    </row>
    <row r="61" spans="2:5">
      <c r="B61" s="2" t="s">
        <v>1565</v>
      </c>
      <c r="C61" s="2" t="s">
        <v>1566</v>
      </c>
      <c r="D61" s="2" t="s">
        <v>1566</v>
      </c>
      <c r="E61" s="2" t="s">
        <v>184</v>
      </c>
    </row>
    <row r="62" spans="2:5">
      <c r="B62" s="2" t="s">
        <v>1565</v>
      </c>
      <c r="C62" s="2" t="s">
        <v>1566</v>
      </c>
      <c r="D62" s="2" t="s">
        <v>1566</v>
      </c>
      <c r="E62" s="2" t="s">
        <v>1567</v>
      </c>
    </row>
    <row r="63" spans="2:5">
      <c r="B63" s="2" t="s">
        <v>1565</v>
      </c>
      <c r="C63" s="2" t="s">
        <v>1566</v>
      </c>
      <c r="D63" s="2" t="s">
        <v>1566</v>
      </c>
      <c r="E63" s="2" t="s">
        <v>1568</v>
      </c>
    </row>
    <row r="64" spans="2:5">
      <c r="B64" s="2" t="s">
        <v>1565</v>
      </c>
      <c r="C64" s="2" t="s">
        <v>1566</v>
      </c>
      <c r="D64" s="2" t="s">
        <v>1566</v>
      </c>
      <c r="E64" s="2" t="s">
        <v>1569</v>
      </c>
    </row>
    <row r="65" spans="2:5">
      <c r="B65" s="2" t="s">
        <v>1565</v>
      </c>
      <c r="C65" s="2" t="s">
        <v>1570</v>
      </c>
      <c r="D65" s="2" t="s">
        <v>223</v>
      </c>
      <c r="E65" s="2" t="s">
        <v>224</v>
      </c>
    </row>
    <row r="66" spans="2:5">
      <c r="B66" s="2" t="s">
        <v>1565</v>
      </c>
      <c r="C66" s="2" t="s">
        <v>1570</v>
      </c>
      <c r="D66" s="2" t="s">
        <v>223</v>
      </c>
      <c r="E66" s="2" t="s">
        <v>229</v>
      </c>
    </row>
    <row r="67" spans="2:5">
      <c r="B67" s="2" t="s">
        <v>1565</v>
      </c>
      <c r="C67" s="2" t="s">
        <v>1570</v>
      </c>
      <c r="D67" s="2" t="s">
        <v>223</v>
      </c>
      <c r="E67" s="2" t="s">
        <v>232</v>
      </c>
    </row>
    <row r="68" spans="2:5">
      <c r="B68" s="2" t="s">
        <v>1565</v>
      </c>
      <c r="C68" s="2" t="s">
        <v>1570</v>
      </c>
      <c r="D68" s="2" t="s">
        <v>223</v>
      </c>
      <c r="E68" s="2" t="s">
        <v>235</v>
      </c>
    </row>
    <row r="69" spans="2:5">
      <c r="B69" s="2" t="s">
        <v>1565</v>
      </c>
      <c r="C69" s="2" t="s">
        <v>1570</v>
      </c>
      <c r="D69" s="2" t="s">
        <v>223</v>
      </c>
      <c r="E69" s="2" t="s">
        <v>1571</v>
      </c>
    </row>
    <row r="70" spans="2:5">
      <c r="B70" s="2" t="s">
        <v>1565</v>
      </c>
      <c r="C70" s="2" t="s">
        <v>1570</v>
      </c>
      <c r="D70" s="2" t="s">
        <v>223</v>
      </c>
      <c r="E70" s="2" t="s">
        <v>241</v>
      </c>
    </row>
    <row r="71" spans="2:5">
      <c r="B71" s="2" t="s">
        <v>1565</v>
      </c>
      <c r="C71" s="2" t="s">
        <v>1570</v>
      </c>
      <c r="D71" s="2" t="s">
        <v>223</v>
      </c>
      <c r="E71" s="2" t="s">
        <v>1572</v>
      </c>
    </row>
    <row r="72" spans="2:5">
      <c r="B72" s="2" t="s">
        <v>1565</v>
      </c>
      <c r="C72" s="2" t="s">
        <v>1570</v>
      </c>
      <c r="D72" s="2" t="s">
        <v>1573</v>
      </c>
      <c r="E72" s="2" t="s">
        <v>1574</v>
      </c>
    </row>
    <row r="73" spans="2:5">
      <c r="B73" s="2" t="s">
        <v>1565</v>
      </c>
      <c r="C73" s="2" t="s">
        <v>1570</v>
      </c>
      <c r="D73" s="2" t="s">
        <v>1573</v>
      </c>
      <c r="E73" s="2" t="s">
        <v>1575</v>
      </c>
    </row>
    <row r="74" spans="2:5">
      <c r="B74" s="2" t="s">
        <v>1565</v>
      </c>
      <c r="C74" s="2" t="s">
        <v>1570</v>
      </c>
      <c r="D74" s="2" t="s">
        <v>1573</v>
      </c>
      <c r="E74" s="2" t="s">
        <v>1576</v>
      </c>
    </row>
    <row r="75" spans="2:5">
      <c r="B75" s="2" t="s">
        <v>1565</v>
      </c>
      <c r="C75" s="2" t="s">
        <v>1570</v>
      </c>
      <c r="D75" s="2" t="s">
        <v>1573</v>
      </c>
      <c r="E75" s="2" t="s">
        <v>1577</v>
      </c>
    </row>
    <row r="76" spans="2:5">
      <c r="B76" s="2" t="s">
        <v>1565</v>
      </c>
      <c r="C76" s="2" t="s">
        <v>1570</v>
      </c>
      <c r="D76" s="2" t="s">
        <v>1573</v>
      </c>
      <c r="E76" s="2" t="s">
        <v>1578</v>
      </c>
    </row>
    <row r="77" spans="2:5">
      <c r="B77" s="2" t="s">
        <v>1565</v>
      </c>
      <c r="C77" s="2" t="s">
        <v>1570</v>
      </c>
      <c r="D77" s="2" t="s">
        <v>1573</v>
      </c>
      <c r="E77" s="2" t="s">
        <v>1579</v>
      </c>
    </row>
    <row r="78" spans="2:5">
      <c r="B78" s="2" t="s">
        <v>1565</v>
      </c>
      <c r="C78" s="2" t="s">
        <v>1570</v>
      </c>
      <c r="D78" s="2" t="s">
        <v>1573</v>
      </c>
      <c r="E78" s="2" t="s">
        <v>1580</v>
      </c>
    </row>
    <row r="79" spans="2:5">
      <c r="B79" s="2" t="s">
        <v>1565</v>
      </c>
      <c r="C79" s="2" t="s">
        <v>1570</v>
      </c>
      <c r="D79" s="2" t="s">
        <v>1581</v>
      </c>
      <c r="E79" s="2" t="s">
        <v>1582</v>
      </c>
    </row>
    <row r="80" spans="2:5">
      <c r="B80" s="2" t="s">
        <v>1565</v>
      </c>
      <c r="C80" s="2" t="s">
        <v>1570</v>
      </c>
      <c r="D80" s="2" t="s">
        <v>1581</v>
      </c>
      <c r="E80" s="2" t="s">
        <v>1583</v>
      </c>
    </row>
    <row r="81" spans="2:5">
      <c r="B81" s="2" t="s">
        <v>1565</v>
      </c>
      <c r="C81" s="2" t="s">
        <v>1570</v>
      </c>
      <c r="D81" s="2" t="s">
        <v>1581</v>
      </c>
      <c r="E81" s="2" t="s">
        <v>1584</v>
      </c>
    </row>
    <row r="82" spans="2:5">
      <c r="B82" s="2" t="s">
        <v>1565</v>
      </c>
      <c r="C82" s="2" t="s">
        <v>1570</v>
      </c>
      <c r="D82" s="2" t="s">
        <v>1581</v>
      </c>
      <c r="E82" s="2" t="s">
        <v>1585</v>
      </c>
    </row>
    <row r="83" spans="2:5">
      <c r="B83" s="2" t="s">
        <v>1565</v>
      </c>
      <c r="C83" s="2" t="s">
        <v>1570</v>
      </c>
      <c r="D83" s="2" t="s">
        <v>1581</v>
      </c>
      <c r="E83" s="2" t="s">
        <v>1586</v>
      </c>
    </row>
    <row r="84" spans="2:5">
      <c r="B84" s="2" t="s">
        <v>1565</v>
      </c>
      <c r="C84" s="2" t="s">
        <v>1570</v>
      </c>
      <c r="D84" s="2" t="s">
        <v>1581</v>
      </c>
      <c r="E84" s="2" t="s">
        <v>1587</v>
      </c>
    </row>
    <row r="85" spans="2:5">
      <c r="B85" s="2" t="s">
        <v>1565</v>
      </c>
      <c r="C85" s="2" t="s">
        <v>1570</v>
      </c>
      <c r="D85" s="2" t="s">
        <v>1581</v>
      </c>
      <c r="E85" s="2" t="s">
        <v>1588</v>
      </c>
    </row>
    <row r="86" spans="2:5">
      <c r="B86" s="2" t="s">
        <v>1565</v>
      </c>
      <c r="C86" s="2" t="s">
        <v>1570</v>
      </c>
      <c r="D86" s="2" t="s">
        <v>1589</v>
      </c>
      <c r="E86" s="2" t="s">
        <v>1590</v>
      </c>
    </row>
    <row r="87" spans="2:5">
      <c r="B87" s="2" t="s">
        <v>1565</v>
      </c>
      <c r="C87" s="2" t="s">
        <v>1570</v>
      </c>
      <c r="D87" s="2" t="s">
        <v>1589</v>
      </c>
      <c r="E87" s="2" t="s">
        <v>1591</v>
      </c>
    </row>
    <row r="88" spans="2:5">
      <c r="B88" s="2" t="s">
        <v>1565</v>
      </c>
      <c r="C88" s="2" t="s">
        <v>1570</v>
      </c>
      <c r="D88" s="2" t="s">
        <v>1589</v>
      </c>
      <c r="E88" s="2" t="s">
        <v>1592</v>
      </c>
    </row>
    <row r="89" spans="2:5">
      <c r="B89" s="2" t="s">
        <v>1565</v>
      </c>
      <c r="C89" s="2" t="s">
        <v>1570</v>
      </c>
      <c r="D89" s="2" t="s">
        <v>1589</v>
      </c>
      <c r="E89" s="2" t="s">
        <v>1593</v>
      </c>
    </row>
    <row r="90" spans="2:5">
      <c r="B90" s="2" t="s">
        <v>1565</v>
      </c>
      <c r="C90" s="2" t="s">
        <v>1570</v>
      </c>
      <c r="D90" s="2" t="s">
        <v>1589</v>
      </c>
      <c r="E90" s="2" t="s">
        <v>1594</v>
      </c>
    </row>
    <row r="91" spans="2:5">
      <c r="B91" s="2" t="s">
        <v>1565</v>
      </c>
      <c r="C91" s="2" t="s">
        <v>1570</v>
      </c>
      <c r="D91" s="2" t="s">
        <v>1589</v>
      </c>
      <c r="E91" s="2" t="s">
        <v>1595</v>
      </c>
    </row>
    <row r="92" spans="2:5">
      <c r="B92" s="2" t="s">
        <v>1565</v>
      </c>
      <c r="C92" s="2" t="s">
        <v>1570</v>
      </c>
      <c r="D92" s="2" t="s">
        <v>1589</v>
      </c>
      <c r="E92" s="2" t="s">
        <v>1596</v>
      </c>
    </row>
    <row r="93" spans="2:5">
      <c r="B93" s="2" t="s">
        <v>1565</v>
      </c>
      <c r="C93" s="2" t="s">
        <v>1570</v>
      </c>
      <c r="D93" s="2" t="s">
        <v>728</v>
      </c>
      <c r="E93" s="2" t="s">
        <v>729</v>
      </c>
    </row>
    <row r="94" spans="2:5">
      <c r="B94" s="2" t="s">
        <v>1565</v>
      </c>
      <c r="C94" s="2" t="s">
        <v>1570</v>
      </c>
      <c r="D94" s="2" t="s">
        <v>728</v>
      </c>
      <c r="E94" s="2" t="s">
        <v>733</v>
      </c>
    </row>
    <row r="95" spans="2:5">
      <c r="B95" s="2" t="s">
        <v>1565</v>
      </c>
      <c r="C95" s="2" t="s">
        <v>1570</v>
      </c>
      <c r="D95" s="2" t="s">
        <v>728</v>
      </c>
      <c r="E95" s="2" t="s">
        <v>736</v>
      </c>
    </row>
    <row r="96" spans="2:5">
      <c r="B96" s="2" t="s">
        <v>1565</v>
      </c>
      <c r="C96" s="2" t="s">
        <v>1570</v>
      </c>
      <c r="D96" s="2" t="s">
        <v>728</v>
      </c>
      <c r="E96" s="2" t="s">
        <v>739</v>
      </c>
    </row>
    <row r="97" spans="2:5">
      <c r="B97" s="2" t="s">
        <v>1565</v>
      </c>
      <c r="C97" s="2" t="s">
        <v>1570</v>
      </c>
      <c r="D97" s="2" t="s">
        <v>728</v>
      </c>
      <c r="E97" s="2" t="s">
        <v>1597</v>
      </c>
    </row>
    <row r="98" spans="2:5">
      <c r="B98" s="2" t="s">
        <v>1565</v>
      </c>
      <c r="C98" s="2" t="s">
        <v>1570</v>
      </c>
      <c r="D98" s="2" t="s">
        <v>728</v>
      </c>
      <c r="E98" s="2" t="s">
        <v>745</v>
      </c>
    </row>
    <row r="99" spans="2:5">
      <c r="B99" s="2" t="s">
        <v>1565</v>
      </c>
      <c r="C99" s="2" t="s">
        <v>1570</v>
      </c>
      <c r="D99" s="2" t="s">
        <v>728</v>
      </c>
      <c r="E99" s="2" t="s">
        <v>1598</v>
      </c>
    </row>
    <row r="100" spans="2:5">
      <c r="B100" s="2" t="s">
        <v>1565</v>
      </c>
      <c r="C100" s="2" t="s">
        <v>1570</v>
      </c>
      <c r="D100" s="2" t="s">
        <v>771</v>
      </c>
      <c r="E100" s="2" t="s">
        <v>772</v>
      </c>
    </row>
    <row r="101" spans="2:5">
      <c r="B101" s="2" t="s">
        <v>1565</v>
      </c>
      <c r="C101" s="2" t="s">
        <v>1570</v>
      </c>
      <c r="D101" s="2" t="s">
        <v>771</v>
      </c>
      <c r="E101" s="2" t="s">
        <v>776</v>
      </c>
    </row>
    <row r="102" spans="2:5">
      <c r="B102" s="2" t="s">
        <v>1565</v>
      </c>
      <c r="C102" s="2" t="s">
        <v>1570</v>
      </c>
      <c r="D102" s="2" t="s">
        <v>771</v>
      </c>
      <c r="E102" s="2" t="s">
        <v>779</v>
      </c>
    </row>
    <row r="103" spans="2:5">
      <c r="B103" s="2" t="s">
        <v>1565</v>
      </c>
      <c r="C103" s="2" t="s">
        <v>1570</v>
      </c>
      <c r="D103" s="2" t="s">
        <v>771</v>
      </c>
      <c r="E103" s="2" t="s">
        <v>782</v>
      </c>
    </row>
    <row r="104" spans="2:5">
      <c r="B104" s="2" t="s">
        <v>1565</v>
      </c>
      <c r="C104" s="2" t="s">
        <v>1570</v>
      </c>
      <c r="D104" s="2" t="s">
        <v>771</v>
      </c>
      <c r="E104" s="2" t="s">
        <v>1599</v>
      </c>
    </row>
    <row r="105" spans="2:5">
      <c r="B105" s="2" t="s">
        <v>1565</v>
      </c>
      <c r="C105" s="2" t="s">
        <v>1570</v>
      </c>
      <c r="D105" s="2" t="s">
        <v>771</v>
      </c>
      <c r="E105" s="2" t="s">
        <v>788</v>
      </c>
    </row>
    <row r="106" spans="2:5">
      <c r="B106" s="2" t="s">
        <v>1565</v>
      </c>
      <c r="C106" s="2" t="s">
        <v>1570</v>
      </c>
      <c r="D106" s="2" t="s">
        <v>771</v>
      </c>
      <c r="E106" s="2" t="s">
        <v>1600</v>
      </c>
    </row>
    <row r="107" spans="2:5">
      <c r="B107" s="2" t="s">
        <v>1565</v>
      </c>
      <c r="C107" s="2" t="s">
        <v>306</v>
      </c>
      <c r="D107" s="2" t="s">
        <v>306</v>
      </c>
      <c r="E107" s="2" t="s">
        <v>1601</v>
      </c>
    </row>
    <row r="108" spans="2:5">
      <c r="B108" s="2" t="s">
        <v>1565</v>
      </c>
      <c r="C108" s="2" t="s">
        <v>306</v>
      </c>
      <c r="D108" s="2" t="s">
        <v>306</v>
      </c>
      <c r="E108" s="2" t="s">
        <v>1602</v>
      </c>
    </row>
    <row r="109" spans="2:5">
      <c r="B109" s="2" t="s">
        <v>1565</v>
      </c>
      <c r="C109" s="2" t="s">
        <v>1603</v>
      </c>
      <c r="D109" s="2" t="s">
        <v>1604</v>
      </c>
      <c r="E109" s="2" t="s">
        <v>1483</v>
      </c>
    </row>
    <row r="110" spans="2:5">
      <c r="B110" s="2" t="s">
        <v>1216</v>
      </c>
      <c r="C110" s="2" t="s">
        <v>1605</v>
      </c>
      <c r="D110" s="2" t="s">
        <v>1605</v>
      </c>
      <c r="E110" s="2" t="s">
        <v>1606</v>
      </c>
    </row>
    <row r="111" spans="2:5">
      <c r="B111" s="2" t="s">
        <v>1216</v>
      </c>
      <c r="C111" s="2" t="s">
        <v>1605</v>
      </c>
      <c r="D111" s="2" t="s">
        <v>1605</v>
      </c>
      <c r="E111" s="2" t="s">
        <v>1607</v>
      </c>
    </row>
    <row r="112" spans="2:5">
      <c r="B112" s="2" t="s">
        <v>1216</v>
      </c>
      <c r="C112" s="2" t="s">
        <v>1605</v>
      </c>
      <c r="D112" s="2" t="s">
        <v>1605</v>
      </c>
      <c r="E112" s="2" t="s">
        <v>1608</v>
      </c>
    </row>
    <row r="113" spans="2:5">
      <c r="B113" s="2" t="s">
        <v>1216</v>
      </c>
      <c r="C113" s="2" t="s">
        <v>1605</v>
      </c>
      <c r="D113" s="2" t="s">
        <v>1605</v>
      </c>
      <c r="E113" s="2" t="s">
        <v>1609</v>
      </c>
    </row>
    <row r="114" spans="2:5">
      <c r="B114" s="2" t="s">
        <v>1216</v>
      </c>
      <c r="C114" s="2" t="s">
        <v>1605</v>
      </c>
      <c r="D114" s="2" t="s">
        <v>1605</v>
      </c>
      <c r="E114" s="2" t="s">
        <v>1610</v>
      </c>
    </row>
    <row r="115" spans="2:5">
      <c r="B115" s="2" t="s">
        <v>1216</v>
      </c>
      <c r="C115" s="2" t="s">
        <v>1605</v>
      </c>
      <c r="D115" s="2" t="s">
        <v>1605</v>
      </c>
      <c r="E115" s="2" t="s">
        <v>1600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00_Tong_quan</vt:lpstr>
      <vt:lpstr>01_Functional_Scope</vt:lpstr>
      <vt:lpstr>02_Phan_he</vt:lpstr>
      <vt:lpstr>03_Danh_muc</vt:lpstr>
      <vt:lpstr>04_Thay_doi</vt:lpstr>
      <vt:lpstr>99_Danh_sach_goc</vt:lpstr>
      <vt:lpstr>FSL_Priority</vt:lpstr>
      <vt:lpstr>FSL_Release</vt:lpstr>
      <vt:lpstr>FSL_ScopeStatus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Thái Doãn Phúc (493510)</dc:creator>
  <cp:lastModifiedBy>Thái Doãn Phúc (493510)</cp:lastModifiedBy>
  <dcterms:created xsi:type="dcterms:W3CDTF">2026-07-17T06:53:52Z</dcterms:created>
  <dcterms:modified xsi:type="dcterms:W3CDTF">2026-07-17T06:54:05Z</dcterms:modified>
</cp:coreProperties>
</file>