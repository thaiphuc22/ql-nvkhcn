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uctd7\ql-nvkhcn\outputs\wbs_xlsx_20260717\"/>
    </mc:Choice>
  </mc:AlternateContent>
  <bookViews>
    <workbookView xWindow="0" yWindow="0" windowWidth="21570" windowHeight="10125"/>
  </bookViews>
  <sheets>
    <sheet name="Dashboard" sheetId="7" r:id="rId1"/>
    <sheet name="WBS" sheetId="6" r:id="rId2"/>
    <sheet name="Milestones" sheetId="5" r:id="rId3"/>
    <sheet name="BR Traceability" sheetId="4" r:id="rId4"/>
    <sheet name="Dependencies" sheetId="3" r:id="rId5"/>
    <sheet name="Gates &amp; Decisions" sheetId="2" r:id="rId6"/>
    <sheet name="Lists" sheetId="1" state="hidden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7" l="1"/>
  <c r="E17" i="7"/>
  <c r="E15" i="7"/>
  <c r="E14" i="7"/>
  <c r="E13" i="7"/>
  <c r="E12" i="7"/>
  <c r="E11" i="7"/>
  <c r="B19" i="7"/>
  <c r="B18" i="7"/>
  <c r="B17" i="7"/>
  <c r="B16" i="7"/>
  <c r="B15" i="7"/>
  <c r="B14" i="7"/>
  <c r="B13" i="7"/>
  <c r="B12" i="7"/>
  <c r="B11" i="7"/>
  <c r="G6" i="7"/>
  <c r="D6" i="7"/>
  <c r="A6" i="7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</calcChain>
</file>

<file path=xl/sharedStrings.xml><?xml version="1.0" encoding="utf-8"?>
<sst xmlns="http://schemas.openxmlformats.org/spreadsheetml/2006/main" count="953" uniqueCount="590">
  <si>
    <t>Status</t>
  </si>
  <si>
    <t>Scope</t>
  </si>
  <si>
    <t>Gate Status</t>
  </si>
  <si>
    <t>Roles</t>
  </si>
  <si>
    <t>Not Started</t>
  </si>
  <si>
    <t>In Progress</t>
  </si>
  <si>
    <t>Blocked</t>
  </si>
  <si>
    <t>Done</t>
  </si>
  <si>
    <t>Deferred</t>
  </si>
  <si>
    <t>ALL</t>
  </si>
  <si>
    <t>P1</t>
  </si>
  <si>
    <t>P1 mức B</t>
  </si>
  <si>
    <t>P2</t>
  </si>
  <si>
    <t>OPT-AI</t>
  </si>
  <si>
    <t>Open</t>
  </si>
  <si>
    <t>In Review</t>
  </si>
  <si>
    <t>Approved</t>
  </si>
  <si>
    <t>Rejected</t>
  </si>
  <si>
    <t>Not Applicable</t>
  </si>
  <si>
    <t>Project Manager</t>
  </si>
  <si>
    <t>Business Analyst</t>
  </si>
  <si>
    <t>Product Owner</t>
  </si>
  <si>
    <t>Solution Architect</t>
  </si>
  <si>
    <t>Tech Lead</t>
  </si>
  <si>
    <t>QA Lead</t>
  </si>
  <si>
    <t>Security</t>
  </si>
  <si>
    <t>DevOps</t>
  </si>
  <si>
    <t>Data Owner</t>
  </si>
  <si>
    <t>Integration Owner</t>
  </si>
  <si>
    <t>WORK BREAKDOWN STRUCTURE — PM QLKHCN</t>
  </si>
  <si>
    <t>Các cột Owner, Effort, Duration, Start, Status, % Complete và Notes có thể cập nhật để lập kế hoạch.</t>
  </si>
  <si>
    <t>WBS ID</t>
  </si>
  <si>
    <t>Nhóm WBS</t>
  </si>
  <si>
    <t>Work Package</t>
  </si>
  <si>
    <t>Đầu ra bàn giao</t>
  </si>
  <si>
    <t>Truy vết BR/CAP/RD</t>
  </si>
  <si>
    <t>Phụ thuộc</t>
  </si>
  <si>
    <t>Điều kiện hoàn thành</t>
  </si>
  <si>
    <t>Owner</t>
  </si>
  <si>
    <t>Effort (person-day)</t>
  </si>
  <si>
    <t>Duration (workday)</t>
  </si>
  <si>
    <t>Planned Start</t>
  </si>
  <si>
    <t>Planned Finish</t>
  </si>
  <si>
    <t>% Complete</t>
  </si>
  <si>
    <t>Notes / Evidence</t>
  </si>
  <si>
    <t>1.0 — Quản trị dự án và khóa baseline</t>
  </si>
  <si>
    <t>Khởi động và cơ chế quản trị</t>
  </si>
  <si>
    <t>Project Charter, RACI, lịch họp, kênh báo cáo</t>
  </si>
  <si>
    <t>—</t>
  </si>
  <si>
    <t>Sponsor/PO xác nhận cơ chế quản trị và đầu mối</t>
  </si>
  <si>
    <t>Chốt quyết định nhóm A</t>
  </si>
  <si>
    <t>Biên bản quyết định A1–A7</t>
  </si>
  <si>
    <t>Mỗi mục có quyết định, owner và ngày hiệu lực</t>
  </si>
  <si>
    <t>Chốt quy tắc nghiệp vụ và lỗi nguồn</t>
  </si>
  <si>
    <t>Decision Log cho B1–B9, D1–D6</t>
  </si>
  <si>
    <t>Không còn câu hỏi P0 chặn đặc tả Pha 1</t>
  </si>
  <si>
    <t>Workshop NFR và tuân thủ</t>
  </si>
  <si>
    <t>NFR baseline cho C1–C5; tiêu chí đo</t>
  </si>
  <si>
    <t>Kiến trúc, bảo mật, tải và lưu trữ có ngưỡng được duyệt</t>
  </si>
  <si>
    <t>Khóa phạm vi và truy vết</t>
  </si>
  <si>
    <t>BRD/HLD baseline; scope statement; RTM</t>
  </si>
  <si>
    <t>1.2–1.4</t>
  </si>
  <si>
    <t>BR-001–BR-021 có trạng thái và phạm vi rõ ràng</t>
  </si>
  <si>
    <t>Kế hoạch quản lý chất lượng</t>
  </si>
  <si>
    <t>Quality Plan, review gate, Definition of Done</t>
  </si>
  <si>
    <t>PM, BA, Tech Lead và QA Lead phê duyệt</t>
  </si>
  <si>
    <t>Kế hoạch release và thay đổi</t>
  </si>
  <si>
    <t>Release Plan, Change Control, Configuration Plan</t>
  </si>
  <si>
    <t>Có quy tắc version, rollback và phê duyệt thay đổi</t>
  </si>
  <si>
    <t>Quản lý tiến độ, rủi ro và báo cáo</t>
  </si>
  <si>
    <t>RAID Log, báo cáo định kỳ, biên bản gate</t>
  </si>
  <si>
    <t>Duy trì xuyên suốt; mọi rủi ro P0/P1 có owner</t>
  </si>
  <si>
    <t>2.0 — Phân tích chi tiết và thiết kế</t>
  </si>
  <si>
    <t>Catalogue yêu cầu chi tiết</t>
  </si>
  <si>
    <t>Catalogue REQ-001–REQ-063; cập nhật REQ-064–REQ-068 nếu AI được duyệt</t>
  </si>
  <si>
    <t>BR-001–BR-021</t>
  </si>
  <si>
    <t>Mỗi REQ có nguồn, priority và acceptance criteria</t>
  </si>
  <si>
    <t>Mô hình quy trình và business rules</t>
  </si>
  <si>
    <t>BPMN/flow, rule catalogue, ma trận trạng thái/cột mốc</t>
  </si>
  <si>
    <t>BR-001–BR-003, BR-014</t>
  </si>
  <si>
    <t>1.3, 2.1</t>
  </si>
  <si>
    <t>BA và nghiệp vụ walkthrough, xử lý hết lỗi critical</t>
  </si>
  <si>
    <t>Thiết kế trải nghiệm người dùng</t>
  </si>
  <si>
    <t>Sitemap, wireframe, prototype, UI states</t>
  </si>
  <si>
    <t>BR-004–BR-013, BR-016–BR-018</t>
  </si>
  <si>
    <t>Đại diện sáu nhóm người dùng xác nhận luồng chính</t>
  </si>
  <si>
    <t>Thiết kế eForm và biểu mẫu</t>
  </si>
  <si>
    <t>Form catalogue, data dictionary, validation rules, mapping bước–form</t>
  </si>
  <si>
    <t>BR-004, BR-005, BR-009</t>
  </si>
  <si>
    <t>2.1, 2.2</t>
  </si>
  <si>
    <t>Mỗi bước Pha 1 có form/đầu vào/đầu ra xác định</t>
  </si>
  <si>
    <t>Thiết kế dữ liệu và hồ sơ điện tử</t>
  </si>
  <si>
    <t>Logical data model, metadata, versioning, retention</t>
  </si>
  <si>
    <t>BR-004, BR-006, BR-019</t>
  </si>
  <si>
    <t>1.4, 2.1</t>
  </si>
  <si>
    <t>Data owner và kiến trúc sư phê duyệt</t>
  </si>
  <si>
    <t>Thiết kế định danh và phân quyền</t>
  </si>
  <si>
    <t>Role-permission matrix, SSO/IAM flow, SoD rules</t>
  </si>
  <si>
    <t>BR-007, BR-008, BR-010–BR-013, BR-020</t>
  </si>
  <si>
    <t>1.3, 1.4</t>
  </si>
  <si>
    <t>Bao phủ sáu nhóm người dùng và negative access cases</t>
  </si>
  <si>
    <t>Thiết kế tích hợp</t>
  </si>
  <si>
    <t>Interface catalogue, API/event/file contract, error/retry/reconcile</t>
  </si>
  <si>
    <t>BR-015–BR-018, BR-020</t>
  </si>
  <si>
    <t>Mỗi interface có owner hai phía và môi trường test</t>
  </si>
  <si>
    <t>Thiết kế kiến trúc và triển khai</t>
  </si>
  <si>
    <t>LLD, deployment topology, observability, backup/restore</t>
  </si>
  <si>
    <t>NFR baseline</t>
  </si>
  <si>
    <t>1.4, 2.1, 2.7</t>
  </si>
  <si>
    <t>Architecture Review phê duyệt, không còn issue critical</t>
  </si>
  <si>
    <t>Chiến lược kiểm thử</t>
  </si>
  <si>
    <t>Master Test Plan, test levels, test data, UAT plan</t>
  </si>
  <si>
    <t>Toàn bộ BR/AC</t>
  </si>
  <si>
    <t>1.6, 2.1–2.8</t>
  </si>
  <si>
    <t>QA Lead và PO phê duyệt độ phủ</t>
  </si>
  <si>
    <t>3.0 — Nền tảng và năng lực dùng chung</t>
  </si>
  <si>
    <t>Môi trường và CI/CD</t>
  </si>
  <si>
    <t>Dev/Test/UAT pipeline, quality gate, artifact repository</t>
  </si>
  <si>
    <t>CON/NFR</t>
  </si>
  <si>
    <t>Build, deploy và rollback tự động được kiểm chứng</t>
  </si>
  <si>
    <t>Workflow runtime và cấu hình động</t>
  </si>
  <si>
    <t>Runtime, process deployment, rule/condition execution</t>
  </si>
  <si>
    <t>BR-001, BR-002</t>
  </si>
  <si>
    <t>2.2, 3.1</t>
  </si>
  <si>
    <t>Đạt AC-CAP-01, AC-CAP-02 trên luồng mẫu</t>
  </si>
  <si>
    <t>Quản trị phiên bản quy trình</t>
  </si>
  <si>
    <t>Version lifecycle, effective dates, approval, history</t>
  </si>
  <si>
    <t>BR-003</t>
  </si>
  <si>
    <t>2.2, 3.2</t>
  </si>
  <si>
    <t>Đạt AC-CAP-03</t>
  </si>
  <si>
    <t>Hồ sơ điện tử và data services</t>
  </si>
  <si>
    <t>Case/dossier API, lifecycle, export, cross-stage persistence</t>
  </si>
  <si>
    <t>BR-004</t>
  </si>
  <si>
    <t>2.5, 3.1</t>
  </si>
  <si>
    <t>Đạt AC-CAP-04</t>
  </si>
  <si>
    <t>eForm runtime và form catalogue</t>
  </si>
  <si>
    <t>Form renderer, validation, versioned templates, mapping</t>
  </si>
  <si>
    <t>BR-005</t>
  </si>
  <si>
    <t>2.4, 3.4</t>
  </si>
  <si>
    <t>Đạt AC-CAP-05</t>
  </si>
  <si>
    <t>Quản lý tài liệu và kho lưu trữ</t>
  </si>
  <si>
    <t>Upload/download, metadata, search, Storage connector mẫu</t>
  </si>
  <si>
    <t>BR-006, BR-015</t>
  </si>
  <si>
    <t>2.5, 2.7, 3.4</t>
  </si>
  <si>
    <t>Đạt AC-CAP-06, AC-CAP-15 mức Pha 1</t>
  </si>
  <si>
    <t>My Tasks và work queue</t>
  </si>
  <si>
    <t>Danh sách việc, filter, claim/complete, role filtering</t>
  </si>
  <si>
    <t>BR-007</t>
  </si>
  <si>
    <t>2.3, 2.6, 3.2</t>
  </si>
  <si>
    <t>Đạt AC-CAP-07</t>
  </si>
  <si>
    <t>Ký duyệt và phê duyệt nhiều cấp</t>
  </si>
  <si>
    <t>Approval chain, reject/return, signature evidence</t>
  </si>
  <si>
    <t>BR-008</t>
  </si>
  <si>
    <t>1.2, 2.6, 3.2</t>
  </si>
  <si>
    <t>Đạt AC-CAP-08; hình thức ký theo A2</t>
  </si>
  <si>
    <t>Phiếu nhận xét và đánh giá</t>
  </si>
  <si>
    <t>Phiếu cấu trúc, lưu hồ sơ, xuất tệp</t>
  </si>
  <si>
    <t>BR-009</t>
  </si>
  <si>
    <t>2.4, 3.5</t>
  </si>
  <si>
    <t>Đạt AC-CAP-09</t>
  </si>
  <si>
    <t>Hội đồng động</t>
  </si>
  <si>
    <t>Council decision, membership, two-axis composition</t>
  </si>
  <si>
    <t>BR-010</t>
  </si>
  <si>
    <t>2.6, 3.4</t>
  </si>
  <si>
    <t>Đạt AC-CAP-10</t>
  </si>
  <si>
    <t>Phiên họp và biên bản</t>
  </si>
  <si>
    <t>Session, attendance, minutes, signing</t>
  </si>
  <si>
    <t>BR-011</t>
  </si>
  <si>
    <t>3.8, 3.10</t>
  </si>
  <si>
    <t>Đạt AC-CAP-11</t>
  </si>
  <si>
    <t>Nhập thay cấp Tập đoàn</t>
  </si>
  <si>
    <t>On-behalf-of action, paper reference, evidence</t>
  </si>
  <si>
    <t>BR-012</t>
  </si>
  <si>
    <t>2.6, 3.4, 3.13</t>
  </si>
  <si>
    <t>Đạt AC-CAP-12</t>
  </si>
  <si>
    <t>Audit trail và provenance</t>
  </si>
  <si>
    <t>Immutable audit, query/export, actor/proxy/version data</t>
  </si>
  <si>
    <t>BR-019</t>
  </si>
  <si>
    <t>Đạt AC-CAP-19</t>
  </si>
  <si>
    <t>Ủy quyền</t>
  </si>
  <si>
    <t>Delegate setup, validity, scope, execution evidence</t>
  </si>
  <si>
    <t>BR-013</t>
  </si>
  <si>
    <t>1.3, 2.6, 3.13</t>
  </si>
  <si>
    <t>Đạt AC-CAP-13</t>
  </si>
  <si>
    <t>SSO/IAM và access control</t>
  </si>
  <si>
    <t>SSO, role mapping, authorization enforcement</t>
  </si>
  <si>
    <t>BR-020</t>
  </si>
  <si>
    <t>2.6, 3.1</t>
  </si>
  <si>
    <t>Đạt AC-CAP-20 và negative authorization tests</t>
  </si>
  <si>
    <t>4.0 — Bộ cấu hình nghiệp vụ Pha 1</t>
  </si>
  <si>
    <t>Xét duyệt chủ trương cấp cơ sở</t>
  </si>
  <si>
    <t>Cấu hình RD01.01, form, rule, role, test set</t>
  </si>
  <si>
    <t>RD01.01</t>
  </si>
  <si>
    <t>3.2–3.15 theo nhu cầu</t>
  </si>
  <si>
    <t>Luồng end-to-end đạt UAT</t>
  </si>
  <si>
    <t>Xét duyệt chủ trương cấp Tập đoàn</t>
  </si>
  <si>
    <t>Cấu hình RD01.02, nhập thay, bằng chứng văn bản</t>
  </si>
  <si>
    <t>RD01.02</t>
  </si>
  <si>
    <t>4.1, 3.12</t>
  </si>
  <si>
    <t>Xét duyệt nhiệm vụ cấp cơ sở</t>
  </si>
  <si>
    <t>Cấu hình RD02.01, hồ sơ thuyết minh, hội đồng</t>
  </si>
  <si>
    <t>RD02.01</t>
  </si>
  <si>
    <t>4.1, 3.9–3.11</t>
  </si>
  <si>
    <t>Xét duyệt nhiệm vụ cấp Tập đoàn</t>
  </si>
  <si>
    <t>Cấu hình RD02.02, nhập thay, quyết định</t>
  </si>
  <si>
    <t>RD02.02</t>
  </si>
  <si>
    <t>4.3, 3.12</t>
  </si>
  <si>
    <t>Báo cáo định kỳ/đột xuất</t>
  </si>
  <si>
    <t>Cấu hình RD03.06, dữ liệu nhập tay hoặc nguồn được chốt</t>
  </si>
  <si>
    <t>RD03.06, A3</t>
  </si>
  <si>
    <t>1.2, 3.4, 5.3</t>
  </si>
  <si>
    <t>UAT trên nguồn dữ liệu được PO phê duyệt</t>
  </si>
  <si>
    <t>Nghiệm thu cấp cơ sở</t>
  </si>
  <si>
    <t>Cấu hình RD05.01, hội đồng, phiếu, biên bản</t>
  </si>
  <si>
    <t>RD05.01</t>
  </si>
  <si>
    <t>4.3, 3.9–3.11</t>
  </si>
  <si>
    <t>Nghiệm thu cấp Tập đoàn</t>
  </si>
  <si>
    <t>Cấu hình RD05.02, nhập thay và quyết định</t>
  </si>
  <si>
    <t>RD05.02, D2</t>
  </si>
  <si>
    <t>4.6, 3.12</t>
  </si>
  <si>
    <t>Tên/cấp luồng được chốt và đạt UAT</t>
  </si>
  <si>
    <t>Quyết toán cấp cơ sở</t>
  </si>
  <si>
    <t>Cấu hình RD06.01, hồ sơ và phê duyệt</t>
  </si>
  <si>
    <t>RD06.01, D1</t>
  </si>
  <si>
    <t>4.6, 3.8</t>
  </si>
  <si>
    <t>Tên luồng được chốt và đạt UAT</t>
  </si>
  <si>
    <t>Quyết toán cấp Tập đoàn</t>
  </si>
  <si>
    <t>Cấu hình RD06.02, nhập thay và quyết định</t>
  </si>
  <si>
    <t>RD06.02, D1</t>
  </si>
  <si>
    <t>4.8, 3.12</t>
  </si>
  <si>
    <t>Quản lý sở hữu trí tuệ</t>
  </si>
  <si>
    <t>Cấu hình RD08, hồ sơ SHTT, Storage mapping</t>
  </si>
  <si>
    <t>RD08, A4</t>
  </si>
  <si>
    <t>1.3, 3.6</t>
  </si>
  <si>
    <t>Quy trình chi tiết được duyệt và đạt UAT</t>
  </si>
  <si>
    <t>Lưu trữ hồ sơ, tài liệu và văn bản</t>
  </si>
  <si>
    <t>Cấu hình RD10, form catalogue, process/regulation registry</t>
  </si>
  <si>
    <t>RD10, A4, A5</t>
  </si>
  <si>
    <t>1.3, 3.3, 3.5, 3.6</t>
  </si>
  <si>
    <t>Nội dung quản lý được chốt và đạt UAT</t>
  </si>
  <si>
    <t>Kịch bản xuyên suốt vòng đời</t>
  </si>
  <si>
    <t>Bộ dữ liệu và kịch bản từ chủ trương đến quyết toán/lưu trữ</t>
  </si>
  <si>
    <t>RD01→RD10 P1</t>
  </si>
  <si>
    <t>4.1–4.11</t>
  </si>
  <si>
    <t>Không mất dữ liệu; trace và quyền đúng qua các giai đoạn</t>
  </si>
  <si>
    <t>5.0 — Giám sát và năng lực mức B tại Pha 1</t>
  </si>
  <si>
    <t>Mẫu điều chỉnh/tạm dừng/dừng</t>
  </si>
  <si>
    <t>Luồng mẫu trên bộ cột mốc</t>
  </si>
  <si>
    <t>BR-014, CAP-14</t>
  </si>
  <si>
    <t>3.2, 3.4</t>
  </si>
  <si>
    <t>Đạt AC-CAP-14 bằng dữ liệu mẫu</t>
  </si>
  <si>
    <t>Khung tích hợp phi đồng bộ</t>
  </si>
  <si>
    <t>Worker pattern, retry, DLQ, reconcile, connector framework</t>
  </si>
  <si>
    <t>BR-015, CAP-15</t>
  </si>
  <si>
    <t>2.7, 3.1</t>
  </si>
  <si>
    <t>Storage connector chạy; khung sẵn sàng cho hệ còn lại</t>
  </si>
  <si>
    <t>Bức tranh thực hiện nhiệm vụ</t>
  </si>
  <si>
    <t>View sáu chiều; dữ liệu thật cho cột mốc, mô phỏng cho năm chiều còn lại</t>
  </si>
  <si>
    <t>BR-016, CAP-16</t>
  </si>
  <si>
    <t>3.4, 5.2</t>
  </si>
  <si>
    <t>Đạt AC-CAP-16</t>
  </si>
  <si>
    <t>Cảnh báo</t>
  </si>
  <si>
    <t>Cảnh báo workflow thật; tiến độ/dự toán mô phỏng</t>
  </si>
  <si>
    <t>BR-017, CAP-17</t>
  </si>
  <si>
    <t>Đạt AC-CAP-17</t>
  </si>
  <si>
    <t>Dashboard tổng hợp</t>
  </si>
  <si>
    <t>Tầng 1–2 dữ liệu thật; tầng chi tiết theo dữ liệu 5.3</t>
  </si>
  <si>
    <t>BR-018, CAP-18</t>
  </si>
  <si>
    <t>5.3, 5.4</t>
  </si>
  <si>
    <t>Đạt AC-CAP-18</t>
  </si>
  <si>
    <t>6.0 — Kiểm thử và nghiệm thu Pha 1</t>
  </si>
  <si>
    <t>Unit/component test</t>
  </si>
  <si>
    <t>Automated test suite và coverage report</t>
  </si>
  <si>
    <t>WBS 3.0–5.0</t>
  </si>
  <si>
    <t>Không còn lỗi Sev-1/Sev-2; ngưỡng coverage theo Quality Plan</t>
  </si>
  <si>
    <t>Integration/contract test</t>
  </si>
  <si>
    <t>Contract test cho IAM, Storage, workflow và service boundary</t>
  </si>
  <si>
    <t>3.6, 3.15, 5.2</t>
  </si>
  <si>
    <t>Positive, negative, retry và reconcile đạt</t>
  </si>
  <si>
    <t>System Integration Test</t>
  </si>
  <si>
    <t>SIT suite cho toàn bộ Pha 1</t>
  </si>
  <si>
    <t>Exit criteria trong Master Test Plan đạt</t>
  </si>
  <si>
    <t>Security và privacy test</t>
  </si>
  <si>
    <t>SAST/DAST, authorization, audit, privacy evidence</t>
  </si>
  <si>
    <t>3.13, 3.15, WBS 4.0</t>
  </si>
  <si>
    <t>Không còn lỗ hổng critical/high chưa được chấp nhận</t>
  </si>
  <si>
    <t>Performance và reliability test</t>
  </si>
  <si>
    <t>Load, latency, soak, failover/restore report</t>
  </si>
  <si>
    <t>1.4, 2.8, 6.3</t>
  </si>
  <si>
    <t>Đạt ngưỡng NFR đã duyệt</t>
  </si>
  <si>
    <t>Kiểm thử dữ liệu và báo cáo</t>
  </si>
  <si>
    <t>Reconciliation, dashboard count, export verification</t>
  </si>
  <si>
    <t>4.12, 5.3–5.5</t>
  </si>
  <si>
    <t>Số liệu đối soát đạt tiêu chí đã chốt</t>
  </si>
  <si>
    <t>UAT nghiệp vụ</t>
  </si>
  <si>
    <t>UAT script, evidence, defect log, sign-off</t>
  </si>
  <si>
    <t>6.3–6.6</t>
  </si>
  <si>
    <t>PO và đại diện nghiệp vụ ký nghiệm thu Pha 1</t>
  </si>
  <si>
    <t>Đóng lỗi và regression</t>
  </si>
  <si>
    <t>Regression report, known issues, release candidate</t>
  </si>
  <si>
    <t>Không còn lỗi vượt ngưỡng release</t>
  </si>
  <si>
    <t>7.0 — Triển khai, đào tạo và chuyển giao Pha 1</t>
  </si>
  <si>
    <t>Chuẩn bị hạ tầng Production</t>
  </si>
  <si>
    <t>Hạ tầng, hardening, monitoring, backup</t>
  </si>
  <si>
    <t>2.8, 6.5</t>
  </si>
  <si>
    <t>Production Readiness Review đạt</t>
  </si>
  <si>
    <t>Chuẩn bị dữ liệu và cấu hình</t>
  </si>
  <si>
    <t>Master data, role mapping, process/form version 1.0</t>
  </si>
  <si>
    <t>4.12, 6.8</t>
  </si>
  <si>
    <t>Đối soát dữ liệu và cấu hình được ký xác nhận</t>
  </si>
  <si>
    <t>Tài liệu sử dụng và vận hành</t>
  </si>
  <si>
    <t>User guide, admin guide, runbook, support SOP</t>
  </si>
  <si>
    <t>WBS 3.0–6.0</t>
  </si>
  <si>
    <t>PO, IT vận hành và Support xác nhận</t>
  </si>
  <si>
    <t>Đào tạo</t>
  </si>
  <si>
    <t>Tài liệu và buổi đào tạo theo sáu nhóm người dùng</t>
  </si>
  <si>
    <t>Hoàn tất attendance và đánh giá sau đào tạo</t>
  </si>
  <si>
    <t>Cutover và Go-live</t>
  </si>
  <si>
    <t>Cutover checklist, release, smoke test, rollback plan</t>
  </si>
  <si>
    <t>6.8, 7.1–7.4</t>
  </si>
  <si>
    <t>Go-live gate được phê duyệt; smoke test đạt</t>
  </si>
  <si>
    <t>Hypercare và bàn giao</t>
  </si>
  <si>
    <t>Issue log, SLA handover, lessons learned, closure report</t>
  </si>
  <si>
    <t>Hết thời gian hypercare đã chốt; bàn giao vận hành được ký</t>
  </si>
  <si>
    <t>8.0 — Phạm vi Pha 2</t>
  </si>
  <si>
    <t>Tích hợp Quản lý nhân sự</t>
  </si>
  <si>
    <t>RD03.01/INT-01, mapping và reconcile</t>
  </si>
  <si>
    <t>BR-015, BR-016</t>
  </si>
  <si>
    <t>5.2, hệ đối tác</t>
  </si>
  <si>
    <t>Contract và UAT tích hợp đạt</t>
  </si>
  <si>
    <t>Tích hợp Mua sắm</t>
  </si>
  <si>
    <t>RD03.02/INT-02</t>
  </si>
  <si>
    <t>Tích hợp SAP</t>
  </si>
  <si>
    <t>RD03.03/INT-03</t>
  </si>
  <si>
    <t>Tích hợp Quản lý tài sản</t>
  </si>
  <si>
    <t>RD03.04/INT-04</t>
  </si>
  <si>
    <t>BR-015, BR-016, D3</t>
  </si>
  <si>
    <t>Nội dung D3 chốt; contract/UAT đạt</t>
  </si>
  <si>
    <t>Tích hợp PLM</t>
  </si>
  <si>
    <t>RD03.05/INT-05</t>
  </si>
  <si>
    <t>Mười luồng điều chỉnh</t>
  </si>
  <si>
    <t>RD04.01–RD04.10</t>
  </si>
  <si>
    <t>BR-014, D5</t>
  </si>
  <si>
    <t>5.1, quy tắc đã chốt</t>
  </si>
  <si>
    <t>Tất cả luồng đạt UAT và CAP-14 nghiệm thu đầy đủ</t>
  </si>
  <si>
    <t>Danh mục dịch vụ/sản phẩm nghiên cứu</t>
  </si>
  <si>
    <t>Cấu hình RD07</t>
  </si>
  <si>
    <t>BR-004, BR-006</t>
  </si>
  <si>
    <t>3.4–3.6</t>
  </si>
  <si>
    <t>Luồng và dữ liệu đạt UAT</t>
  </si>
  <si>
    <t>Báo cáo tổng hợp</t>
  </si>
  <si>
    <t>Cấu hình RD09, dashboard và drill-down</t>
  </si>
  <si>
    <t>BR-016–BR-018</t>
  </si>
  <si>
    <t>8.1–8.5</t>
  </si>
  <si>
    <t>Dữ liệu thật đạt ngưỡng freshness và đối soát</t>
  </si>
  <si>
    <t>Nghiệm thu đầy đủ năng lực mức B</t>
  </si>
  <si>
    <t>Evidence CAP-14–CAP-18 bằng dữ liệu thật</t>
  </si>
  <si>
    <t>BR-014–BR-018</t>
  </si>
  <si>
    <t>8.1–8.8</t>
  </si>
  <si>
    <t>AC tương ứng được PO ký nghiệm thu</t>
  </si>
  <si>
    <t>Regression, UAT và release Pha 2</t>
  </si>
  <si>
    <t>Test report, sign-off, production release</t>
  </si>
  <si>
    <t>8.1–8.9</t>
  </si>
  <si>
    <t>Release gate Pha 2 đạt</t>
  </si>
  <si>
    <t>9.0 — AI Agent tùy chọn</t>
  </si>
  <si>
    <t>Chốt phạm vi pilot AI</t>
  </si>
  <si>
    <t>Pilot Charter: luồng, user, use case, KPI, exclusions</t>
  </si>
  <si>
    <t>BR-021, A7</t>
  </si>
  <si>
    <t>PO phê duyệt luồng và ranh giới pilot</t>
  </si>
  <si>
    <t>Quản trị checklist và tri thức</t>
  </si>
  <si>
    <t>Versioned checklist/skill, source catalogue, owner, effective date</t>
  </si>
  <si>
    <t>REQ-064, REQ-065, NFR-010, NFR-012</t>
  </si>
  <si>
    <t>Nguồn có owner, phiên bản và quyền sử dụng</t>
  </si>
  <si>
    <t>Bộ dữ liệu kiểm thử và ngưỡng</t>
  </si>
  <si>
    <t>Approved test set, metric, threshold, evaluator protocol</t>
  </si>
  <si>
    <t>AI-AC-07</t>
  </si>
  <si>
    <t>9.1, 9.2</t>
  </si>
  <si>
    <t>Được ghi trong biên bản trước phát triển</t>
  </si>
  <si>
    <t>Kiến trúc và hạ tầng AI on-premise</t>
  </si>
  <si>
    <t>AI LLD, model serving, capacity, security zones, observability</t>
  </si>
  <si>
    <t>NFR-008, NFR-011</t>
  </si>
  <si>
    <t>1.4, 2.8, 9.1</t>
  </si>
  <si>
    <t>Architecture/Security Review phê duyệt</t>
  </si>
  <si>
    <t>AI Orchestrator và policy boundary</t>
  </si>
  <si>
    <t>Orchestrator, context assembly, authorization contract, no-write policy</t>
  </si>
  <si>
    <t>REQ-067, NFR-009</t>
  </si>
  <si>
    <t>9.2, 9.4, 3.15</t>
  </si>
  <si>
    <t>Không tự cấp quyền, đổi workflow hoặc ghi đè dữ liệu</t>
  </si>
  <si>
    <t>Gợi ý và chuẩn hóa nội dung</t>
  </si>
  <si>
    <t>AI capability cho gợi ý có nguồn/căn cứ</t>
  </si>
  <si>
    <t>REQ-064</t>
  </si>
  <si>
    <t>Đạt phần tương ứng của AI-AC-01, AI-AC-02</t>
  </si>
  <si>
    <t>Soát xét checklist</t>
  </si>
  <si>
    <t>Kết quả đạt/chưa đạt/cần lưu ý theo version</t>
  </si>
  <si>
    <t>REQ-065</t>
  </si>
  <si>
    <t>9.2, 9.5</t>
  </si>
  <si>
    <t>Cảnh báo rủi ro/sai lệch/trùng lặp</t>
  </si>
  <si>
    <t>Structured warnings, severity, evidence</t>
  </si>
  <si>
    <t>REQ-066</t>
  </si>
  <si>
    <t>Cảnh báo không tự chặn hoặc chuyển bước</t>
  </si>
  <si>
    <t>UI kết quả AI và human-in-the-loop</t>
  </si>
  <si>
    <t>Result panel, confirm/edit/reject, state handling</t>
  </si>
  <si>
    <t>REQ-067, REQ-068</t>
  </si>
  <si>
    <t>9.5–9.8</t>
  </si>
  <si>
    <t>Đạt AI-AC-04; nội dung chỉ ghi sau xác nhận</t>
  </si>
  <si>
    <t>Audit người/máy</t>
  </si>
  <si>
    <t>Original result, final decision, model/checklist/source versions</t>
  </si>
  <si>
    <t>REQ-068, NFR-010</t>
  </si>
  <si>
    <t>3.13, 9.9</t>
  </si>
  <si>
    <t>Truy xuất được toàn bộ evidence</t>
  </si>
  <si>
    <t>Kiểm thử quyền và dữ liệu AI</t>
  </si>
  <si>
    <t>Authorization, prompt/context isolation, exfiltration tests</t>
  </si>
  <si>
    <t>NFR-008–NFR-010</t>
  </si>
  <si>
    <t>9.4–9.10</t>
  </si>
  <si>
    <t>Đạt AI-AC-03, AI-AC-06</t>
  </si>
  <si>
    <t>Kiểm thử suy giảm và fallback</t>
  </si>
  <si>
    <t>Timeout, model error, insufficient evidence, manual continuation</t>
  </si>
  <si>
    <t>NFR-011</t>
  </si>
  <si>
    <t>9.5–9.10</t>
  </si>
  <si>
    <t>Đạt AI-AC-05</t>
  </si>
  <si>
    <t>Đánh giá chất lượng offline</t>
  </si>
  <si>
    <t>Evaluation report trên test set được duyệt</t>
  </si>
  <si>
    <t>9.3, 9.6–9.8</t>
  </si>
  <si>
    <t>Đạt ngưỡng đã phê duyệt; có evaluator sign-off</t>
  </si>
  <si>
    <t>Pilot có kiểm soát</t>
  </si>
  <si>
    <t>Pilot release, monitoring, user feedback, incident log</t>
  </si>
  <si>
    <t>BR-021</t>
  </si>
  <si>
    <t>9.11–9.13</t>
  </si>
  <si>
    <t>Đạt AI-AC-01–AI-AC-07 trong phạm vi pilot</t>
  </si>
  <si>
    <t>Quyết định sau pilot</t>
  </si>
  <si>
    <t>Báo cáo Go/Adjust/Stop và backlog cải tiến</t>
  </si>
  <si>
    <t>A7</t>
  </si>
  <si>
    <t>Sponsor/PO quyết định bằng biên bản</t>
  </si>
  <si>
    <t>MILESTONES &amp; QUALITY GATES</t>
  </si>
  <si>
    <t>Milestone</t>
  </si>
  <si>
    <t>Kết quả</t>
  </si>
  <si>
    <t>Work package bắt buộc</t>
  </si>
  <si>
    <t>Planned Date</t>
  </si>
  <si>
    <t>Actual Date</t>
  </si>
  <si>
    <t>Evidence</t>
  </si>
  <si>
    <t>M0 — Scope Ready</t>
  </si>
  <si>
    <t>Các quyết định chặn đã được xử lý</t>
  </si>
  <si>
    <t>1.1–1.5</t>
  </si>
  <si>
    <t>M1 — Design Baseline</t>
  </si>
  <si>
    <t>Yêu cầu, thiết kế, test strategy được duyệt</t>
  </si>
  <si>
    <t>2.1–2.9</t>
  </si>
  <si>
    <t>M2 — Platform Ready</t>
  </si>
  <si>
    <t>Năng lực dùng chung Pha 1 sẵn sàng</t>
  </si>
  <si>
    <t>3.1–3.15</t>
  </si>
  <si>
    <t>M3 — Pha 1 Feature Complete</t>
  </si>
  <si>
    <t>Tất cả cấu hình và năng lực mức B hoàn thành</t>
  </si>
  <si>
    <t>4.1–5.5</t>
  </si>
  <si>
    <t>M4 — Pha 1 UAT Accepted</t>
  </si>
  <si>
    <t>UAT và regression đạt</t>
  </si>
  <si>
    <t>6.1–6.8</t>
  </si>
  <si>
    <t>M5 — Pha 1 Go-live</t>
  </si>
  <si>
    <t>Hệ thống đưa vào vận hành</t>
  </si>
  <si>
    <t>7.1–7.5</t>
  </si>
  <si>
    <t>M6 — Pha 1 Closed</t>
  </si>
  <si>
    <t>Hypercare và bàn giao hoàn tất</t>
  </si>
  <si>
    <t>M7 — Pha 2 Accepted</t>
  </si>
  <si>
    <t>Pha 2 nghiệm thu và release</t>
  </si>
  <si>
    <t>8.1–8.10</t>
  </si>
  <si>
    <t>MAI — AI Pilot Decision</t>
  </si>
  <si>
    <t>Có quyết định Go/Adjust/Stop</t>
  </si>
  <si>
    <t>9.1–9.15</t>
  </si>
  <si>
    <t>BRD → WBS TRACEABILITY</t>
  </si>
  <si>
    <t>BR</t>
  </si>
  <si>
    <t>CAP</t>
  </si>
  <si>
    <t>WBS chịu trách nhiệm chính</t>
  </si>
  <si>
    <t>Ghi chú</t>
  </si>
  <si>
    <t>BR-001</t>
  </si>
  <si>
    <t>CAP-01</t>
  </si>
  <si>
    <t>2.2, 3.2, WBS 4.0</t>
  </si>
  <si>
    <t>Baseline P1</t>
  </si>
  <si>
    <t>BR-002</t>
  </si>
  <si>
    <t>CAP-02</t>
  </si>
  <si>
    <t>CAP-03</t>
  </si>
  <si>
    <t>3.3, 4.11</t>
  </si>
  <si>
    <t>CAP-04</t>
  </si>
  <si>
    <t>3.4, WBS 4.0</t>
  </si>
  <si>
    <t>CAP-05</t>
  </si>
  <si>
    <t>2.4, 3.5, WBS 4.0</t>
  </si>
  <si>
    <t>BR-006</t>
  </si>
  <si>
    <t>CAP-06</t>
  </si>
  <si>
    <t>3.6, 4.10, 4.11</t>
  </si>
  <si>
    <t>CAP-07</t>
  </si>
  <si>
    <t>3.7, WBS 4.0</t>
  </si>
  <si>
    <t>CAP-08</t>
  </si>
  <si>
    <t>3.8, WBS 4.0</t>
  </si>
  <si>
    <t>Phụ thuộc A2</t>
  </si>
  <si>
    <t>CAP-09</t>
  </si>
  <si>
    <t>3.9, 4.3, 4.6</t>
  </si>
  <si>
    <t>CAP-10</t>
  </si>
  <si>
    <t>3.10, 4.3, 4.6</t>
  </si>
  <si>
    <t>CAP-11</t>
  </si>
  <si>
    <t>3.11, 4.3, 4.6</t>
  </si>
  <si>
    <t>CAP-12</t>
  </si>
  <si>
    <t>3.12, các luồng .02</t>
  </si>
  <si>
    <t>CAP-13</t>
  </si>
  <si>
    <t>3.14, WBS 4.0</t>
  </si>
  <si>
    <t>Phụ thuộc B8</t>
  </si>
  <si>
    <t>BR-014</t>
  </si>
  <si>
    <t>CAP-14</t>
  </si>
  <si>
    <t>5.1, 8.6, 8.9</t>
  </si>
  <si>
    <t>Mức B ở P1; đầy đủ ở P2</t>
  </si>
  <si>
    <t>BR-015</t>
  </si>
  <si>
    <t>CAP-15</t>
  </si>
  <si>
    <t>3.6, 5.2, 8.1–8.5</t>
  </si>
  <si>
    <t>Storage P1; hệ vệ tinh P2</t>
  </si>
  <si>
    <t>BR-016</t>
  </si>
  <si>
    <t>CAP-16</t>
  </si>
  <si>
    <t>5.3, 8.1–8.5, 8.9</t>
  </si>
  <si>
    <t>Mô phỏng P1; dữ liệu thật P2</t>
  </si>
  <si>
    <t>BR-017</t>
  </si>
  <si>
    <t>CAP-17</t>
  </si>
  <si>
    <t>5.4, 8.9</t>
  </si>
  <si>
    <t>BR-018</t>
  </si>
  <si>
    <t>CAP-18</t>
  </si>
  <si>
    <t>5.5, 8.8, 8.9</t>
  </si>
  <si>
    <t>Tầng 1–2 thật ở P1</t>
  </si>
  <si>
    <t>CAP-19</t>
  </si>
  <si>
    <t>3.13, 6.4</t>
  </si>
  <si>
    <t>CAP-20</t>
  </si>
  <si>
    <t>2.6, 3.15, 6.4</t>
  </si>
  <si>
    <t>CAP-21</t>
  </si>
  <si>
    <t>WBS 9.0</t>
  </si>
  <si>
    <t>Tùy chọn, ngoài baseline đến khi duyệt A7</t>
  </si>
  <si>
    <t>DEPENDENCIES &amp; BLOCKERS</t>
  </si>
  <si>
    <t>Dependency</t>
  </si>
  <si>
    <t>Chuỗi ảnh hưởng</t>
  </si>
  <si>
    <t>Biện pháp quản trị</t>
  </si>
  <si>
    <t>Evidence / Decision</t>
  </si>
  <si>
    <t>Quyết định A1 về mức tự cấu hình</t>
  </si>
  <si>
    <t>1.2 → 2.2 → 3.2/3.3</t>
  </si>
  <si>
    <t>Chốt trước estimate; nếu chọn T2 phải bổ sung phân hệ Admin và tái baseline WBS</t>
  </si>
  <si>
    <t>Quyết định A2 về ký số</t>
  </si>
  <si>
    <t>1.2 → 2.6 → 3.8 → WBS 4.0</t>
  </si>
  <si>
    <t>Xác định nhà cung cấp/chứng thư và môi trường test trước thiết kế chi tiết</t>
  </si>
  <si>
    <t>Thiếu chi tiết RD08, RD10</t>
  </si>
  <si>
    <t>1.3 → 2.2/2.4 → 4.10/4.11</t>
  </si>
  <si>
    <t>Workshop riêng; không cam kết effort trước sign-off</t>
  </si>
  <si>
    <t>Nguồn dữ liệu RD03.06</t>
  </si>
  <si>
    <t>A3 → 4.5 → 5.3–5.5</t>
  </si>
  <si>
    <t>Chốt nhập tay, kéo tích hợp lên P1 hoặc giảm tiêu chí P1</t>
  </si>
  <si>
    <t>Hệ thống đối tác</t>
  </si>
  <si>
    <t>2.7 → 5.2 → 8.1–8.5</t>
  </si>
  <si>
    <t>Có owner, contract, sandbox và mock server</t>
  </si>
  <si>
    <t>NFR chưa có ngưỡng</t>
  </si>
  <si>
    <t>1.4 → 2.8 → 6.5 → 7.1</t>
  </si>
  <si>
    <t>Chốt trước capacity planning và Production Readiness Review</t>
  </si>
  <si>
    <t>AI on-premise</t>
  </si>
  <si>
    <t>9.1 → 9.4 → 9.5–9.14</t>
  </si>
  <si>
    <t>Tách release train và budget; không làm chặn quy trình lõi</t>
  </si>
  <si>
    <t>GATES &amp; OPEN DECISIONS</t>
  </si>
  <si>
    <t>Gate</t>
  </si>
  <si>
    <t>Nội dung phải chốt</t>
  </si>
  <si>
    <t>Quyết định nguồn</t>
  </si>
  <si>
    <t>Tác động nếu chưa chốt</t>
  </si>
  <si>
    <t>Due Date</t>
  </si>
  <si>
    <t>Decision / Evidence</t>
  </si>
  <si>
    <t>G0-SCOPE</t>
  </si>
  <si>
    <t>Mức tự cấu hình quy trình, hình thức ký, phạm vi Pha 1, nguyên tắc nghiệm thu hai mức</t>
  </si>
  <si>
    <t>A1–A6</t>
  </si>
  <si>
    <t>Không thể khóa solution scope và effort</t>
  </si>
  <si>
    <t>G0-AI</t>
  </si>
  <si>
    <t>Có triển khai AI, luồng pilot, bộ dữ liệu và ngưỡng chất lượng</t>
  </si>
  <si>
    <t>Không đưa WBS 9.0 vào baseline</t>
  </si>
  <si>
    <t>G0-NFR</t>
  </si>
  <si>
    <t>Hạ tầng, bảo mật, tải, lưu trữ, dữ liệu cá nhân</t>
  </si>
  <si>
    <t>C1–C5</t>
  </si>
  <si>
    <t>Không thể size hạ tầng và test phi chức năng</t>
  </si>
  <si>
    <t>G0-DATA</t>
  </si>
  <si>
    <t>Nguồn kế hoạch năm, kho tài liệu, nguồn dữ liệu báo cáo</t>
  </si>
  <si>
    <t>B5, B9, A3</t>
  </si>
  <si>
    <t>Chặn thiết kế dữ liệu và tích hợp</t>
  </si>
  <si>
    <t>G0-PROCESS</t>
  </si>
  <si>
    <t>Quy tắc còn mở và lỗi tài liệu nguồn</t>
  </si>
  <si>
    <t>B1–B8, D1–D6</t>
  </si>
  <si>
    <t>Chặn đặc tả luồng và tiêu chí UAT</t>
  </si>
  <si>
    <t>WBS DASHBOARD — PM QLKHCN</t>
  </si>
  <si>
    <t>Nguồn: wbs_khcn_platform_v1.0.md | Cập nhật các cột editable tại sheet WBS để dashboard tự tính.</t>
  </si>
  <si>
    <t>Tổng work package</t>
  </si>
  <si>
    <t>Hoàn thành</t>
  </si>
  <si>
    <t>Tiến độ trung bình</t>
  </si>
  <si>
    <t>Số work package</t>
  </si>
  <si>
    <t>Trạng thái</t>
  </si>
  <si>
    <t>Số lượng</t>
  </si>
  <si>
    <t>Tổng effort (PD)</t>
  </si>
  <si>
    <t>Gate đang mở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</si>
</sst>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9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6"/>
      <color rgb="FFFFFFFF"/>
      <name val="Aptos"/>
    </font>
    <font>
      <sz val="10"/>
      <color rgb="FF243447"/>
      <name val="Aptos"/>
    </font>
    <font>
      <b/>
      <sz val="15"/>
      <color rgb="FFFFFFFF"/>
      <name val="Aptos"/>
    </font>
    <font>
      <b/>
      <sz val="20"/>
      <color rgb="FFFFFFFF"/>
      <name val="Aptos"/>
    </font>
    <font>
      <b/>
      <sz val="10"/>
      <color theme="1"/>
      <name val="Aptos"/>
    </font>
    <font>
      <b/>
      <sz val="20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0" fontId="5" fillId="2" borderId="0" xfId="0" applyFont="1" applyFill="1" applyAlignment="1">
      <alignment horizontal="center"/>
    </xf>
    <xf numFmtId="165" fontId="1" fillId="0" borderId="0" xfId="0" applyNumberFormat="1" applyFont="1" applyAlignment="1">
      <alignment vertical="top" wrapText="1"/>
    </xf>
    <xf numFmtId="0" fontId="6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9" fontId="8" fillId="5" borderId="0" xfId="0" applyNumberFormat="1" applyFont="1" applyFill="1" applyAlignment="1">
      <alignment horizontal="center"/>
    </xf>
    <xf numFmtId="0" fontId="7" fillId="6" borderId="0" xfId="0" applyFont="1" applyFill="1"/>
    <xf numFmtId="0" fontId="1" fillId="6" borderId="0" xfId="0" applyFont="1" applyFill="1"/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yyyy\-mm\-d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F75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F75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F75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yyyy\-mm\-d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yyyy\-mm\-d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F75B5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3" formatCode="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yyyy\-mm\-dd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yyyy\-mm\-dd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0.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0.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Phân bổ work package theo nhóm WBS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 packages</c:v>
          </c:tx>
          <c:invertIfNegative val="0"/>
          <c:cat>
            <c:numRef>
              <c:f>Dashboard!$A$11:$A$19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Dashboard!$B$11:$B$19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15</c:v>
                </c:pt>
                <c:pt idx="3">
                  <c:v>12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C5-4416-91E9-D520CD44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447088"/>
        <c:axId val="296451352"/>
      </c:barChart>
      <c:catAx>
        <c:axId val="29644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6451352"/>
        <c:crosses val="autoZero"/>
        <c:auto val="1"/>
        <c:lblAlgn val="ctr"/>
        <c:lblOffset val="100"/>
        <c:noMultiLvlLbl val="0"/>
      </c:catAx>
      <c:valAx>
        <c:axId val="29645135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work package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447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13</xdr:col>
      <xdr:colOff>342900</xdr:colOff>
      <xdr:row>30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WBS" displayName="tblWBS" ref="A4:P92" totalsRowShown="0" headerRowDxfId="57" dataDxfId="56">
  <autoFilter ref="A4:P92"/>
  <tableColumns count="16">
    <tableColumn id="1" name="WBS ID" dataDxfId="55"/>
    <tableColumn id="2" name="Nhóm WBS" dataDxfId="54"/>
    <tableColumn id="3" name="Work Package" dataDxfId="53"/>
    <tableColumn id="4" name="Đầu ra bàn giao" dataDxfId="52"/>
    <tableColumn id="5" name="Scope" dataDxfId="51"/>
    <tableColumn id="6" name="Truy vết BR/CAP/RD" dataDxfId="50"/>
    <tableColumn id="7" name="Phụ thuộc" dataDxfId="49"/>
    <tableColumn id="8" name="Điều kiện hoàn thành" dataDxfId="48"/>
    <tableColumn id="9" name="Owner" dataDxfId="47"/>
    <tableColumn id="10" name="Effort (person-day)" dataDxfId="46"/>
    <tableColumn id="11" name="Duration (workday)" dataDxfId="45"/>
    <tableColumn id="12" name="Planned Start" dataDxfId="44"/>
    <tableColumn id="13" name="Planned Finish" dataDxfId="43">
      <calculatedColumnFormula>IF(OR(L5="",K5=""),"",WORKDAY(L5,K5-1))</calculatedColumnFormula>
    </tableColumn>
    <tableColumn id="14" name="Status" dataDxfId="42"/>
    <tableColumn id="15" name="% Complete" dataDxfId="40"/>
    <tableColumn id="16" name="Notes / Evidence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ilestones" displayName="tblMilestones" ref="A3:H12" totalsRowShown="0" headerRowDxfId="36" dataDxfId="32">
  <autoFilter ref="A3:H12"/>
  <tableColumns count="8">
    <tableColumn id="1" name="Milestone" dataDxfId="35"/>
    <tableColumn id="2" name="Kết quả" dataDxfId="34"/>
    <tableColumn id="3" name="Work package bắt buộc" dataDxfId="33"/>
    <tableColumn id="4" name="Owner" dataDxfId="31"/>
    <tableColumn id="5" name="Planned Date" dataDxfId="30"/>
    <tableColumn id="6" name="Status" dataDxfId="29"/>
    <tableColumn id="7" name="Actual Date" dataDxfId="27"/>
    <tableColumn id="8" name="Evidenc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raceability" displayName="tblTraceability" ref="A3:G24" totalsRowShown="0" headerRowDxfId="26" dataDxfId="18">
  <autoFilter ref="A3:G24"/>
  <tableColumns count="7">
    <tableColumn id="1" name="BR" dataDxfId="25"/>
    <tableColumn id="2" name="CAP" dataDxfId="24"/>
    <tableColumn id="3" name="WBS chịu trách nhiệm chính" dataDxfId="23"/>
    <tableColumn id="4" name="Ghi chú" dataDxfId="22"/>
    <tableColumn id="5" name="Owner" dataDxfId="21"/>
    <tableColumn id="6" name="Status" dataDxfId="20"/>
    <tableColumn id="7" name="Evidenc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pendencies" displayName="tblDependencies" ref="A3:F10" totalsRowShown="0" headerRowDxfId="17" dataDxfId="10">
  <autoFilter ref="A3:F10"/>
  <tableColumns count="6">
    <tableColumn id="1" name="Dependency" dataDxfId="16"/>
    <tableColumn id="2" name="Chuỗi ảnh hưởng" dataDxfId="15"/>
    <tableColumn id="3" name="Biện pháp quản trị" dataDxfId="14"/>
    <tableColumn id="4" name="Owner" dataDxfId="13"/>
    <tableColumn id="5" name="Status" dataDxfId="12"/>
    <tableColumn id="6" name="Evidence / Decision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Gates" displayName="tblGates" ref="A3:H8" totalsRowShown="0" headerRowDxfId="9" dataDxfId="3">
  <autoFilter ref="A3:H8"/>
  <tableColumns count="8">
    <tableColumn id="1" name="Gate" dataDxfId="8"/>
    <tableColumn id="2" name="Nội dung phải chốt" dataDxfId="7"/>
    <tableColumn id="3" name="Quyết định nguồn" dataDxfId="6"/>
    <tableColumn id="4" name="Tác động nếu chưa chốt" dataDxfId="5"/>
    <tableColumn id="5" name="Owner" dataDxfId="4"/>
    <tableColumn id="6" name="Status" dataDxfId="2"/>
    <tableColumn id="7" name="Due Date" dataDxfId="0"/>
    <tableColumn id="8" name="Decision / Evide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zoomScale="90" zoomScaleNormal="90" workbookViewId="0">
      <selection sqref="A1:J2"/>
    </sheetView>
  </sheetViews>
  <sheetFormatPr defaultRowHeight="12.75"/>
  <cols>
    <col min="1" max="1" width="20.7109375" style="1" customWidth="1"/>
    <col min="2" max="3" width="12.7109375" style="1" customWidth="1"/>
    <col min="4" max="4" width="22.7109375" style="1" customWidth="1"/>
    <col min="5" max="6" width="12.7109375" style="1" customWidth="1"/>
    <col min="7" max="10" width="14.7109375" style="1" customWidth="1"/>
    <col min="11" max="16384" width="9.140625" style="1"/>
  </cols>
  <sheetData>
    <row r="1" spans="1:10" ht="24" customHeight="1">
      <c r="A1" s="14" t="s">
        <v>580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customHeight="1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ht="24" customHeight="1">
      <c r="A3" s="15" t="s">
        <v>581</v>
      </c>
      <c r="B3" s="15"/>
      <c r="C3" s="15"/>
      <c r="D3" s="15"/>
      <c r="E3" s="15"/>
      <c r="F3" s="15"/>
      <c r="G3" s="15"/>
      <c r="H3" s="15"/>
      <c r="I3" s="15"/>
      <c r="J3" s="15"/>
    </row>
    <row r="5" spans="1:10">
      <c r="A5" s="16" t="s">
        <v>582</v>
      </c>
      <c r="B5" s="16"/>
      <c r="C5" s="16"/>
      <c r="D5" s="16" t="s">
        <v>583</v>
      </c>
      <c r="E5" s="16"/>
      <c r="F5" s="16"/>
      <c r="G5" s="16" t="s">
        <v>584</v>
      </c>
      <c r="H5" s="16"/>
      <c r="I5" s="16"/>
    </row>
    <row r="6" spans="1:10">
      <c r="A6" s="17">
        <f>COUNTA(WBS!A5:A92)</f>
        <v>88</v>
      </c>
      <c r="B6" s="17"/>
      <c r="C6" s="17"/>
      <c r="D6" s="17">
        <f>COUNTIF(WBS!N5:N92,"Done")</f>
        <v>0</v>
      </c>
      <c r="E6" s="17"/>
      <c r="F6" s="17"/>
      <c r="G6" s="18">
        <f>IFERROR(AVERAGE(WBS!O5:O92),0)</f>
        <v>0</v>
      </c>
      <c r="H6" s="17"/>
      <c r="I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</row>
    <row r="10" spans="1:10">
      <c r="A10" s="5" t="s">
        <v>32</v>
      </c>
      <c r="B10" s="5" t="s">
        <v>585</v>
      </c>
      <c r="D10" s="5" t="s">
        <v>586</v>
      </c>
      <c r="E10" s="5" t="s">
        <v>587</v>
      </c>
    </row>
    <row r="11" spans="1:10">
      <c r="A11" s="1">
        <v>1</v>
      </c>
      <c r="B11" s="1">
        <f>COUNTIF(WBS!B5:B92,A11&amp;"*")</f>
        <v>8</v>
      </c>
      <c r="D11" s="1" t="s">
        <v>4</v>
      </c>
      <c r="E11" s="1">
        <f>COUNTIF(WBS!N5:N92,D11)</f>
        <v>88</v>
      </c>
    </row>
    <row r="12" spans="1:10">
      <c r="A12" s="1">
        <v>2</v>
      </c>
      <c r="B12" s="1">
        <f>COUNTIF(WBS!B5:B92,A12&amp;"*")</f>
        <v>9</v>
      </c>
      <c r="D12" s="1" t="s">
        <v>5</v>
      </c>
      <c r="E12" s="1">
        <f>COUNTIF(WBS!N5:N92,D12)</f>
        <v>0</v>
      </c>
    </row>
    <row r="13" spans="1:10">
      <c r="A13" s="1">
        <v>3</v>
      </c>
      <c r="B13" s="1">
        <f>COUNTIF(WBS!B5:B92,A13&amp;"*")</f>
        <v>15</v>
      </c>
      <c r="D13" s="1" t="s">
        <v>6</v>
      </c>
      <c r="E13" s="1">
        <f>COUNTIF(WBS!N5:N92,D13)</f>
        <v>0</v>
      </c>
    </row>
    <row r="14" spans="1:10">
      <c r="A14" s="1">
        <v>4</v>
      </c>
      <c r="B14" s="1">
        <f>COUNTIF(WBS!B5:B92,A14&amp;"*")</f>
        <v>12</v>
      </c>
      <c r="D14" s="1" t="s">
        <v>7</v>
      </c>
      <c r="E14" s="1">
        <f>COUNTIF(WBS!N5:N92,D14)</f>
        <v>0</v>
      </c>
    </row>
    <row r="15" spans="1:10">
      <c r="A15" s="1">
        <v>5</v>
      </c>
      <c r="B15" s="1">
        <f>COUNTIF(WBS!B5:B92,A15&amp;"*")</f>
        <v>5</v>
      </c>
      <c r="D15" s="1" t="s">
        <v>8</v>
      </c>
      <c r="E15" s="1">
        <f>COUNTIF(WBS!N5:N92,D15)</f>
        <v>0</v>
      </c>
    </row>
    <row r="16" spans="1:10">
      <c r="A16" s="1">
        <v>6</v>
      </c>
      <c r="B16" s="1">
        <f>COUNTIF(WBS!B5:B92,A16&amp;"*")</f>
        <v>8</v>
      </c>
    </row>
    <row r="17" spans="1:5">
      <c r="A17" s="1">
        <v>7</v>
      </c>
      <c r="B17" s="1">
        <f>COUNTIF(WBS!B5:B92,A17&amp;"*")</f>
        <v>6</v>
      </c>
      <c r="D17" s="19" t="s">
        <v>588</v>
      </c>
      <c r="E17" s="20">
        <f>SUM(WBS!J5:J92)</f>
        <v>0</v>
      </c>
    </row>
    <row r="18" spans="1:5">
      <c r="A18" s="1">
        <v>8</v>
      </c>
      <c r="B18" s="1">
        <f>COUNTIF(WBS!B5:B92,A18&amp;"*")</f>
        <v>10</v>
      </c>
      <c r="D18" s="19" t="s">
        <v>589</v>
      </c>
      <c r="E18" s="20">
        <f>COUNTIF('Gates &amp; Decisions'!F4:F8,"Open")</f>
        <v>5</v>
      </c>
    </row>
    <row r="19" spans="1:5">
      <c r="A19" s="1">
        <v>9</v>
      </c>
      <c r="B19" s="1">
        <f>COUNTIF(WBS!B5:B92,A19&amp;"*")</f>
        <v>15</v>
      </c>
    </row>
  </sheetData>
  <mergeCells count="8">
    <mergeCell ref="A1:J2"/>
    <mergeCell ref="A3:J3"/>
    <mergeCell ref="A5:C5"/>
    <mergeCell ref="A6:C7"/>
    <mergeCell ref="D5:F5"/>
    <mergeCell ref="D6:F7"/>
    <mergeCell ref="G5:I5"/>
    <mergeCell ref="G6:I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"/>
  <sheetViews>
    <sheetView showGridLines="0"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 sqref="A1:P1"/>
    </sheetView>
  </sheetViews>
  <sheetFormatPr defaultRowHeight="12.75"/>
  <cols>
    <col min="1" max="1" width="9.7109375" style="1" customWidth="1"/>
    <col min="2" max="2" width="26.7109375" style="1" customWidth="1"/>
    <col min="3" max="3" width="28.7109375" style="1" customWidth="1"/>
    <col min="4" max="4" width="38.7109375" style="1" customWidth="1"/>
    <col min="5" max="5" width="12.7109375" style="1" customWidth="1"/>
    <col min="6" max="6" width="22.7109375" style="1" customWidth="1"/>
    <col min="7" max="7" width="20.7109375" style="1" customWidth="1"/>
    <col min="8" max="8" width="38.7109375" style="1" customWidth="1"/>
    <col min="9" max="9" width="20.7109375" style="1" customWidth="1"/>
    <col min="10" max="11" width="15.7109375" style="1" customWidth="1"/>
    <col min="12" max="14" width="14.7109375" style="1" customWidth="1"/>
    <col min="15" max="15" width="12.7109375" style="1" customWidth="1"/>
    <col min="16" max="16" width="28.7109375" style="1" customWidth="1"/>
    <col min="17" max="16384" width="9.140625" style="1"/>
  </cols>
  <sheetData>
    <row r="1" spans="1:16" ht="20.25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4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32.1" customHeight="1">
      <c r="A4" s="6" t="s">
        <v>31</v>
      </c>
      <c r="B4" s="6" t="s">
        <v>32</v>
      </c>
      <c r="C4" s="6" t="s">
        <v>33</v>
      </c>
      <c r="D4" s="6" t="s">
        <v>34</v>
      </c>
      <c r="E4" s="6" t="s">
        <v>1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0</v>
      </c>
      <c r="O4" s="6" t="s">
        <v>43</v>
      </c>
      <c r="P4" s="6" t="s">
        <v>44</v>
      </c>
    </row>
    <row r="5" spans="1:16" ht="38.25">
      <c r="A5" s="7">
        <v>1.1000000000000001</v>
      </c>
      <c r="B5" s="8" t="s">
        <v>45</v>
      </c>
      <c r="C5" s="8" t="s">
        <v>46</v>
      </c>
      <c r="D5" s="8" t="s">
        <v>47</v>
      </c>
      <c r="E5" s="8" t="s">
        <v>9</v>
      </c>
      <c r="F5" s="8"/>
      <c r="G5" s="8" t="s">
        <v>48</v>
      </c>
      <c r="H5" s="8" t="s">
        <v>49</v>
      </c>
      <c r="I5" s="7"/>
      <c r="J5" s="9"/>
      <c r="K5" s="9"/>
      <c r="L5" s="10"/>
      <c r="M5" s="10" t="str">
        <f>IF(OR(L5="",K5=""),"",WORKDAY(L5,K5-1))</f>
        <v/>
      </c>
      <c r="N5" s="7" t="s">
        <v>4</v>
      </c>
      <c r="O5" s="11">
        <v>0</v>
      </c>
      <c r="P5" s="8"/>
    </row>
    <row r="6" spans="1:16" ht="38.25">
      <c r="A6" s="7">
        <v>1.2</v>
      </c>
      <c r="B6" s="8" t="s">
        <v>45</v>
      </c>
      <c r="C6" s="8" t="s">
        <v>50</v>
      </c>
      <c r="D6" s="8" t="s">
        <v>51</v>
      </c>
      <c r="E6" s="8" t="s">
        <v>9</v>
      </c>
      <c r="F6" s="8"/>
      <c r="G6" s="8">
        <v>1.1000000000000001</v>
      </c>
      <c r="H6" s="8" t="s">
        <v>52</v>
      </c>
      <c r="I6" s="7"/>
      <c r="J6" s="9"/>
      <c r="K6" s="9"/>
      <c r="L6" s="10"/>
      <c r="M6" s="10" t="str">
        <f>IF(OR(L6="",K6=""),"",WORKDAY(L6,K6-1))</f>
        <v/>
      </c>
      <c r="N6" s="7" t="s">
        <v>4</v>
      </c>
      <c r="O6" s="11">
        <v>0</v>
      </c>
      <c r="P6" s="8"/>
    </row>
    <row r="7" spans="1:16" ht="38.25">
      <c r="A7" s="7">
        <v>1.3</v>
      </c>
      <c r="B7" s="8" t="s">
        <v>45</v>
      </c>
      <c r="C7" s="8" t="s">
        <v>53</v>
      </c>
      <c r="D7" s="8" t="s">
        <v>54</v>
      </c>
      <c r="E7" s="8" t="s">
        <v>10</v>
      </c>
      <c r="F7" s="8"/>
      <c r="G7" s="8">
        <v>1.1000000000000001</v>
      </c>
      <c r="H7" s="8" t="s">
        <v>55</v>
      </c>
      <c r="I7" s="7"/>
      <c r="J7" s="9"/>
      <c r="K7" s="9"/>
      <c r="L7" s="10"/>
      <c r="M7" s="10" t="str">
        <f>IF(OR(L7="",K7=""),"",WORKDAY(L7,K7-1))</f>
        <v/>
      </c>
      <c r="N7" s="7" t="s">
        <v>4</v>
      </c>
      <c r="O7" s="11">
        <v>0</v>
      </c>
      <c r="P7" s="8"/>
    </row>
    <row r="8" spans="1:16" ht="38.25">
      <c r="A8" s="7">
        <v>1.4</v>
      </c>
      <c r="B8" s="8" t="s">
        <v>45</v>
      </c>
      <c r="C8" s="8" t="s">
        <v>56</v>
      </c>
      <c r="D8" s="8" t="s">
        <v>57</v>
      </c>
      <c r="E8" s="8" t="s">
        <v>9</v>
      </c>
      <c r="F8" s="8"/>
      <c r="G8" s="8">
        <v>1.1000000000000001</v>
      </c>
      <c r="H8" s="8" t="s">
        <v>58</v>
      </c>
      <c r="I8" s="7"/>
      <c r="J8" s="9"/>
      <c r="K8" s="9"/>
      <c r="L8" s="10"/>
      <c r="M8" s="10" t="str">
        <f>IF(OR(L8="",K8=""),"",WORKDAY(L8,K8-1))</f>
        <v/>
      </c>
      <c r="N8" s="7" t="s">
        <v>4</v>
      </c>
      <c r="O8" s="11">
        <v>0</v>
      </c>
      <c r="P8" s="8"/>
    </row>
    <row r="9" spans="1:16" ht="38.25">
      <c r="A9" s="7">
        <v>1.5</v>
      </c>
      <c r="B9" s="8" t="s">
        <v>45</v>
      </c>
      <c r="C9" s="8" t="s">
        <v>59</v>
      </c>
      <c r="D9" s="8" t="s">
        <v>60</v>
      </c>
      <c r="E9" s="8" t="s">
        <v>9</v>
      </c>
      <c r="F9" s="8"/>
      <c r="G9" s="8" t="s">
        <v>61</v>
      </c>
      <c r="H9" s="8" t="s">
        <v>62</v>
      </c>
      <c r="I9" s="7"/>
      <c r="J9" s="9"/>
      <c r="K9" s="9"/>
      <c r="L9" s="10"/>
      <c r="M9" s="10" t="str">
        <f>IF(OR(L9="",K9=""),"",WORKDAY(L9,K9-1))</f>
        <v/>
      </c>
      <c r="N9" s="7" t="s">
        <v>4</v>
      </c>
      <c r="O9" s="11">
        <v>0</v>
      </c>
      <c r="P9" s="8"/>
    </row>
    <row r="10" spans="1:16" ht="38.25">
      <c r="A10" s="7">
        <v>1.6</v>
      </c>
      <c r="B10" s="8" t="s">
        <v>45</v>
      </c>
      <c r="C10" s="8" t="s">
        <v>63</v>
      </c>
      <c r="D10" s="8" t="s">
        <v>64</v>
      </c>
      <c r="E10" s="8" t="s">
        <v>9</v>
      </c>
      <c r="F10" s="8"/>
      <c r="G10" s="8">
        <v>1.5</v>
      </c>
      <c r="H10" s="8" t="s">
        <v>65</v>
      </c>
      <c r="I10" s="7"/>
      <c r="J10" s="9"/>
      <c r="K10" s="9"/>
      <c r="L10" s="10"/>
      <c r="M10" s="10" t="str">
        <f>IF(OR(L10="",K10=""),"",WORKDAY(L10,K10-1))</f>
        <v/>
      </c>
      <c r="N10" s="7" t="s">
        <v>4</v>
      </c>
      <c r="O10" s="11">
        <v>0</v>
      </c>
      <c r="P10" s="8"/>
    </row>
    <row r="11" spans="1:16" ht="38.25">
      <c r="A11" s="7">
        <v>1.7</v>
      </c>
      <c r="B11" s="8" t="s">
        <v>45</v>
      </c>
      <c r="C11" s="8" t="s">
        <v>66</v>
      </c>
      <c r="D11" s="8" t="s">
        <v>67</v>
      </c>
      <c r="E11" s="8" t="s">
        <v>9</v>
      </c>
      <c r="F11" s="8"/>
      <c r="G11" s="8">
        <v>1.5</v>
      </c>
      <c r="H11" s="8" t="s">
        <v>68</v>
      </c>
      <c r="I11" s="7"/>
      <c r="J11" s="9"/>
      <c r="K11" s="9"/>
      <c r="L11" s="10"/>
      <c r="M11" s="10" t="str">
        <f>IF(OR(L11="",K11=""),"",WORKDAY(L11,K11-1))</f>
        <v/>
      </c>
      <c r="N11" s="7" t="s">
        <v>4</v>
      </c>
      <c r="O11" s="11">
        <v>0</v>
      </c>
      <c r="P11" s="8"/>
    </row>
    <row r="12" spans="1:16" ht="38.25">
      <c r="A12" s="7">
        <v>1.8</v>
      </c>
      <c r="B12" s="8" t="s">
        <v>45</v>
      </c>
      <c r="C12" s="8" t="s">
        <v>69</v>
      </c>
      <c r="D12" s="8" t="s">
        <v>70</v>
      </c>
      <c r="E12" s="8" t="s">
        <v>9</v>
      </c>
      <c r="F12" s="8"/>
      <c r="G12" s="8">
        <v>1.1000000000000001</v>
      </c>
      <c r="H12" s="8" t="s">
        <v>71</v>
      </c>
      <c r="I12" s="7"/>
      <c r="J12" s="9"/>
      <c r="K12" s="9"/>
      <c r="L12" s="10"/>
      <c r="M12" s="10" t="str">
        <f>IF(OR(L12="",K12=""),"",WORKDAY(L12,K12-1))</f>
        <v/>
      </c>
      <c r="N12" s="7" t="s">
        <v>4</v>
      </c>
      <c r="O12" s="11">
        <v>0</v>
      </c>
      <c r="P12" s="8"/>
    </row>
    <row r="13" spans="1:16" ht="63.75">
      <c r="A13" s="7">
        <v>2.1</v>
      </c>
      <c r="B13" s="8" t="s">
        <v>72</v>
      </c>
      <c r="C13" s="8" t="s">
        <v>73</v>
      </c>
      <c r="D13" s="8" t="s">
        <v>74</v>
      </c>
      <c r="E13" s="8" t="s">
        <v>9</v>
      </c>
      <c r="F13" s="8" t="s">
        <v>75</v>
      </c>
      <c r="G13" s="8">
        <v>1.5</v>
      </c>
      <c r="H13" s="8" t="s">
        <v>76</v>
      </c>
      <c r="I13" s="7"/>
      <c r="J13" s="9"/>
      <c r="K13" s="9"/>
      <c r="L13" s="10"/>
      <c r="M13" s="10" t="str">
        <f>IF(OR(L13="",K13=""),"",WORKDAY(L13,K13-1))</f>
        <v/>
      </c>
      <c r="N13" s="7" t="s">
        <v>4</v>
      </c>
      <c r="O13" s="11">
        <v>0</v>
      </c>
      <c r="P13" s="8"/>
    </row>
    <row r="14" spans="1:16" ht="38.25">
      <c r="A14" s="7">
        <v>2.2000000000000002</v>
      </c>
      <c r="B14" s="8" t="s">
        <v>72</v>
      </c>
      <c r="C14" s="8" t="s">
        <v>77</v>
      </c>
      <c r="D14" s="8" t="s">
        <v>78</v>
      </c>
      <c r="E14" s="8" t="s">
        <v>10</v>
      </c>
      <c r="F14" s="8" t="s">
        <v>79</v>
      </c>
      <c r="G14" s="8" t="s">
        <v>80</v>
      </c>
      <c r="H14" s="8" t="s">
        <v>81</v>
      </c>
      <c r="I14" s="7"/>
      <c r="J14" s="9"/>
      <c r="K14" s="9"/>
      <c r="L14" s="10"/>
      <c r="M14" s="10" t="str">
        <f>IF(OR(L14="",K14=""),"",WORKDAY(L14,K14-1))</f>
        <v/>
      </c>
      <c r="N14" s="7" t="s">
        <v>4</v>
      </c>
      <c r="O14" s="11">
        <v>0</v>
      </c>
      <c r="P14" s="8"/>
    </row>
    <row r="15" spans="1:16" ht="38.25">
      <c r="A15" s="7">
        <v>2.2999999999999998</v>
      </c>
      <c r="B15" s="8" t="s">
        <v>72</v>
      </c>
      <c r="C15" s="8" t="s">
        <v>82</v>
      </c>
      <c r="D15" s="8" t="s">
        <v>83</v>
      </c>
      <c r="E15" s="8" t="s">
        <v>10</v>
      </c>
      <c r="F15" s="8" t="s">
        <v>84</v>
      </c>
      <c r="G15" s="8">
        <v>2.1</v>
      </c>
      <c r="H15" s="8" t="s">
        <v>85</v>
      </c>
      <c r="I15" s="7"/>
      <c r="J15" s="9"/>
      <c r="K15" s="9"/>
      <c r="L15" s="10"/>
      <c r="M15" s="10" t="str">
        <f>IF(OR(L15="",K15=""),"",WORKDAY(L15,K15-1))</f>
        <v/>
      </c>
      <c r="N15" s="7" t="s">
        <v>4</v>
      </c>
      <c r="O15" s="11">
        <v>0</v>
      </c>
      <c r="P15" s="8"/>
    </row>
    <row r="16" spans="1:16" ht="63.75">
      <c r="A16" s="7">
        <v>2.4</v>
      </c>
      <c r="B16" s="8" t="s">
        <v>72</v>
      </c>
      <c r="C16" s="8" t="s">
        <v>86</v>
      </c>
      <c r="D16" s="8" t="s">
        <v>87</v>
      </c>
      <c r="E16" s="8" t="s">
        <v>10</v>
      </c>
      <c r="F16" s="8" t="s">
        <v>88</v>
      </c>
      <c r="G16" s="8" t="s">
        <v>89</v>
      </c>
      <c r="H16" s="8" t="s">
        <v>90</v>
      </c>
      <c r="I16" s="7"/>
      <c r="J16" s="9"/>
      <c r="K16" s="9"/>
      <c r="L16" s="10"/>
      <c r="M16" s="10" t="str">
        <f>IF(OR(L16="",K16=""),"",WORKDAY(L16,K16-1))</f>
        <v/>
      </c>
      <c r="N16" s="7" t="s">
        <v>4</v>
      </c>
      <c r="O16" s="11">
        <v>0</v>
      </c>
      <c r="P16" s="8"/>
    </row>
    <row r="17" spans="1:16" ht="38.25">
      <c r="A17" s="7">
        <v>2.5</v>
      </c>
      <c r="B17" s="8" t="s">
        <v>72</v>
      </c>
      <c r="C17" s="8" t="s">
        <v>91</v>
      </c>
      <c r="D17" s="8" t="s">
        <v>92</v>
      </c>
      <c r="E17" s="8" t="s">
        <v>10</v>
      </c>
      <c r="F17" s="8" t="s">
        <v>93</v>
      </c>
      <c r="G17" s="8" t="s">
        <v>94</v>
      </c>
      <c r="H17" s="8" t="s">
        <v>95</v>
      </c>
      <c r="I17" s="7"/>
      <c r="J17" s="9"/>
      <c r="K17" s="9"/>
      <c r="L17" s="10"/>
      <c r="M17" s="10" t="str">
        <f>IF(OR(L17="",K17=""),"",WORKDAY(L17,K17-1))</f>
        <v/>
      </c>
      <c r="N17" s="7" t="s">
        <v>4</v>
      </c>
      <c r="O17" s="11">
        <v>0</v>
      </c>
      <c r="P17" s="8"/>
    </row>
    <row r="18" spans="1:16" ht="38.25">
      <c r="A18" s="7">
        <v>2.6</v>
      </c>
      <c r="B18" s="8" t="s">
        <v>72</v>
      </c>
      <c r="C18" s="8" t="s">
        <v>96</v>
      </c>
      <c r="D18" s="8" t="s">
        <v>97</v>
      </c>
      <c r="E18" s="8" t="s">
        <v>10</v>
      </c>
      <c r="F18" s="8" t="s">
        <v>98</v>
      </c>
      <c r="G18" s="8" t="s">
        <v>99</v>
      </c>
      <c r="H18" s="8" t="s">
        <v>100</v>
      </c>
      <c r="I18" s="7"/>
      <c r="J18" s="9"/>
      <c r="K18" s="9"/>
      <c r="L18" s="10"/>
      <c r="M18" s="10" t="str">
        <f>IF(OR(L18="",K18=""),"",WORKDAY(L18,K18-1))</f>
        <v/>
      </c>
      <c r="N18" s="7" t="s">
        <v>4</v>
      </c>
      <c r="O18" s="11">
        <v>0</v>
      </c>
      <c r="P18" s="8"/>
    </row>
    <row r="19" spans="1:16" ht="51">
      <c r="A19" s="7">
        <v>2.7</v>
      </c>
      <c r="B19" s="8" t="s">
        <v>72</v>
      </c>
      <c r="C19" s="8" t="s">
        <v>101</v>
      </c>
      <c r="D19" s="8" t="s">
        <v>102</v>
      </c>
      <c r="E19" s="8" t="s">
        <v>9</v>
      </c>
      <c r="F19" s="8" t="s">
        <v>103</v>
      </c>
      <c r="G19" s="8" t="s">
        <v>94</v>
      </c>
      <c r="H19" s="8" t="s">
        <v>104</v>
      </c>
      <c r="I19" s="7"/>
      <c r="J19" s="9"/>
      <c r="K19" s="9"/>
      <c r="L19" s="10"/>
      <c r="M19" s="10" t="str">
        <f>IF(OR(L19="",K19=""),"",WORKDAY(L19,K19-1))</f>
        <v/>
      </c>
      <c r="N19" s="7" t="s">
        <v>4</v>
      </c>
      <c r="O19" s="11">
        <v>0</v>
      </c>
      <c r="P19" s="8"/>
    </row>
    <row r="20" spans="1:16" ht="51">
      <c r="A20" s="7">
        <v>2.8</v>
      </c>
      <c r="B20" s="8" t="s">
        <v>72</v>
      </c>
      <c r="C20" s="8" t="s">
        <v>105</v>
      </c>
      <c r="D20" s="8" t="s">
        <v>106</v>
      </c>
      <c r="E20" s="8" t="s">
        <v>9</v>
      </c>
      <c r="F20" s="8" t="s">
        <v>107</v>
      </c>
      <c r="G20" s="8" t="s">
        <v>108</v>
      </c>
      <c r="H20" s="8" t="s">
        <v>109</v>
      </c>
      <c r="I20" s="7"/>
      <c r="J20" s="9"/>
      <c r="K20" s="9"/>
      <c r="L20" s="10"/>
      <c r="M20" s="10" t="str">
        <f>IF(OR(L20="",K20=""),"",WORKDAY(L20,K20-1))</f>
        <v/>
      </c>
      <c r="N20" s="7" t="s">
        <v>4</v>
      </c>
      <c r="O20" s="11">
        <v>0</v>
      </c>
      <c r="P20" s="8"/>
    </row>
    <row r="21" spans="1:16" ht="38.25">
      <c r="A21" s="7">
        <v>2.9</v>
      </c>
      <c r="B21" s="8" t="s">
        <v>72</v>
      </c>
      <c r="C21" s="8" t="s">
        <v>110</v>
      </c>
      <c r="D21" s="8" t="s">
        <v>111</v>
      </c>
      <c r="E21" s="8" t="s">
        <v>9</v>
      </c>
      <c r="F21" s="8" t="s">
        <v>112</v>
      </c>
      <c r="G21" s="8" t="s">
        <v>113</v>
      </c>
      <c r="H21" s="8" t="s">
        <v>114</v>
      </c>
      <c r="I21" s="7"/>
      <c r="J21" s="9"/>
      <c r="K21" s="9"/>
      <c r="L21" s="10"/>
      <c r="M21" s="10" t="str">
        <f>IF(OR(L21="",K21=""),"",WORKDAY(L21,K21-1))</f>
        <v/>
      </c>
      <c r="N21" s="7" t="s">
        <v>4</v>
      </c>
      <c r="O21" s="11">
        <v>0</v>
      </c>
      <c r="P21" s="8"/>
    </row>
    <row r="22" spans="1:16" ht="51">
      <c r="A22" s="7">
        <v>3.1</v>
      </c>
      <c r="B22" s="8" t="s">
        <v>115</v>
      </c>
      <c r="C22" s="8" t="s">
        <v>116</v>
      </c>
      <c r="D22" s="8" t="s">
        <v>117</v>
      </c>
      <c r="E22" s="8" t="s">
        <v>10</v>
      </c>
      <c r="F22" s="8" t="s">
        <v>118</v>
      </c>
      <c r="G22" s="8">
        <v>2.8</v>
      </c>
      <c r="H22" s="8" t="s">
        <v>119</v>
      </c>
      <c r="I22" s="7"/>
      <c r="J22" s="9"/>
      <c r="K22" s="9"/>
      <c r="L22" s="10"/>
      <c r="M22" s="10" t="str">
        <f>IF(OR(L22="",K22=""),"",WORKDAY(L22,K22-1))</f>
        <v/>
      </c>
      <c r="N22" s="7" t="s">
        <v>4</v>
      </c>
      <c r="O22" s="11">
        <v>0</v>
      </c>
      <c r="P22" s="8"/>
    </row>
    <row r="23" spans="1:16" ht="51">
      <c r="A23" s="7">
        <v>3.2</v>
      </c>
      <c r="B23" s="8" t="s">
        <v>115</v>
      </c>
      <c r="C23" s="8" t="s">
        <v>120</v>
      </c>
      <c r="D23" s="8" t="s">
        <v>121</v>
      </c>
      <c r="E23" s="8" t="s">
        <v>10</v>
      </c>
      <c r="F23" s="8" t="s">
        <v>122</v>
      </c>
      <c r="G23" s="8" t="s">
        <v>123</v>
      </c>
      <c r="H23" s="8" t="s">
        <v>124</v>
      </c>
      <c r="I23" s="7"/>
      <c r="J23" s="9"/>
      <c r="K23" s="9"/>
      <c r="L23" s="10"/>
      <c r="M23" s="10" t="str">
        <f>IF(OR(L23="",K23=""),"",WORKDAY(L23,K23-1))</f>
        <v/>
      </c>
      <c r="N23" s="7" t="s">
        <v>4</v>
      </c>
      <c r="O23" s="11">
        <v>0</v>
      </c>
      <c r="P23" s="8"/>
    </row>
    <row r="24" spans="1:16" ht="51">
      <c r="A24" s="7">
        <v>3.3</v>
      </c>
      <c r="B24" s="8" t="s">
        <v>115</v>
      </c>
      <c r="C24" s="8" t="s">
        <v>125</v>
      </c>
      <c r="D24" s="8" t="s">
        <v>126</v>
      </c>
      <c r="E24" s="8" t="s">
        <v>10</v>
      </c>
      <c r="F24" s="8" t="s">
        <v>127</v>
      </c>
      <c r="G24" s="8" t="s">
        <v>128</v>
      </c>
      <c r="H24" s="8" t="s">
        <v>129</v>
      </c>
      <c r="I24" s="7"/>
      <c r="J24" s="9"/>
      <c r="K24" s="9"/>
      <c r="L24" s="10"/>
      <c r="M24" s="10" t="str">
        <f>IF(OR(L24="",K24=""),"",WORKDAY(L24,K24-1))</f>
        <v/>
      </c>
      <c r="N24" s="7" t="s">
        <v>4</v>
      </c>
      <c r="O24" s="11">
        <v>0</v>
      </c>
      <c r="P24" s="8"/>
    </row>
    <row r="25" spans="1:16" ht="51">
      <c r="A25" s="7">
        <v>3.4</v>
      </c>
      <c r="B25" s="8" t="s">
        <v>115</v>
      </c>
      <c r="C25" s="8" t="s">
        <v>130</v>
      </c>
      <c r="D25" s="8" t="s">
        <v>131</v>
      </c>
      <c r="E25" s="8" t="s">
        <v>10</v>
      </c>
      <c r="F25" s="8" t="s">
        <v>132</v>
      </c>
      <c r="G25" s="8" t="s">
        <v>133</v>
      </c>
      <c r="H25" s="8" t="s">
        <v>134</v>
      </c>
      <c r="I25" s="7"/>
      <c r="J25" s="9"/>
      <c r="K25" s="9"/>
      <c r="L25" s="10"/>
      <c r="M25" s="10" t="str">
        <f>IF(OR(L25="",K25=""),"",WORKDAY(L25,K25-1))</f>
        <v/>
      </c>
      <c r="N25" s="7" t="s">
        <v>4</v>
      </c>
      <c r="O25" s="11">
        <v>0</v>
      </c>
      <c r="P25" s="8"/>
    </row>
    <row r="26" spans="1:16" ht="51">
      <c r="A26" s="7">
        <v>3.5</v>
      </c>
      <c r="B26" s="8" t="s">
        <v>115</v>
      </c>
      <c r="C26" s="8" t="s">
        <v>135</v>
      </c>
      <c r="D26" s="8" t="s">
        <v>136</v>
      </c>
      <c r="E26" s="8" t="s">
        <v>10</v>
      </c>
      <c r="F26" s="8" t="s">
        <v>137</v>
      </c>
      <c r="G26" s="8" t="s">
        <v>138</v>
      </c>
      <c r="H26" s="8" t="s">
        <v>139</v>
      </c>
      <c r="I26" s="7"/>
      <c r="J26" s="9"/>
      <c r="K26" s="9"/>
      <c r="L26" s="10"/>
      <c r="M26" s="10" t="str">
        <f>IF(OR(L26="",K26=""),"",WORKDAY(L26,K26-1))</f>
        <v/>
      </c>
      <c r="N26" s="7" t="s">
        <v>4</v>
      </c>
      <c r="O26" s="11">
        <v>0</v>
      </c>
      <c r="P26" s="8"/>
    </row>
    <row r="27" spans="1:16" ht="51">
      <c r="A27" s="7">
        <v>3.6</v>
      </c>
      <c r="B27" s="8" t="s">
        <v>115</v>
      </c>
      <c r="C27" s="8" t="s">
        <v>140</v>
      </c>
      <c r="D27" s="8" t="s">
        <v>141</v>
      </c>
      <c r="E27" s="8" t="s">
        <v>10</v>
      </c>
      <c r="F27" s="8" t="s">
        <v>142</v>
      </c>
      <c r="G27" s="8" t="s">
        <v>143</v>
      </c>
      <c r="H27" s="8" t="s">
        <v>144</v>
      </c>
      <c r="I27" s="7"/>
      <c r="J27" s="9"/>
      <c r="K27" s="9"/>
      <c r="L27" s="10"/>
      <c r="M27" s="10" t="str">
        <f>IF(OR(L27="",K27=""),"",WORKDAY(L27,K27-1))</f>
        <v/>
      </c>
      <c r="N27" s="7" t="s">
        <v>4</v>
      </c>
      <c r="O27" s="11">
        <v>0</v>
      </c>
      <c r="P27" s="8"/>
    </row>
    <row r="28" spans="1:16" ht="51">
      <c r="A28" s="7">
        <v>3.7</v>
      </c>
      <c r="B28" s="8" t="s">
        <v>115</v>
      </c>
      <c r="C28" s="8" t="s">
        <v>145</v>
      </c>
      <c r="D28" s="8" t="s">
        <v>146</v>
      </c>
      <c r="E28" s="8" t="s">
        <v>10</v>
      </c>
      <c r="F28" s="8" t="s">
        <v>147</v>
      </c>
      <c r="G28" s="8" t="s">
        <v>148</v>
      </c>
      <c r="H28" s="8" t="s">
        <v>149</v>
      </c>
      <c r="I28" s="7"/>
      <c r="J28" s="9"/>
      <c r="K28" s="9"/>
      <c r="L28" s="10"/>
      <c r="M28" s="10" t="str">
        <f>IF(OR(L28="",K28=""),"",WORKDAY(L28,K28-1))</f>
        <v/>
      </c>
      <c r="N28" s="7" t="s">
        <v>4</v>
      </c>
      <c r="O28" s="11">
        <v>0</v>
      </c>
      <c r="P28" s="8"/>
    </row>
    <row r="29" spans="1:16" ht="51">
      <c r="A29" s="7">
        <v>3.8</v>
      </c>
      <c r="B29" s="8" t="s">
        <v>115</v>
      </c>
      <c r="C29" s="8" t="s">
        <v>150</v>
      </c>
      <c r="D29" s="8" t="s">
        <v>151</v>
      </c>
      <c r="E29" s="8" t="s">
        <v>10</v>
      </c>
      <c r="F29" s="8" t="s">
        <v>152</v>
      </c>
      <c r="G29" s="8" t="s">
        <v>153</v>
      </c>
      <c r="H29" s="8" t="s">
        <v>154</v>
      </c>
      <c r="I29" s="7"/>
      <c r="J29" s="9"/>
      <c r="K29" s="9"/>
      <c r="L29" s="10"/>
      <c r="M29" s="10" t="str">
        <f>IF(OR(L29="",K29=""),"",WORKDAY(L29,K29-1))</f>
        <v/>
      </c>
      <c r="N29" s="7" t="s">
        <v>4</v>
      </c>
      <c r="O29" s="11">
        <v>0</v>
      </c>
      <c r="P29" s="8"/>
    </row>
    <row r="30" spans="1:16" ht="51">
      <c r="A30" s="7">
        <v>3.9</v>
      </c>
      <c r="B30" s="8" t="s">
        <v>115</v>
      </c>
      <c r="C30" s="8" t="s">
        <v>155</v>
      </c>
      <c r="D30" s="8" t="s">
        <v>156</v>
      </c>
      <c r="E30" s="8" t="s">
        <v>10</v>
      </c>
      <c r="F30" s="8" t="s">
        <v>157</v>
      </c>
      <c r="G30" s="8" t="s">
        <v>158</v>
      </c>
      <c r="H30" s="8" t="s">
        <v>159</v>
      </c>
      <c r="I30" s="7"/>
      <c r="J30" s="9"/>
      <c r="K30" s="9"/>
      <c r="L30" s="10"/>
      <c r="M30" s="10" t="str">
        <f>IF(OR(L30="",K30=""),"",WORKDAY(L30,K30-1))</f>
        <v/>
      </c>
      <c r="N30" s="7" t="s">
        <v>4</v>
      </c>
      <c r="O30" s="11">
        <v>0</v>
      </c>
      <c r="P30" s="8"/>
    </row>
    <row r="31" spans="1:16" ht="51">
      <c r="A31" s="7">
        <v>3.1</v>
      </c>
      <c r="B31" s="8" t="s">
        <v>115</v>
      </c>
      <c r="C31" s="8" t="s">
        <v>160</v>
      </c>
      <c r="D31" s="8" t="s">
        <v>161</v>
      </c>
      <c r="E31" s="8" t="s">
        <v>10</v>
      </c>
      <c r="F31" s="8" t="s">
        <v>162</v>
      </c>
      <c r="G31" s="8" t="s">
        <v>163</v>
      </c>
      <c r="H31" s="8" t="s">
        <v>164</v>
      </c>
      <c r="I31" s="7"/>
      <c r="J31" s="9"/>
      <c r="K31" s="9"/>
      <c r="L31" s="10"/>
      <c r="M31" s="10" t="str">
        <f>IF(OR(L31="",K31=""),"",WORKDAY(L31,K31-1))</f>
        <v/>
      </c>
      <c r="N31" s="7" t="s">
        <v>4</v>
      </c>
      <c r="O31" s="11">
        <v>0</v>
      </c>
      <c r="P31" s="8"/>
    </row>
    <row r="32" spans="1:16" ht="51">
      <c r="A32" s="7">
        <v>3.11</v>
      </c>
      <c r="B32" s="8" t="s">
        <v>115</v>
      </c>
      <c r="C32" s="8" t="s">
        <v>165</v>
      </c>
      <c r="D32" s="8" t="s">
        <v>166</v>
      </c>
      <c r="E32" s="8" t="s">
        <v>10</v>
      </c>
      <c r="F32" s="8" t="s">
        <v>167</v>
      </c>
      <c r="G32" s="8" t="s">
        <v>168</v>
      </c>
      <c r="H32" s="8" t="s">
        <v>169</v>
      </c>
      <c r="I32" s="7"/>
      <c r="J32" s="9"/>
      <c r="K32" s="9"/>
      <c r="L32" s="10"/>
      <c r="M32" s="10" t="str">
        <f>IF(OR(L32="",K32=""),"",WORKDAY(L32,K32-1))</f>
        <v/>
      </c>
      <c r="N32" s="7" t="s">
        <v>4</v>
      </c>
      <c r="O32" s="11">
        <v>0</v>
      </c>
      <c r="P32" s="8"/>
    </row>
    <row r="33" spans="1:16" ht="51">
      <c r="A33" s="7">
        <v>3.12</v>
      </c>
      <c r="B33" s="8" t="s">
        <v>115</v>
      </c>
      <c r="C33" s="8" t="s">
        <v>170</v>
      </c>
      <c r="D33" s="8" t="s">
        <v>171</v>
      </c>
      <c r="E33" s="8" t="s">
        <v>10</v>
      </c>
      <c r="F33" s="8" t="s">
        <v>172</v>
      </c>
      <c r="G33" s="8" t="s">
        <v>173</v>
      </c>
      <c r="H33" s="8" t="s">
        <v>174</v>
      </c>
      <c r="I33" s="7"/>
      <c r="J33" s="9"/>
      <c r="K33" s="9"/>
      <c r="L33" s="10"/>
      <c r="M33" s="10" t="str">
        <f>IF(OR(L33="",K33=""),"",WORKDAY(L33,K33-1))</f>
        <v/>
      </c>
      <c r="N33" s="7" t="s">
        <v>4</v>
      </c>
      <c r="O33" s="11">
        <v>0</v>
      </c>
      <c r="P33" s="8"/>
    </row>
    <row r="34" spans="1:16" ht="51">
      <c r="A34" s="7">
        <v>3.13</v>
      </c>
      <c r="B34" s="8" t="s">
        <v>115</v>
      </c>
      <c r="C34" s="8" t="s">
        <v>175</v>
      </c>
      <c r="D34" s="8" t="s">
        <v>176</v>
      </c>
      <c r="E34" s="8" t="s">
        <v>10</v>
      </c>
      <c r="F34" s="8" t="s">
        <v>177</v>
      </c>
      <c r="G34" s="8" t="s">
        <v>133</v>
      </c>
      <c r="H34" s="8" t="s">
        <v>178</v>
      </c>
      <c r="I34" s="7"/>
      <c r="J34" s="9"/>
      <c r="K34" s="9"/>
      <c r="L34" s="10"/>
      <c r="M34" s="10" t="str">
        <f>IF(OR(L34="",K34=""),"",WORKDAY(L34,K34-1))</f>
        <v/>
      </c>
      <c r="N34" s="7" t="s">
        <v>4</v>
      </c>
      <c r="O34" s="11">
        <v>0</v>
      </c>
      <c r="P34" s="8"/>
    </row>
    <row r="35" spans="1:16" ht="51">
      <c r="A35" s="7">
        <v>3.14</v>
      </c>
      <c r="B35" s="8" t="s">
        <v>115</v>
      </c>
      <c r="C35" s="8" t="s">
        <v>179</v>
      </c>
      <c r="D35" s="8" t="s">
        <v>180</v>
      </c>
      <c r="E35" s="8" t="s">
        <v>10</v>
      </c>
      <c r="F35" s="8" t="s">
        <v>181</v>
      </c>
      <c r="G35" s="8" t="s">
        <v>182</v>
      </c>
      <c r="H35" s="8" t="s">
        <v>183</v>
      </c>
      <c r="I35" s="7"/>
      <c r="J35" s="9"/>
      <c r="K35" s="9"/>
      <c r="L35" s="10"/>
      <c r="M35" s="10" t="str">
        <f>IF(OR(L35="",K35=""),"",WORKDAY(L35,K35-1))</f>
        <v/>
      </c>
      <c r="N35" s="7" t="s">
        <v>4</v>
      </c>
      <c r="O35" s="11">
        <v>0</v>
      </c>
      <c r="P35" s="8"/>
    </row>
    <row r="36" spans="1:16" ht="51">
      <c r="A36" s="7">
        <v>3.15</v>
      </c>
      <c r="B36" s="8" t="s">
        <v>115</v>
      </c>
      <c r="C36" s="8" t="s">
        <v>184</v>
      </c>
      <c r="D36" s="8" t="s">
        <v>185</v>
      </c>
      <c r="E36" s="8" t="s">
        <v>10</v>
      </c>
      <c r="F36" s="8" t="s">
        <v>186</v>
      </c>
      <c r="G36" s="8" t="s">
        <v>187</v>
      </c>
      <c r="H36" s="8" t="s">
        <v>188</v>
      </c>
      <c r="I36" s="7"/>
      <c r="J36" s="9"/>
      <c r="K36" s="9"/>
      <c r="L36" s="10"/>
      <c r="M36" s="10" t="str">
        <f>IF(OR(L36="",K36=""),"",WORKDAY(L36,K36-1))</f>
        <v/>
      </c>
      <c r="N36" s="7" t="s">
        <v>4</v>
      </c>
      <c r="O36" s="11">
        <v>0</v>
      </c>
      <c r="P36" s="8"/>
    </row>
    <row r="37" spans="1:16" ht="38.25">
      <c r="A37" s="7">
        <v>4.0999999999999996</v>
      </c>
      <c r="B37" s="8" t="s">
        <v>189</v>
      </c>
      <c r="C37" s="8" t="s">
        <v>190</v>
      </c>
      <c r="D37" s="8" t="s">
        <v>191</v>
      </c>
      <c r="E37" s="8" t="s">
        <v>10</v>
      </c>
      <c r="F37" s="8" t="s">
        <v>192</v>
      </c>
      <c r="G37" s="8" t="s">
        <v>193</v>
      </c>
      <c r="H37" s="8" t="s">
        <v>194</v>
      </c>
      <c r="I37" s="7"/>
      <c r="J37" s="9"/>
      <c r="K37" s="9"/>
      <c r="L37" s="10"/>
      <c r="M37" s="10" t="str">
        <f>IF(OR(L37="",K37=""),"",WORKDAY(L37,K37-1))</f>
        <v/>
      </c>
      <c r="N37" s="7" t="s">
        <v>4</v>
      </c>
      <c r="O37" s="11">
        <v>0</v>
      </c>
      <c r="P37" s="8"/>
    </row>
    <row r="38" spans="1:16" ht="38.25">
      <c r="A38" s="7">
        <v>4.2</v>
      </c>
      <c r="B38" s="8" t="s">
        <v>189</v>
      </c>
      <c r="C38" s="8" t="s">
        <v>195</v>
      </c>
      <c r="D38" s="8" t="s">
        <v>196</v>
      </c>
      <c r="E38" s="8" t="s">
        <v>10</v>
      </c>
      <c r="F38" s="8" t="s">
        <v>197</v>
      </c>
      <c r="G38" s="8" t="s">
        <v>198</v>
      </c>
      <c r="H38" s="8" t="s">
        <v>194</v>
      </c>
      <c r="I38" s="7"/>
      <c r="J38" s="9"/>
      <c r="K38" s="9"/>
      <c r="L38" s="10"/>
      <c r="M38" s="10" t="str">
        <f>IF(OR(L38="",K38=""),"",WORKDAY(L38,K38-1))</f>
        <v/>
      </c>
      <c r="N38" s="7" t="s">
        <v>4</v>
      </c>
      <c r="O38" s="11">
        <v>0</v>
      </c>
      <c r="P38" s="8"/>
    </row>
    <row r="39" spans="1:16" ht="38.25">
      <c r="A39" s="7">
        <v>4.3</v>
      </c>
      <c r="B39" s="8" t="s">
        <v>189</v>
      </c>
      <c r="C39" s="8" t="s">
        <v>199</v>
      </c>
      <c r="D39" s="8" t="s">
        <v>200</v>
      </c>
      <c r="E39" s="8" t="s">
        <v>10</v>
      </c>
      <c r="F39" s="8" t="s">
        <v>201</v>
      </c>
      <c r="G39" s="8" t="s">
        <v>202</v>
      </c>
      <c r="H39" s="8" t="s">
        <v>194</v>
      </c>
      <c r="I39" s="7"/>
      <c r="J39" s="9"/>
      <c r="K39" s="9"/>
      <c r="L39" s="10"/>
      <c r="M39" s="10" t="str">
        <f>IF(OR(L39="",K39=""),"",WORKDAY(L39,K39-1))</f>
        <v/>
      </c>
      <c r="N39" s="7" t="s">
        <v>4</v>
      </c>
      <c r="O39" s="11">
        <v>0</v>
      </c>
      <c r="P39" s="8"/>
    </row>
    <row r="40" spans="1:16" ht="38.25">
      <c r="A40" s="7">
        <v>4.4000000000000004</v>
      </c>
      <c r="B40" s="8" t="s">
        <v>189</v>
      </c>
      <c r="C40" s="8" t="s">
        <v>203</v>
      </c>
      <c r="D40" s="8" t="s">
        <v>204</v>
      </c>
      <c r="E40" s="8" t="s">
        <v>10</v>
      </c>
      <c r="F40" s="8" t="s">
        <v>205</v>
      </c>
      <c r="G40" s="8" t="s">
        <v>206</v>
      </c>
      <c r="H40" s="8" t="s">
        <v>194</v>
      </c>
      <c r="I40" s="7"/>
      <c r="J40" s="9"/>
      <c r="K40" s="9"/>
      <c r="L40" s="10"/>
      <c r="M40" s="10" t="str">
        <f>IF(OR(L40="",K40=""),"",WORKDAY(L40,K40-1))</f>
        <v/>
      </c>
      <c r="N40" s="7" t="s">
        <v>4</v>
      </c>
      <c r="O40" s="11">
        <v>0</v>
      </c>
      <c r="P40" s="8"/>
    </row>
    <row r="41" spans="1:16" ht="51">
      <c r="A41" s="7">
        <v>4.5</v>
      </c>
      <c r="B41" s="8" t="s">
        <v>189</v>
      </c>
      <c r="C41" s="8" t="s">
        <v>207</v>
      </c>
      <c r="D41" s="8" t="s">
        <v>208</v>
      </c>
      <c r="E41" s="8" t="s">
        <v>10</v>
      </c>
      <c r="F41" s="8" t="s">
        <v>209</v>
      </c>
      <c r="G41" s="8" t="s">
        <v>210</v>
      </c>
      <c r="H41" s="8" t="s">
        <v>211</v>
      </c>
      <c r="I41" s="7"/>
      <c r="J41" s="9"/>
      <c r="K41" s="9"/>
      <c r="L41" s="10"/>
      <c r="M41" s="10" t="str">
        <f>IF(OR(L41="",K41=""),"",WORKDAY(L41,K41-1))</f>
        <v/>
      </c>
      <c r="N41" s="7" t="s">
        <v>4</v>
      </c>
      <c r="O41" s="11">
        <v>0</v>
      </c>
      <c r="P41" s="8"/>
    </row>
    <row r="42" spans="1:16" ht="38.25">
      <c r="A42" s="7">
        <v>4.5999999999999996</v>
      </c>
      <c r="B42" s="8" t="s">
        <v>189</v>
      </c>
      <c r="C42" s="8" t="s">
        <v>212</v>
      </c>
      <c r="D42" s="8" t="s">
        <v>213</v>
      </c>
      <c r="E42" s="8" t="s">
        <v>10</v>
      </c>
      <c r="F42" s="8" t="s">
        <v>214</v>
      </c>
      <c r="G42" s="8" t="s">
        <v>215</v>
      </c>
      <c r="H42" s="8" t="s">
        <v>194</v>
      </c>
      <c r="I42" s="7"/>
      <c r="J42" s="9"/>
      <c r="K42" s="9"/>
      <c r="L42" s="10"/>
      <c r="M42" s="10" t="str">
        <f>IF(OR(L42="",K42=""),"",WORKDAY(L42,K42-1))</f>
        <v/>
      </c>
      <c r="N42" s="7" t="s">
        <v>4</v>
      </c>
      <c r="O42" s="11">
        <v>0</v>
      </c>
      <c r="P42" s="8"/>
    </row>
    <row r="43" spans="1:16" ht="38.25">
      <c r="A43" s="7">
        <v>4.7</v>
      </c>
      <c r="B43" s="8" t="s">
        <v>189</v>
      </c>
      <c r="C43" s="8" t="s">
        <v>216</v>
      </c>
      <c r="D43" s="8" t="s">
        <v>217</v>
      </c>
      <c r="E43" s="8" t="s">
        <v>10</v>
      </c>
      <c r="F43" s="8" t="s">
        <v>218</v>
      </c>
      <c r="G43" s="8" t="s">
        <v>219</v>
      </c>
      <c r="H43" s="8" t="s">
        <v>220</v>
      </c>
      <c r="I43" s="7"/>
      <c r="J43" s="9"/>
      <c r="K43" s="9"/>
      <c r="L43" s="10"/>
      <c r="M43" s="10" t="str">
        <f>IF(OR(L43="",K43=""),"",WORKDAY(L43,K43-1))</f>
        <v/>
      </c>
      <c r="N43" s="7" t="s">
        <v>4</v>
      </c>
      <c r="O43" s="11">
        <v>0</v>
      </c>
      <c r="P43" s="8"/>
    </row>
    <row r="44" spans="1:16" ht="38.25">
      <c r="A44" s="7">
        <v>4.8</v>
      </c>
      <c r="B44" s="8" t="s">
        <v>189</v>
      </c>
      <c r="C44" s="8" t="s">
        <v>221</v>
      </c>
      <c r="D44" s="8" t="s">
        <v>222</v>
      </c>
      <c r="E44" s="8" t="s">
        <v>10</v>
      </c>
      <c r="F44" s="8" t="s">
        <v>223</v>
      </c>
      <c r="G44" s="8" t="s">
        <v>224</v>
      </c>
      <c r="H44" s="8" t="s">
        <v>225</v>
      </c>
      <c r="I44" s="7"/>
      <c r="J44" s="9"/>
      <c r="K44" s="9"/>
      <c r="L44" s="10"/>
      <c r="M44" s="10" t="str">
        <f>IF(OR(L44="",K44=""),"",WORKDAY(L44,K44-1))</f>
        <v/>
      </c>
      <c r="N44" s="7" t="s">
        <v>4</v>
      </c>
      <c r="O44" s="11">
        <v>0</v>
      </c>
      <c r="P44" s="8"/>
    </row>
    <row r="45" spans="1:16" ht="38.25">
      <c r="A45" s="7">
        <v>4.9000000000000004</v>
      </c>
      <c r="B45" s="8" t="s">
        <v>189</v>
      </c>
      <c r="C45" s="8" t="s">
        <v>226</v>
      </c>
      <c r="D45" s="8" t="s">
        <v>227</v>
      </c>
      <c r="E45" s="8" t="s">
        <v>10</v>
      </c>
      <c r="F45" s="8" t="s">
        <v>228</v>
      </c>
      <c r="G45" s="8" t="s">
        <v>229</v>
      </c>
      <c r="H45" s="8" t="s">
        <v>194</v>
      </c>
      <c r="I45" s="7"/>
      <c r="J45" s="9"/>
      <c r="K45" s="9"/>
      <c r="L45" s="10"/>
      <c r="M45" s="10" t="str">
        <f>IF(OR(L45="",K45=""),"",WORKDAY(L45,K45-1))</f>
        <v/>
      </c>
      <c r="N45" s="7" t="s">
        <v>4</v>
      </c>
      <c r="O45" s="11">
        <v>0</v>
      </c>
      <c r="P45" s="8"/>
    </row>
    <row r="46" spans="1:16" ht="38.25">
      <c r="A46" s="7">
        <v>4.0999999999999996</v>
      </c>
      <c r="B46" s="8" t="s">
        <v>189</v>
      </c>
      <c r="C46" s="8" t="s">
        <v>230</v>
      </c>
      <c r="D46" s="8" t="s">
        <v>231</v>
      </c>
      <c r="E46" s="8" t="s">
        <v>10</v>
      </c>
      <c r="F46" s="8" t="s">
        <v>232</v>
      </c>
      <c r="G46" s="8" t="s">
        <v>233</v>
      </c>
      <c r="H46" s="8" t="s">
        <v>234</v>
      </c>
      <c r="I46" s="7"/>
      <c r="J46" s="9"/>
      <c r="K46" s="9"/>
      <c r="L46" s="10"/>
      <c r="M46" s="10" t="str">
        <f>IF(OR(L46="",K46=""),"",WORKDAY(L46,K46-1))</f>
        <v/>
      </c>
      <c r="N46" s="7" t="s">
        <v>4</v>
      </c>
      <c r="O46" s="11">
        <v>0</v>
      </c>
      <c r="P46" s="8"/>
    </row>
    <row r="47" spans="1:16" ht="51">
      <c r="A47" s="7">
        <v>4.1100000000000003</v>
      </c>
      <c r="B47" s="8" t="s">
        <v>189</v>
      </c>
      <c r="C47" s="8" t="s">
        <v>235</v>
      </c>
      <c r="D47" s="8" t="s">
        <v>236</v>
      </c>
      <c r="E47" s="8" t="s">
        <v>10</v>
      </c>
      <c r="F47" s="8" t="s">
        <v>237</v>
      </c>
      <c r="G47" s="8" t="s">
        <v>238</v>
      </c>
      <c r="H47" s="8" t="s">
        <v>239</v>
      </c>
      <c r="I47" s="7"/>
      <c r="J47" s="9"/>
      <c r="K47" s="9"/>
      <c r="L47" s="10"/>
      <c r="M47" s="10" t="str">
        <f>IF(OR(L47="",K47=""),"",WORKDAY(L47,K47-1))</f>
        <v/>
      </c>
      <c r="N47" s="7" t="s">
        <v>4</v>
      </c>
      <c r="O47" s="11">
        <v>0</v>
      </c>
      <c r="P47" s="8"/>
    </row>
    <row r="48" spans="1:16" ht="51">
      <c r="A48" s="7">
        <v>4.12</v>
      </c>
      <c r="B48" s="8" t="s">
        <v>189</v>
      </c>
      <c r="C48" s="8" t="s">
        <v>240</v>
      </c>
      <c r="D48" s="8" t="s">
        <v>241</v>
      </c>
      <c r="E48" s="8" t="s">
        <v>10</v>
      </c>
      <c r="F48" s="8" t="s">
        <v>242</v>
      </c>
      <c r="G48" s="8" t="s">
        <v>243</v>
      </c>
      <c r="H48" s="8" t="s">
        <v>244</v>
      </c>
      <c r="I48" s="7"/>
      <c r="J48" s="9"/>
      <c r="K48" s="9"/>
      <c r="L48" s="10"/>
      <c r="M48" s="10" t="str">
        <f>IF(OR(L48="",K48=""),"",WORKDAY(L48,K48-1))</f>
        <v/>
      </c>
      <c r="N48" s="7" t="s">
        <v>4</v>
      </c>
      <c r="O48" s="11">
        <v>0</v>
      </c>
      <c r="P48" s="8"/>
    </row>
    <row r="49" spans="1:16" ht="51">
      <c r="A49" s="7">
        <v>5.0999999999999996</v>
      </c>
      <c r="B49" s="8" t="s">
        <v>245</v>
      </c>
      <c r="C49" s="8" t="s">
        <v>246</v>
      </c>
      <c r="D49" s="8" t="s">
        <v>247</v>
      </c>
      <c r="E49" s="8" t="s">
        <v>11</v>
      </c>
      <c r="F49" s="8" t="s">
        <v>248</v>
      </c>
      <c r="G49" s="8" t="s">
        <v>249</v>
      </c>
      <c r="H49" s="8" t="s">
        <v>250</v>
      </c>
      <c r="I49" s="7"/>
      <c r="J49" s="9"/>
      <c r="K49" s="9"/>
      <c r="L49" s="10"/>
      <c r="M49" s="10" t="str">
        <f>IF(OR(L49="",K49=""),"",WORKDAY(L49,K49-1))</f>
        <v/>
      </c>
      <c r="N49" s="7" t="s">
        <v>4</v>
      </c>
      <c r="O49" s="11">
        <v>0</v>
      </c>
      <c r="P49" s="8"/>
    </row>
    <row r="50" spans="1:16" ht="63.75">
      <c r="A50" s="7">
        <v>5.2</v>
      </c>
      <c r="B50" s="8" t="s">
        <v>245</v>
      </c>
      <c r="C50" s="8" t="s">
        <v>251</v>
      </c>
      <c r="D50" s="8" t="s">
        <v>252</v>
      </c>
      <c r="E50" s="8" t="s">
        <v>11</v>
      </c>
      <c r="F50" s="8" t="s">
        <v>253</v>
      </c>
      <c r="G50" s="8" t="s">
        <v>254</v>
      </c>
      <c r="H50" s="8" t="s">
        <v>255</v>
      </c>
      <c r="I50" s="7"/>
      <c r="J50" s="9"/>
      <c r="K50" s="9"/>
      <c r="L50" s="10"/>
      <c r="M50" s="10" t="str">
        <f>IF(OR(L50="",K50=""),"",WORKDAY(L50,K50-1))</f>
        <v/>
      </c>
      <c r="N50" s="7" t="s">
        <v>4</v>
      </c>
      <c r="O50" s="11">
        <v>0</v>
      </c>
      <c r="P50" s="8"/>
    </row>
    <row r="51" spans="1:16" ht="51">
      <c r="A51" s="7">
        <v>5.3</v>
      </c>
      <c r="B51" s="8" t="s">
        <v>245</v>
      </c>
      <c r="C51" s="8" t="s">
        <v>256</v>
      </c>
      <c r="D51" s="8" t="s">
        <v>257</v>
      </c>
      <c r="E51" s="8" t="s">
        <v>11</v>
      </c>
      <c r="F51" s="8" t="s">
        <v>258</v>
      </c>
      <c r="G51" s="8" t="s">
        <v>259</v>
      </c>
      <c r="H51" s="8" t="s">
        <v>260</v>
      </c>
      <c r="I51" s="7"/>
      <c r="J51" s="9"/>
      <c r="K51" s="9"/>
      <c r="L51" s="10"/>
      <c r="M51" s="10" t="str">
        <f>IF(OR(L51="",K51=""),"",WORKDAY(L51,K51-1))</f>
        <v/>
      </c>
      <c r="N51" s="7" t="s">
        <v>4</v>
      </c>
      <c r="O51" s="11">
        <v>0</v>
      </c>
      <c r="P51" s="8"/>
    </row>
    <row r="52" spans="1:16" ht="51">
      <c r="A52" s="7">
        <v>5.4</v>
      </c>
      <c r="B52" s="8" t="s">
        <v>245</v>
      </c>
      <c r="C52" s="8" t="s">
        <v>261</v>
      </c>
      <c r="D52" s="8" t="s">
        <v>262</v>
      </c>
      <c r="E52" s="8" t="s">
        <v>11</v>
      </c>
      <c r="F52" s="8" t="s">
        <v>263</v>
      </c>
      <c r="G52" s="8">
        <v>5.3</v>
      </c>
      <c r="H52" s="8" t="s">
        <v>264</v>
      </c>
      <c r="I52" s="7"/>
      <c r="J52" s="9"/>
      <c r="K52" s="9"/>
      <c r="L52" s="10"/>
      <c r="M52" s="10" t="str">
        <f>IF(OR(L52="",K52=""),"",WORKDAY(L52,K52-1))</f>
        <v/>
      </c>
      <c r="N52" s="7" t="s">
        <v>4</v>
      </c>
      <c r="O52" s="11">
        <v>0</v>
      </c>
      <c r="P52" s="8"/>
    </row>
    <row r="53" spans="1:16" ht="51">
      <c r="A53" s="7">
        <v>5.5</v>
      </c>
      <c r="B53" s="8" t="s">
        <v>245</v>
      </c>
      <c r="C53" s="8" t="s">
        <v>265</v>
      </c>
      <c r="D53" s="8" t="s">
        <v>266</v>
      </c>
      <c r="E53" s="8" t="s">
        <v>11</v>
      </c>
      <c r="F53" s="8" t="s">
        <v>267</v>
      </c>
      <c r="G53" s="8" t="s">
        <v>268</v>
      </c>
      <c r="H53" s="8" t="s">
        <v>269</v>
      </c>
      <c r="I53" s="7"/>
      <c r="J53" s="9"/>
      <c r="K53" s="9"/>
      <c r="L53" s="10"/>
      <c r="M53" s="10" t="str">
        <f>IF(OR(L53="",K53=""),"",WORKDAY(L53,K53-1))</f>
        <v/>
      </c>
      <c r="N53" s="7" t="s">
        <v>4</v>
      </c>
      <c r="O53" s="11">
        <v>0</v>
      </c>
      <c r="P53" s="8"/>
    </row>
    <row r="54" spans="1:16" ht="38.25">
      <c r="A54" s="7">
        <v>6.1</v>
      </c>
      <c r="B54" s="8" t="s">
        <v>270</v>
      </c>
      <c r="C54" s="8" t="s">
        <v>271</v>
      </c>
      <c r="D54" s="8" t="s">
        <v>272</v>
      </c>
      <c r="E54" s="8" t="s">
        <v>10</v>
      </c>
      <c r="F54" s="8"/>
      <c r="G54" s="8" t="s">
        <v>273</v>
      </c>
      <c r="H54" s="8" t="s">
        <v>274</v>
      </c>
      <c r="I54" s="7"/>
      <c r="J54" s="9"/>
      <c r="K54" s="9"/>
      <c r="L54" s="10"/>
      <c r="M54" s="10" t="str">
        <f>IF(OR(L54="",K54=""),"",WORKDAY(L54,K54-1))</f>
        <v/>
      </c>
      <c r="N54" s="7" t="s">
        <v>4</v>
      </c>
      <c r="O54" s="11">
        <v>0</v>
      </c>
      <c r="P54" s="8"/>
    </row>
    <row r="55" spans="1:16" ht="51">
      <c r="A55" s="7">
        <v>6.2</v>
      </c>
      <c r="B55" s="8" t="s">
        <v>270</v>
      </c>
      <c r="C55" s="8" t="s">
        <v>275</v>
      </c>
      <c r="D55" s="8" t="s">
        <v>276</v>
      </c>
      <c r="E55" s="8" t="s">
        <v>10</v>
      </c>
      <c r="F55" s="8"/>
      <c r="G55" s="8" t="s">
        <v>277</v>
      </c>
      <c r="H55" s="8" t="s">
        <v>278</v>
      </c>
      <c r="I55" s="7"/>
      <c r="J55" s="9"/>
      <c r="K55" s="9"/>
      <c r="L55" s="10"/>
      <c r="M55" s="10" t="str">
        <f>IF(OR(L55="",K55=""),"",WORKDAY(L55,K55-1))</f>
        <v/>
      </c>
      <c r="N55" s="7" t="s">
        <v>4</v>
      </c>
      <c r="O55" s="11">
        <v>0</v>
      </c>
      <c r="P55" s="8"/>
    </row>
    <row r="56" spans="1:16" ht="38.25">
      <c r="A56" s="7">
        <v>6.3</v>
      </c>
      <c r="B56" s="8" t="s">
        <v>270</v>
      </c>
      <c r="C56" s="8" t="s">
        <v>279</v>
      </c>
      <c r="D56" s="8" t="s">
        <v>280</v>
      </c>
      <c r="E56" s="8" t="s">
        <v>10</v>
      </c>
      <c r="F56" s="8"/>
      <c r="G56" s="8" t="s">
        <v>273</v>
      </c>
      <c r="H56" s="8" t="s">
        <v>281</v>
      </c>
      <c r="I56" s="7"/>
      <c r="J56" s="9"/>
      <c r="K56" s="9"/>
      <c r="L56" s="10"/>
      <c r="M56" s="10" t="str">
        <f>IF(OR(L56="",K56=""),"",WORKDAY(L56,K56-1))</f>
        <v/>
      </c>
      <c r="N56" s="7" t="s">
        <v>4</v>
      </c>
      <c r="O56" s="11">
        <v>0</v>
      </c>
      <c r="P56" s="8"/>
    </row>
    <row r="57" spans="1:16" ht="38.25">
      <c r="A57" s="7">
        <v>6.4</v>
      </c>
      <c r="B57" s="8" t="s">
        <v>270</v>
      </c>
      <c r="C57" s="8" t="s">
        <v>282</v>
      </c>
      <c r="D57" s="8" t="s">
        <v>283</v>
      </c>
      <c r="E57" s="8" t="s">
        <v>10</v>
      </c>
      <c r="F57" s="8"/>
      <c r="G57" s="8" t="s">
        <v>284</v>
      </c>
      <c r="H57" s="8" t="s">
        <v>285</v>
      </c>
      <c r="I57" s="7"/>
      <c r="J57" s="9"/>
      <c r="K57" s="9"/>
      <c r="L57" s="10"/>
      <c r="M57" s="10" t="str">
        <f>IF(OR(L57="",K57=""),"",WORKDAY(L57,K57-1))</f>
        <v/>
      </c>
      <c r="N57" s="7" t="s">
        <v>4</v>
      </c>
      <c r="O57" s="11">
        <v>0</v>
      </c>
      <c r="P57" s="8"/>
    </row>
    <row r="58" spans="1:16" ht="51">
      <c r="A58" s="7">
        <v>6.5</v>
      </c>
      <c r="B58" s="8" t="s">
        <v>270</v>
      </c>
      <c r="C58" s="8" t="s">
        <v>286</v>
      </c>
      <c r="D58" s="8" t="s">
        <v>287</v>
      </c>
      <c r="E58" s="8" t="s">
        <v>10</v>
      </c>
      <c r="F58" s="8"/>
      <c r="G58" s="8" t="s">
        <v>288</v>
      </c>
      <c r="H58" s="8" t="s">
        <v>289</v>
      </c>
      <c r="I58" s="7"/>
      <c r="J58" s="9"/>
      <c r="K58" s="9"/>
      <c r="L58" s="10"/>
      <c r="M58" s="10" t="str">
        <f>IF(OR(L58="",K58=""),"",WORKDAY(L58,K58-1))</f>
        <v/>
      </c>
      <c r="N58" s="7" t="s">
        <v>4</v>
      </c>
      <c r="O58" s="11">
        <v>0</v>
      </c>
      <c r="P58" s="8"/>
    </row>
    <row r="59" spans="1:16" ht="38.25">
      <c r="A59" s="7">
        <v>6.6</v>
      </c>
      <c r="B59" s="8" t="s">
        <v>270</v>
      </c>
      <c r="C59" s="8" t="s">
        <v>290</v>
      </c>
      <c r="D59" s="8" t="s">
        <v>291</v>
      </c>
      <c r="E59" s="8" t="s">
        <v>10</v>
      </c>
      <c r="F59" s="8"/>
      <c r="G59" s="8" t="s">
        <v>292</v>
      </c>
      <c r="H59" s="8" t="s">
        <v>293</v>
      </c>
      <c r="I59" s="7"/>
      <c r="J59" s="9"/>
      <c r="K59" s="9"/>
      <c r="L59" s="10"/>
      <c r="M59" s="10" t="str">
        <f>IF(OR(L59="",K59=""),"",WORKDAY(L59,K59-1))</f>
        <v/>
      </c>
      <c r="N59" s="7" t="s">
        <v>4</v>
      </c>
      <c r="O59" s="11">
        <v>0</v>
      </c>
      <c r="P59" s="8"/>
    </row>
    <row r="60" spans="1:16" ht="38.25">
      <c r="A60" s="7">
        <v>6.7</v>
      </c>
      <c r="B60" s="8" t="s">
        <v>270</v>
      </c>
      <c r="C60" s="8" t="s">
        <v>294</v>
      </c>
      <c r="D60" s="8" t="s">
        <v>295</v>
      </c>
      <c r="E60" s="8" t="s">
        <v>10</v>
      </c>
      <c r="F60" s="8"/>
      <c r="G60" s="8" t="s">
        <v>296</v>
      </c>
      <c r="H60" s="8" t="s">
        <v>297</v>
      </c>
      <c r="I60" s="7"/>
      <c r="J60" s="9"/>
      <c r="K60" s="9"/>
      <c r="L60" s="10"/>
      <c r="M60" s="10" t="str">
        <f>IF(OR(L60="",K60=""),"",WORKDAY(L60,K60-1))</f>
        <v/>
      </c>
      <c r="N60" s="7" t="s">
        <v>4</v>
      </c>
      <c r="O60" s="11">
        <v>0</v>
      </c>
      <c r="P60" s="8"/>
    </row>
    <row r="61" spans="1:16" ht="38.25">
      <c r="A61" s="7">
        <v>6.8</v>
      </c>
      <c r="B61" s="8" t="s">
        <v>270</v>
      </c>
      <c r="C61" s="8" t="s">
        <v>298</v>
      </c>
      <c r="D61" s="8" t="s">
        <v>299</v>
      </c>
      <c r="E61" s="8" t="s">
        <v>10</v>
      </c>
      <c r="F61" s="8"/>
      <c r="G61" s="8">
        <v>6.7</v>
      </c>
      <c r="H61" s="8" t="s">
        <v>300</v>
      </c>
      <c r="I61" s="7"/>
      <c r="J61" s="9"/>
      <c r="K61" s="9"/>
      <c r="L61" s="10"/>
      <c r="M61" s="10" t="str">
        <f>IF(OR(L61="",K61=""),"",WORKDAY(L61,K61-1))</f>
        <v/>
      </c>
      <c r="N61" s="7" t="s">
        <v>4</v>
      </c>
      <c r="O61" s="11">
        <v>0</v>
      </c>
      <c r="P61" s="8"/>
    </row>
    <row r="62" spans="1:16" ht="51">
      <c r="A62" s="7">
        <v>7.1</v>
      </c>
      <c r="B62" s="8" t="s">
        <v>301</v>
      </c>
      <c r="C62" s="8" t="s">
        <v>302</v>
      </c>
      <c r="D62" s="8" t="s">
        <v>303</v>
      </c>
      <c r="E62" s="8" t="s">
        <v>10</v>
      </c>
      <c r="F62" s="8"/>
      <c r="G62" s="8" t="s">
        <v>304</v>
      </c>
      <c r="H62" s="8" t="s">
        <v>305</v>
      </c>
      <c r="I62" s="7"/>
      <c r="J62" s="9"/>
      <c r="K62" s="9"/>
      <c r="L62" s="10"/>
      <c r="M62" s="10" t="str">
        <f>IF(OR(L62="",K62=""),"",WORKDAY(L62,K62-1))</f>
        <v/>
      </c>
      <c r="N62" s="7" t="s">
        <v>4</v>
      </c>
      <c r="O62" s="11">
        <v>0</v>
      </c>
      <c r="P62" s="8"/>
    </row>
    <row r="63" spans="1:16" ht="51">
      <c r="A63" s="7">
        <v>7.2</v>
      </c>
      <c r="B63" s="8" t="s">
        <v>301</v>
      </c>
      <c r="C63" s="8" t="s">
        <v>306</v>
      </c>
      <c r="D63" s="8" t="s">
        <v>307</v>
      </c>
      <c r="E63" s="8" t="s">
        <v>10</v>
      </c>
      <c r="F63" s="8"/>
      <c r="G63" s="8" t="s">
        <v>308</v>
      </c>
      <c r="H63" s="8" t="s">
        <v>309</v>
      </c>
      <c r="I63" s="7"/>
      <c r="J63" s="9"/>
      <c r="K63" s="9"/>
      <c r="L63" s="10"/>
      <c r="M63" s="10" t="str">
        <f>IF(OR(L63="",K63=""),"",WORKDAY(L63,K63-1))</f>
        <v/>
      </c>
      <c r="N63" s="7" t="s">
        <v>4</v>
      </c>
      <c r="O63" s="11">
        <v>0</v>
      </c>
      <c r="P63" s="8"/>
    </row>
    <row r="64" spans="1:16" ht="51">
      <c r="A64" s="7">
        <v>7.3</v>
      </c>
      <c r="B64" s="8" t="s">
        <v>301</v>
      </c>
      <c r="C64" s="8" t="s">
        <v>310</v>
      </c>
      <c r="D64" s="8" t="s">
        <v>311</v>
      </c>
      <c r="E64" s="8" t="s">
        <v>10</v>
      </c>
      <c r="F64" s="8"/>
      <c r="G64" s="8" t="s">
        <v>312</v>
      </c>
      <c r="H64" s="8" t="s">
        <v>313</v>
      </c>
      <c r="I64" s="7"/>
      <c r="J64" s="9"/>
      <c r="K64" s="9"/>
      <c r="L64" s="10"/>
      <c r="M64" s="10" t="str">
        <f>IF(OR(L64="",K64=""),"",WORKDAY(L64,K64-1))</f>
        <v/>
      </c>
      <c r="N64" s="7" t="s">
        <v>4</v>
      </c>
      <c r="O64" s="11">
        <v>0</v>
      </c>
      <c r="P64" s="8"/>
    </row>
    <row r="65" spans="1:16" ht="51">
      <c r="A65" s="7">
        <v>7.4</v>
      </c>
      <c r="B65" s="8" t="s">
        <v>301</v>
      </c>
      <c r="C65" s="8" t="s">
        <v>314</v>
      </c>
      <c r="D65" s="8" t="s">
        <v>315</v>
      </c>
      <c r="E65" s="8" t="s">
        <v>10</v>
      </c>
      <c r="F65" s="8"/>
      <c r="G65" s="8">
        <v>7.3</v>
      </c>
      <c r="H65" s="8" t="s">
        <v>316</v>
      </c>
      <c r="I65" s="7"/>
      <c r="J65" s="9"/>
      <c r="K65" s="9"/>
      <c r="L65" s="10"/>
      <c r="M65" s="10" t="str">
        <f>IF(OR(L65="",K65=""),"",WORKDAY(L65,K65-1))</f>
        <v/>
      </c>
      <c r="N65" s="7" t="s">
        <v>4</v>
      </c>
      <c r="O65" s="11">
        <v>0</v>
      </c>
      <c r="P65" s="8"/>
    </row>
    <row r="66" spans="1:16" ht="51">
      <c r="A66" s="7">
        <v>7.5</v>
      </c>
      <c r="B66" s="8" t="s">
        <v>301</v>
      </c>
      <c r="C66" s="8" t="s">
        <v>317</v>
      </c>
      <c r="D66" s="8" t="s">
        <v>318</v>
      </c>
      <c r="E66" s="8" t="s">
        <v>10</v>
      </c>
      <c r="F66" s="8"/>
      <c r="G66" s="8" t="s">
        <v>319</v>
      </c>
      <c r="H66" s="8" t="s">
        <v>320</v>
      </c>
      <c r="I66" s="7"/>
      <c r="J66" s="9"/>
      <c r="K66" s="9"/>
      <c r="L66" s="10"/>
      <c r="M66" s="10" t="str">
        <f>IF(OR(L66="",K66=""),"",WORKDAY(L66,K66-1))</f>
        <v/>
      </c>
      <c r="N66" s="7" t="s">
        <v>4</v>
      </c>
      <c r="O66" s="11">
        <v>0</v>
      </c>
      <c r="P66" s="8"/>
    </row>
    <row r="67" spans="1:16" ht="51">
      <c r="A67" s="7">
        <v>7.6</v>
      </c>
      <c r="B67" s="8" t="s">
        <v>301</v>
      </c>
      <c r="C67" s="8" t="s">
        <v>321</v>
      </c>
      <c r="D67" s="8" t="s">
        <v>322</v>
      </c>
      <c r="E67" s="8" t="s">
        <v>10</v>
      </c>
      <c r="F67" s="8"/>
      <c r="G67" s="8">
        <v>7.5</v>
      </c>
      <c r="H67" s="8" t="s">
        <v>323</v>
      </c>
      <c r="I67" s="7"/>
      <c r="J67" s="9"/>
      <c r="K67" s="9"/>
      <c r="L67" s="10"/>
      <c r="M67" s="10" t="str">
        <f>IF(OR(L67="",K67=""),"",WORKDAY(L67,K67-1))</f>
        <v/>
      </c>
      <c r="N67" s="7" t="s">
        <v>4</v>
      </c>
      <c r="O67" s="11">
        <v>0</v>
      </c>
      <c r="P67" s="8"/>
    </row>
    <row r="68" spans="1:16" ht="38.25">
      <c r="A68" s="7">
        <v>8.1</v>
      </c>
      <c r="B68" s="8" t="s">
        <v>324</v>
      </c>
      <c r="C68" s="8" t="s">
        <v>325</v>
      </c>
      <c r="D68" s="8" t="s">
        <v>326</v>
      </c>
      <c r="E68" s="8" t="s">
        <v>12</v>
      </c>
      <c r="F68" s="8" t="s">
        <v>327</v>
      </c>
      <c r="G68" s="8" t="s">
        <v>328</v>
      </c>
      <c r="H68" s="8" t="s">
        <v>329</v>
      </c>
      <c r="I68" s="7"/>
      <c r="J68" s="9"/>
      <c r="K68" s="9"/>
      <c r="L68" s="10"/>
      <c r="M68" s="10" t="str">
        <f>IF(OR(L68="",K68=""),"",WORKDAY(L68,K68-1))</f>
        <v/>
      </c>
      <c r="N68" s="7" t="s">
        <v>4</v>
      </c>
      <c r="O68" s="11">
        <v>0</v>
      </c>
      <c r="P68" s="8"/>
    </row>
    <row r="69" spans="1:16" ht="25.5">
      <c r="A69" s="7">
        <v>8.1999999999999993</v>
      </c>
      <c r="B69" s="8" t="s">
        <v>324</v>
      </c>
      <c r="C69" s="8" t="s">
        <v>330</v>
      </c>
      <c r="D69" s="8" t="s">
        <v>331</v>
      </c>
      <c r="E69" s="8" t="s">
        <v>12</v>
      </c>
      <c r="F69" s="8" t="s">
        <v>327</v>
      </c>
      <c r="G69" s="8" t="s">
        <v>328</v>
      </c>
      <c r="H69" s="8" t="s">
        <v>329</v>
      </c>
      <c r="I69" s="7"/>
      <c r="J69" s="9"/>
      <c r="K69" s="9"/>
      <c r="L69" s="10"/>
      <c r="M69" s="10" t="str">
        <f>IF(OR(L69="",K69=""),"",WORKDAY(L69,K69-1))</f>
        <v/>
      </c>
      <c r="N69" s="7" t="s">
        <v>4</v>
      </c>
      <c r="O69" s="11">
        <v>0</v>
      </c>
      <c r="P69" s="8"/>
    </row>
    <row r="70" spans="1:16" ht="25.5">
      <c r="A70" s="7">
        <v>8.3000000000000007</v>
      </c>
      <c r="B70" s="8" t="s">
        <v>324</v>
      </c>
      <c r="C70" s="8" t="s">
        <v>332</v>
      </c>
      <c r="D70" s="8" t="s">
        <v>333</v>
      </c>
      <c r="E70" s="8" t="s">
        <v>12</v>
      </c>
      <c r="F70" s="8" t="s">
        <v>327</v>
      </c>
      <c r="G70" s="8" t="s">
        <v>328</v>
      </c>
      <c r="H70" s="8" t="s">
        <v>329</v>
      </c>
      <c r="I70" s="7"/>
      <c r="J70" s="9"/>
      <c r="K70" s="9"/>
      <c r="L70" s="10"/>
      <c r="M70" s="10" t="str">
        <f>IF(OR(L70="",K70=""),"",WORKDAY(L70,K70-1))</f>
        <v/>
      </c>
      <c r="N70" s="7" t="s">
        <v>4</v>
      </c>
      <c r="O70" s="11">
        <v>0</v>
      </c>
      <c r="P70" s="8"/>
    </row>
    <row r="71" spans="1:16" ht="25.5">
      <c r="A71" s="7">
        <v>8.4</v>
      </c>
      <c r="B71" s="8" t="s">
        <v>324</v>
      </c>
      <c r="C71" s="8" t="s">
        <v>334</v>
      </c>
      <c r="D71" s="8" t="s">
        <v>335</v>
      </c>
      <c r="E71" s="8" t="s">
        <v>12</v>
      </c>
      <c r="F71" s="8" t="s">
        <v>336</v>
      </c>
      <c r="G71" s="8" t="s">
        <v>328</v>
      </c>
      <c r="H71" s="8" t="s">
        <v>337</v>
      </c>
      <c r="I71" s="7"/>
      <c r="J71" s="9"/>
      <c r="K71" s="9"/>
      <c r="L71" s="10"/>
      <c r="M71" s="10" t="str">
        <f>IF(OR(L71="",K71=""),"",WORKDAY(L71,K71-1))</f>
        <v/>
      </c>
      <c r="N71" s="7" t="s">
        <v>4</v>
      </c>
      <c r="O71" s="11">
        <v>0</v>
      </c>
      <c r="P71" s="8"/>
    </row>
    <row r="72" spans="1:16" ht="25.5">
      <c r="A72" s="7">
        <v>8.5</v>
      </c>
      <c r="B72" s="8" t="s">
        <v>324</v>
      </c>
      <c r="C72" s="8" t="s">
        <v>338</v>
      </c>
      <c r="D72" s="8" t="s">
        <v>339</v>
      </c>
      <c r="E72" s="8" t="s">
        <v>12</v>
      </c>
      <c r="F72" s="8" t="s">
        <v>327</v>
      </c>
      <c r="G72" s="8" t="s">
        <v>328</v>
      </c>
      <c r="H72" s="8" t="s">
        <v>329</v>
      </c>
      <c r="I72" s="7"/>
      <c r="J72" s="9"/>
      <c r="K72" s="9"/>
      <c r="L72" s="10"/>
      <c r="M72" s="10" t="str">
        <f>IF(OR(L72="",K72=""),"",WORKDAY(L72,K72-1))</f>
        <v/>
      </c>
      <c r="N72" s="7" t="s">
        <v>4</v>
      </c>
      <c r="O72" s="11">
        <v>0</v>
      </c>
      <c r="P72" s="8"/>
    </row>
    <row r="73" spans="1:16" ht="38.25">
      <c r="A73" s="7">
        <v>8.6</v>
      </c>
      <c r="B73" s="8" t="s">
        <v>324</v>
      </c>
      <c r="C73" s="8" t="s">
        <v>340</v>
      </c>
      <c r="D73" s="8" t="s">
        <v>341</v>
      </c>
      <c r="E73" s="8" t="s">
        <v>12</v>
      </c>
      <c r="F73" s="8" t="s">
        <v>342</v>
      </c>
      <c r="G73" s="8" t="s">
        <v>343</v>
      </c>
      <c r="H73" s="8" t="s">
        <v>344</v>
      </c>
      <c r="I73" s="7"/>
      <c r="J73" s="9"/>
      <c r="K73" s="9"/>
      <c r="L73" s="10"/>
      <c r="M73" s="10" t="str">
        <f>IF(OR(L73="",K73=""),"",WORKDAY(L73,K73-1))</f>
        <v/>
      </c>
      <c r="N73" s="7" t="s">
        <v>4</v>
      </c>
      <c r="O73" s="11">
        <v>0</v>
      </c>
      <c r="P73" s="8"/>
    </row>
    <row r="74" spans="1:16" ht="38.25">
      <c r="A74" s="7">
        <v>8.6999999999999993</v>
      </c>
      <c r="B74" s="8" t="s">
        <v>324</v>
      </c>
      <c r="C74" s="8" t="s">
        <v>345</v>
      </c>
      <c r="D74" s="8" t="s">
        <v>346</v>
      </c>
      <c r="E74" s="8" t="s">
        <v>12</v>
      </c>
      <c r="F74" s="8" t="s">
        <v>347</v>
      </c>
      <c r="G74" s="8" t="s">
        <v>348</v>
      </c>
      <c r="H74" s="8" t="s">
        <v>349</v>
      </c>
      <c r="I74" s="7"/>
      <c r="J74" s="9"/>
      <c r="K74" s="9"/>
      <c r="L74" s="10"/>
      <c r="M74" s="10" t="str">
        <f>IF(OR(L74="",K74=""),"",WORKDAY(L74,K74-1))</f>
        <v/>
      </c>
      <c r="N74" s="7" t="s">
        <v>4</v>
      </c>
      <c r="O74" s="11">
        <v>0</v>
      </c>
      <c r="P74" s="8"/>
    </row>
    <row r="75" spans="1:16" ht="38.25">
      <c r="A75" s="7">
        <v>8.8000000000000007</v>
      </c>
      <c r="B75" s="8" t="s">
        <v>324</v>
      </c>
      <c r="C75" s="8" t="s">
        <v>350</v>
      </c>
      <c r="D75" s="8" t="s">
        <v>351</v>
      </c>
      <c r="E75" s="8" t="s">
        <v>12</v>
      </c>
      <c r="F75" s="8" t="s">
        <v>352</v>
      </c>
      <c r="G75" s="8" t="s">
        <v>353</v>
      </c>
      <c r="H75" s="8" t="s">
        <v>354</v>
      </c>
      <c r="I75" s="7"/>
      <c r="J75" s="9"/>
      <c r="K75" s="9"/>
      <c r="L75" s="10"/>
      <c r="M75" s="10" t="str">
        <f>IF(OR(L75="",K75=""),"",WORKDAY(L75,K75-1))</f>
        <v/>
      </c>
      <c r="N75" s="7" t="s">
        <v>4</v>
      </c>
      <c r="O75" s="11">
        <v>0</v>
      </c>
      <c r="P75" s="8"/>
    </row>
    <row r="76" spans="1:16" ht="38.25">
      <c r="A76" s="7">
        <v>8.9</v>
      </c>
      <c r="B76" s="8" t="s">
        <v>324</v>
      </c>
      <c r="C76" s="8" t="s">
        <v>355</v>
      </c>
      <c r="D76" s="8" t="s">
        <v>356</v>
      </c>
      <c r="E76" s="8" t="s">
        <v>12</v>
      </c>
      <c r="F76" s="8" t="s">
        <v>357</v>
      </c>
      <c r="G76" s="8" t="s">
        <v>358</v>
      </c>
      <c r="H76" s="8" t="s">
        <v>359</v>
      </c>
      <c r="I76" s="7"/>
      <c r="J76" s="9"/>
      <c r="K76" s="9"/>
      <c r="L76" s="10"/>
      <c r="M76" s="10" t="str">
        <f>IF(OR(L76="",K76=""),"",WORKDAY(L76,K76-1))</f>
        <v/>
      </c>
      <c r="N76" s="7" t="s">
        <v>4</v>
      </c>
      <c r="O76" s="11">
        <v>0</v>
      </c>
      <c r="P76" s="8"/>
    </row>
    <row r="77" spans="1:16" ht="25.5">
      <c r="A77" s="7">
        <v>8.1</v>
      </c>
      <c r="B77" s="8" t="s">
        <v>324</v>
      </c>
      <c r="C77" s="8" t="s">
        <v>360</v>
      </c>
      <c r="D77" s="8" t="s">
        <v>361</v>
      </c>
      <c r="E77" s="8" t="s">
        <v>12</v>
      </c>
      <c r="F77" s="8" t="s">
        <v>12</v>
      </c>
      <c r="G77" s="8" t="s">
        <v>362</v>
      </c>
      <c r="H77" s="8" t="s">
        <v>363</v>
      </c>
      <c r="I77" s="7"/>
      <c r="J77" s="9"/>
      <c r="K77" s="9"/>
      <c r="L77" s="10"/>
      <c r="M77" s="10" t="str">
        <f>IF(OR(L77="",K77=""),"",WORKDAY(L77,K77-1))</f>
        <v/>
      </c>
      <c r="N77" s="7" t="s">
        <v>4</v>
      </c>
      <c r="O77" s="11">
        <v>0</v>
      </c>
      <c r="P77" s="8"/>
    </row>
    <row r="78" spans="1:16" ht="38.25">
      <c r="A78" s="7">
        <v>9.1</v>
      </c>
      <c r="B78" s="8" t="s">
        <v>364</v>
      </c>
      <c r="C78" s="8" t="s">
        <v>365</v>
      </c>
      <c r="D78" s="8" t="s">
        <v>366</v>
      </c>
      <c r="E78" s="8" t="s">
        <v>13</v>
      </c>
      <c r="F78" s="8" t="s">
        <v>367</v>
      </c>
      <c r="G78" s="8">
        <v>1.2</v>
      </c>
      <c r="H78" s="8" t="s">
        <v>368</v>
      </c>
      <c r="I78" s="7"/>
      <c r="J78" s="9"/>
      <c r="K78" s="9"/>
      <c r="L78" s="10"/>
      <c r="M78" s="10" t="str">
        <f>IF(OR(L78="",K78=""),"",WORKDAY(L78,K78-1))</f>
        <v/>
      </c>
      <c r="N78" s="7" t="s">
        <v>4</v>
      </c>
      <c r="O78" s="11">
        <v>0</v>
      </c>
      <c r="P78" s="8"/>
    </row>
    <row r="79" spans="1:16" ht="63.75">
      <c r="A79" s="7">
        <v>9.1999999999999993</v>
      </c>
      <c r="B79" s="8" t="s">
        <v>364</v>
      </c>
      <c r="C79" s="8" t="s">
        <v>369</v>
      </c>
      <c r="D79" s="8" t="s">
        <v>370</v>
      </c>
      <c r="E79" s="8" t="s">
        <v>13</v>
      </c>
      <c r="F79" s="8" t="s">
        <v>371</v>
      </c>
      <c r="G79" s="8">
        <v>9.1</v>
      </c>
      <c r="H79" s="8" t="s">
        <v>372</v>
      </c>
      <c r="I79" s="7"/>
      <c r="J79" s="9"/>
      <c r="K79" s="9"/>
      <c r="L79" s="10"/>
      <c r="M79" s="10" t="str">
        <f>IF(OR(L79="",K79=""),"",WORKDAY(L79,K79-1))</f>
        <v/>
      </c>
      <c r="N79" s="7" t="s">
        <v>4</v>
      </c>
      <c r="O79" s="11">
        <v>0</v>
      </c>
      <c r="P79" s="8"/>
    </row>
    <row r="80" spans="1:16" ht="38.25">
      <c r="A80" s="7">
        <v>9.3000000000000007</v>
      </c>
      <c r="B80" s="8" t="s">
        <v>364</v>
      </c>
      <c r="C80" s="8" t="s">
        <v>373</v>
      </c>
      <c r="D80" s="8" t="s">
        <v>374</v>
      </c>
      <c r="E80" s="8" t="s">
        <v>13</v>
      </c>
      <c r="F80" s="8" t="s">
        <v>375</v>
      </c>
      <c r="G80" s="8" t="s">
        <v>376</v>
      </c>
      <c r="H80" s="8" t="s">
        <v>377</v>
      </c>
      <c r="I80" s="7"/>
      <c r="J80" s="9"/>
      <c r="K80" s="9"/>
      <c r="L80" s="10"/>
      <c r="M80" s="10" t="str">
        <f>IF(OR(L80="",K80=""),"",WORKDAY(L80,K80-1))</f>
        <v/>
      </c>
      <c r="N80" s="7" t="s">
        <v>4</v>
      </c>
      <c r="O80" s="11">
        <v>0</v>
      </c>
      <c r="P80" s="8"/>
    </row>
    <row r="81" spans="1:16" ht="51">
      <c r="A81" s="7">
        <v>9.4</v>
      </c>
      <c r="B81" s="8" t="s">
        <v>364</v>
      </c>
      <c r="C81" s="8" t="s">
        <v>378</v>
      </c>
      <c r="D81" s="8" t="s">
        <v>379</v>
      </c>
      <c r="E81" s="8" t="s">
        <v>13</v>
      </c>
      <c r="F81" s="8" t="s">
        <v>380</v>
      </c>
      <c r="G81" s="8" t="s">
        <v>381</v>
      </c>
      <c r="H81" s="8" t="s">
        <v>382</v>
      </c>
      <c r="I81" s="7"/>
      <c r="J81" s="9"/>
      <c r="K81" s="9"/>
      <c r="L81" s="10"/>
      <c r="M81" s="10" t="str">
        <f>IF(OR(L81="",K81=""),"",WORKDAY(L81,K81-1))</f>
        <v/>
      </c>
      <c r="N81" s="7" t="s">
        <v>4</v>
      </c>
      <c r="O81" s="11">
        <v>0</v>
      </c>
      <c r="P81" s="8"/>
    </row>
    <row r="82" spans="1:16" ht="63.75">
      <c r="A82" s="7">
        <v>9.5</v>
      </c>
      <c r="B82" s="8" t="s">
        <v>364</v>
      </c>
      <c r="C82" s="8" t="s">
        <v>383</v>
      </c>
      <c r="D82" s="8" t="s">
        <v>384</v>
      </c>
      <c r="E82" s="8" t="s">
        <v>13</v>
      </c>
      <c r="F82" s="8" t="s">
        <v>385</v>
      </c>
      <c r="G82" s="8" t="s">
        <v>386</v>
      </c>
      <c r="H82" s="8" t="s">
        <v>387</v>
      </c>
      <c r="I82" s="7"/>
      <c r="J82" s="9"/>
      <c r="K82" s="9"/>
      <c r="L82" s="10"/>
      <c r="M82" s="10" t="str">
        <f>IF(OR(L82="",K82=""),"",WORKDAY(L82,K82-1))</f>
        <v/>
      </c>
      <c r="N82" s="7" t="s">
        <v>4</v>
      </c>
      <c r="O82" s="11">
        <v>0</v>
      </c>
      <c r="P82" s="8"/>
    </row>
    <row r="83" spans="1:16" ht="38.25">
      <c r="A83" s="7">
        <v>9.6</v>
      </c>
      <c r="B83" s="8" t="s">
        <v>364</v>
      </c>
      <c r="C83" s="8" t="s">
        <v>388</v>
      </c>
      <c r="D83" s="8" t="s">
        <v>389</v>
      </c>
      <c r="E83" s="8" t="s">
        <v>13</v>
      </c>
      <c r="F83" s="8" t="s">
        <v>390</v>
      </c>
      <c r="G83" s="8">
        <v>9.5</v>
      </c>
      <c r="H83" s="8" t="s">
        <v>391</v>
      </c>
      <c r="I83" s="7"/>
      <c r="J83" s="9"/>
      <c r="K83" s="9"/>
      <c r="L83" s="10"/>
      <c r="M83" s="10" t="str">
        <f>IF(OR(L83="",K83=""),"",WORKDAY(L83,K83-1))</f>
        <v/>
      </c>
      <c r="N83" s="7" t="s">
        <v>4</v>
      </c>
      <c r="O83" s="11">
        <v>0</v>
      </c>
      <c r="P83" s="8"/>
    </row>
    <row r="84" spans="1:16" ht="38.25">
      <c r="A84" s="7">
        <v>9.6999999999999993</v>
      </c>
      <c r="B84" s="8" t="s">
        <v>364</v>
      </c>
      <c r="C84" s="8" t="s">
        <v>392</v>
      </c>
      <c r="D84" s="8" t="s">
        <v>393</v>
      </c>
      <c r="E84" s="8" t="s">
        <v>13</v>
      </c>
      <c r="F84" s="8" t="s">
        <v>394</v>
      </c>
      <c r="G84" s="8" t="s">
        <v>395</v>
      </c>
      <c r="H84" s="8" t="s">
        <v>391</v>
      </c>
      <c r="I84" s="7"/>
      <c r="J84" s="9"/>
      <c r="K84" s="9"/>
      <c r="L84" s="10"/>
      <c r="M84" s="10" t="str">
        <f>IF(OR(L84="",K84=""),"",WORKDAY(L84,K84-1))</f>
        <v/>
      </c>
      <c r="N84" s="7" t="s">
        <v>4</v>
      </c>
      <c r="O84" s="11">
        <v>0</v>
      </c>
      <c r="P84" s="8"/>
    </row>
    <row r="85" spans="1:16" ht="38.25">
      <c r="A85" s="7">
        <v>9.8000000000000007</v>
      </c>
      <c r="B85" s="8" t="s">
        <v>364</v>
      </c>
      <c r="C85" s="8" t="s">
        <v>396</v>
      </c>
      <c r="D85" s="8" t="s">
        <v>397</v>
      </c>
      <c r="E85" s="8" t="s">
        <v>13</v>
      </c>
      <c r="F85" s="8" t="s">
        <v>398</v>
      </c>
      <c r="G85" s="8">
        <v>9.5</v>
      </c>
      <c r="H85" s="8" t="s">
        <v>399</v>
      </c>
      <c r="I85" s="7"/>
      <c r="J85" s="9"/>
      <c r="K85" s="9"/>
      <c r="L85" s="10"/>
      <c r="M85" s="10" t="str">
        <f>IF(OR(L85="",K85=""),"",WORKDAY(L85,K85-1))</f>
        <v/>
      </c>
      <c r="N85" s="7" t="s">
        <v>4</v>
      </c>
      <c r="O85" s="11">
        <v>0</v>
      </c>
      <c r="P85" s="8"/>
    </row>
    <row r="86" spans="1:16" ht="38.25">
      <c r="A86" s="7">
        <v>9.9</v>
      </c>
      <c r="B86" s="8" t="s">
        <v>364</v>
      </c>
      <c r="C86" s="8" t="s">
        <v>400</v>
      </c>
      <c r="D86" s="8" t="s">
        <v>401</v>
      </c>
      <c r="E86" s="8" t="s">
        <v>13</v>
      </c>
      <c r="F86" s="8" t="s">
        <v>402</v>
      </c>
      <c r="G86" s="8" t="s">
        <v>403</v>
      </c>
      <c r="H86" s="8" t="s">
        <v>404</v>
      </c>
      <c r="I86" s="7"/>
      <c r="J86" s="9"/>
      <c r="K86" s="9"/>
      <c r="L86" s="10"/>
      <c r="M86" s="10" t="str">
        <f>IF(OR(L86="",K86=""),"",WORKDAY(L86,K86-1))</f>
        <v/>
      </c>
      <c r="N86" s="7" t="s">
        <v>4</v>
      </c>
      <c r="O86" s="11">
        <v>0</v>
      </c>
      <c r="P86" s="8"/>
    </row>
    <row r="87" spans="1:16" ht="51">
      <c r="A87" s="7">
        <v>9.1</v>
      </c>
      <c r="B87" s="8" t="s">
        <v>364</v>
      </c>
      <c r="C87" s="8" t="s">
        <v>405</v>
      </c>
      <c r="D87" s="8" t="s">
        <v>406</v>
      </c>
      <c r="E87" s="8" t="s">
        <v>13</v>
      </c>
      <c r="F87" s="8" t="s">
        <v>407</v>
      </c>
      <c r="G87" s="8" t="s">
        <v>408</v>
      </c>
      <c r="H87" s="8" t="s">
        <v>409</v>
      </c>
      <c r="I87" s="7"/>
      <c r="J87" s="9"/>
      <c r="K87" s="9"/>
      <c r="L87" s="10"/>
      <c r="M87" s="10" t="str">
        <f>IF(OR(L87="",K87=""),"",WORKDAY(L87,K87-1))</f>
        <v/>
      </c>
      <c r="N87" s="7" t="s">
        <v>4</v>
      </c>
      <c r="O87" s="11">
        <v>0</v>
      </c>
      <c r="P87" s="8"/>
    </row>
    <row r="88" spans="1:16" ht="51">
      <c r="A88" s="7">
        <v>9.11</v>
      </c>
      <c r="B88" s="8" t="s">
        <v>364</v>
      </c>
      <c r="C88" s="8" t="s">
        <v>410</v>
      </c>
      <c r="D88" s="8" t="s">
        <v>411</v>
      </c>
      <c r="E88" s="8" t="s">
        <v>13</v>
      </c>
      <c r="F88" s="8" t="s">
        <v>412</v>
      </c>
      <c r="G88" s="8" t="s">
        <v>413</v>
      </c>
      <c r="H88" s="8" t="s">
        <v>414</v>
      </c>
      <c r="I88" s="7"/>
      <c r="J88" s="9"/>
      <c r="K88" s="9"/>
      <c r="L88" s="10"/>
      <c r="M88" s="10" t="str">
        <f>IF(OR(L88="",K88=""),"",WORKDAY(L88,K88-1))</f>
        <v/>
      </c>
      <c r="N88" s="7" t="s">
        <v>4</v>
      </c>
      <c r="O88" s="11">
        <v>0</v>
      </c>
      <c r="P88" s="8"/>
    </row>
    <row r="89" spans="1:16" ht="51">
      <c r="A89" s="7">
        <v>9.1199999999999992</v>
      </c>
      <c r="B89" s="8" t="s">
        <v>364</v>
      </c>
      <c r="C89" s="8" t="s">
        <v>415</v>
      </c>
      <c r="D89" s="8" t="s">
        <v>416</v>
      </c>
      <c r="E89" s="8" t="s">
        <v>13</v>
      </c>
      <c r="F89" s="8" t="s">
        <v>417</v>
      </c>
      <c r="G89" s="8" t="s">
        <v>418</v>
      </c>
      <c r="H89" s="8" t="s">
        <v>419</v>
      </c>
      <c r="I89" s="7"/>
      <c r="J89" s="9"/>
      <c r="K89" s="9"/>
      <c r="L89" s="10"/>
      <c r="M89" s="10" t="str">
        <f>IF(OR(L89="",K89=""),"",WORKDAY(L89,K89-1))</f>
        <v/>
      </c>
      <c r="N89" s="7" t="s">
        <v>4</v>
      </c>
      <c r="O89" s="11">
        <v>0</v>
      </c>
      <c r="P89" s="8"/>
    </row>
    <row r="90" spans="1:16" ht="38.25">
      <c r="A90" s="7">
        <v>9.1300000000000008</v>
      </c>
      <c r="B90" s="8" t="s">
        <v>364</v>
      </c>
      <c r="C90" s="8" t="s">
        <v>420</v>
      </c>
      <c r="D90" s="8" t="s">
        <v>421</v>
      </c>
      <c r="E90" s="8" t="s">
        <v>13</v>
      </c>
      <c r="F90" s="8" t="s">
        <v>375</v>
      </c>
      <c r="G90" s="8" t="s">
        <v>422</v>
      </c>
      <c r="H90" s="8" t="s">
        <v>423</v>
      </c>
      <c r="I90" s="7"/>
      <c r="J90" s="9"/>
      <c r="K90" s="9"/>
      <c r="L90" s="10"/>
      <c r="M90" s="10" t="str">
        <f>IF(OR(L90="",K90=""),"",WORKDAY(L90,K90-1))</f>
        <v/>
      </c>
      <c r="N90" s="7" t="s">
        <v>4</v>
      </c>
      <c r="O90" s="11">
        <v>0</v>
      </c>
      <c r="P90" s="8"/>
    </row>
    <row r="91" spans="1:16" ht="51">
      <c r="A91" s="7">
        <v>9.14</v>
      </c>
      <c r="B91" s="8" t="s">
        <v>364</v>
      </c>
      <c r="C91" s="8" t="s">
        <v>424</v>
      </c>
      <c r="D91" s="8" t="s">
        <v>425</v>
      </c>
      <c r="E91" s="8" t="s">
        <v>13</v>
      </c>
      <c r="F91" s="8" t="s">
        <v>426</v>
      </c>
      <c r="G91" s="8" t="s">
        <v>427</v>
      </c>
      <c r="H91" s="8" t="s">
        <v>428</v>
      </c>
      <c r="I91" s="7"/>
      <c r="J91" s="9"/>
      <c r="K91" s="9"/>
      <c r="L91" s="10"/>
      <c r="M91" s="10" t="str">
        <f>IF(OR(L91="",K91=""),"",WORKDAY(L91,K91-1))</f>
        <v/>
      </c>
      <c r="N91" s="7" t="s">
        <v>4</v>
      </c>
      <c r="O91" s="11">
        <v>0</v>
      </c>
      <c r="P91" s="8"/>
    </row>
    <row r="92" spans="1:16" ht="38.25">
      <c r="A92" s="7">
        <v>9.15</v>
      </c>
      <c r="B92" s="8" t="s">
        <v>364</v>
      </c>
      <c r="C92" s="8" t="s">
        <v>429</v>
      </c>
      <c r="D92" s="8" t="s">
        <v>430</v>
      </c>
      <c r="E92" s="8" t="s">
        <v>13</v>
      </c>
      <c r="F92" s="8" t="s">
        <v>431</v>
      </c>
      <c r="G92" s="8">
        <v>9.14</v>
      </c>
      <c r="H92" s="8" t="s">
        <v>432</v>
      </c>
      <c r="I92" s="7"/>
      <c r="J92" s="9"/>
      <c r="K92" s="9"/>
      <c r="L92" s="10"/>
      <c r="M92" s="10" t="str">
        <f>IF(OR(L92="",K92=""),"",WORKDAY(L92,K92-1))</f>
        <v/>
      </c>
      <c r="N92" s="7" t="s">
        <v>4</v>
      </c>
      <c r="O92" s="11">
        <v>0</v>
      </c>
      <c r="P92" s="8"/>
    </row>
  </sheetData>
  <mergeCells count="2">
    <mergeCell ref="A1:P1"/>
    <mergeCell ref="A2:P2"/>
  </mergeCells>
  <conditionalFormatting sqref="N5:N92">
    <cfRule type="cellIs" dxfId="39" priority="1" stopIfTrue="1" operator="equal">
      <formula>"Done"</formula>
    </cfRule>
    <cfRule type="cellIs" dxfId="38" priority="2" stopIfTrue="1" operator="equal">
      <formula>"Blocked"</formula>
    </cfRule>
    <cfRule type="cellIs" dxfId="37" priority="3" stopIfTrue="1" operator="equal">
      <formula>"In Progress"</formula>
    </cfRule>
  </conditionalFormatting>
  <dataValidations count="1">
    <dataValidation type="decimal" allowBlank="1" showInputMessage="1" showErrorMessage="1" sqref="O5:O92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Lists!$B$2:$B$6</xm:f>
          </x14:formula1>
          <xm:sqref>E5:E92</xm:sqref>
        </x14:dataValidation>
        <x14:dataValidation type="list" allowBlank="1" showInputMessage="1" showErrorMessage="1">
          <x14:formula1>
            <xm:f>Lists!$A$2:$A$6</xm:f>
          </x14:formula1>
          <xm:sqref>N5:N92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pane ySplit="3" topLeftCell="A4" activePane="bottomLeft" state="frozenSplit"/>
      <selection pane="bottomLeft" sqref="A1:H1"/>
    </sheetView>
  </sheetViews>
  <sheetFormatPr defaultRowHeight="12.75"/>
  <cols>
    <col min="1" max="1" width="20.7109375" style="1" customWidth="1"/>
    <col min="2" max="2" width="32.7109375" style="1" customWidth="1"/>
    <col min="3" max="3" width="30.7109375" style="1" customWidth="1"/>
    <col min="4" max="4" width="20.7109375" style="1" customWidth="1"/>
    <col min="5" max="7" width="14.7109375" style="1" customWidth="1"/>
    <col min="8" max="8" width="30.7109375" style="1" customWidth="1"/>
    <col min="9" max="16384" width="9.140625" style="1"/>
  </cols>
  <sheetData>
    <row r="1" spans="1:8" ht="19.5">
      <c r="A1" s="12" t="s">
        <v>433</v>
      </c>
      <c r="B1" s="12"/>
      <c r="C1" s="12"/>
      <c r="D1" s="12"/>
      <c r="E1" s="12"/>
      <c r="F1" s="12"/>
      <c r="G1" s="12"/>
      <c r="H1" s="12"/>
    </row>
    <row r="3" spans="1:8">
      <c r="A3" s="5" t="s">
        <v>434</v>
      </c>
      <c r="B3" s="5" t="s">
        <v>435</v>
      </c>
      <c r="C3" s="5" t="s">
        <v>436</v>
      </c>
      <c r="D3" s="5" t="s">
        <v>38</v>
      </c>
      <c r="E3" s="5" t="s">
        <v>437</v>
      </c>
      <c r="F3" s="5" t="s">
        <v>0</v>
      </c>
      <c r="G3" s="5" t="s">
        <v>438</v>
      </c>
      <c r="H3" s="5" t="s">
        <v>439</v>
      </c>
    </row>
    <row r="4" spans="1:8">
      <c r="A4" s="8" t="s">
        <v>440</v>
      </c>
      <c r="B4" s="8" t="s">
        <v>441</v>
      </c>
      <c r="C4" s="8" t="s">
        <v>442</v>
      </c>
      <c r="D4" s="8"/>
      <c r="E4" s="13"/>
      <c r="F4" s="8" t="s">
        <v>4</v>
      </c>
      <c r="G4" s="13"/>
      <c r="H4" s="8"/>
    </row>
    <row r="5" spans="1:8" ht="25.5">
      <c r="A5" s="8" t="s">
        <v>443</v>
      </c>
      <c r="B5" s="8" t="s">
        <v>444</v>
      </c>
      <c r="C5" s="8" t="s">
        <v>445</v>
      </c>
      <c r="D5" s="8"/>
      <c r="E5" s="13"/>
      <c r="F5" s="8" t="s">
        <v>4</v>
      </c>
      <c r="G5" s="13"/>
      <c r="H5" s="8"/>
    </row>
    <row r="6" spans="1:8" ht="25.5">
      <c r="A6" s="8" t="s">
        <v>446</v>
      </c>
      <c r="B6" s="8" t="s">
        <v>447</v>
      </c>
      <c r="C6" s="8" t="s">
        <v>448</v>
      </c>
      <c r="D6" s="8"/>
      <c r="E6" s="13"/>
      <c r="F6" s="8" t="s">
        <v>4</v>
      </c>
      <c r="G6" s="13"/>
      <c r="H6" s="8"/>
    </row>
    <row r="7" spans="1:8" ht="25.5">
      <c r="A7" s="8" t="s">
        <v>449</v>
      </c>
      <c r="B7" s="8" t="s">
        <v>450</v>
      </c>
      <c r="C7" s="8" t="s">
        <v>451</v>
      </c>
      <c r="D7" s="8"/>
      <c r="E7" s="13"/>
      <c r="F7" s="8" t="s">
        <v>4</v>
      </c>
      <c r="G7" s="13"/>
      <c r="H7" s="8"/>
    </row>
    <row r="8" spans="1:8" ht="25.5">
      <c r="A8" s="8" t="s">
        <v>452</v>
      </c>
      <c r="B8" s="8" t="s">
        <v>453</v>
      </c>
      <c r="C8" s="8" t="s">
        <v>454</v>
      </c>
      <c r="D8" s="8"/>
      <c r="E8" s="13"/>
      <c r="F8" s="8" t="s">
        <v>4</v>
      </c>
      <c r="G8" s="13"/>
      <c r="H8" s="8"/>
    </row>
    <row r="9" spans="1:8">
      <c r="A9" s="8" t="s">
        <v>455</v>
      </c>
      <c r="B9" s="8" t="s">
        <v>456</v>
      </c>
      <c r="C9" s="8" t="s">
        <v>457</v>
      </c>
      <c r="D9" s="8"/>
      <c r="E9" s="13"/>
      <c r="F9" s="8" t="s">
        <v>4</v>
      </c>
      <c r="G9" s="13"/>
      <c r="H9" s="8"/>
    </row>
    <row r="10" spans="1:8">
      <c r="A10" s="8" t="s">
        <v>458</v>
      </c>
      <c r="B10" s="8" t="s">
        <v>459</v>
      </c>
      <c r="C10" s="8">
        <v>7.6</v>
      </c>
      <c r="D10" s="8"/>
      <c r="E10" s="13"/>
      <c r="F10" s="8" t="s">
        <v>4</v>
      </c>
      <c r="G10" s="13"/>
      <c r="H10" s="8"/>
    </row>
    <row r="11" spans="1:8">
      <c r="A11" s="8" t="s">
        <v>460</v>
      </c>
      <c r="B11" s="8" t="s">
        <v>461</v>
      </c>
      <c r="C11" s="8" t="s">
        <v>462</v>
      </c>
      <c r="D11" s="8"/>
      <c r="E11" s="13"/>
      <c r="F11" s="8" t="s">
        <v>4</v>
      </c>
      <c r="G11" s="13"/>
      <c r="H11" s="8"/>
    </row>
    <row r="12" spans="1:8" ht="25.5">
      <c r="A12" s="8" t="s">
        <v>463</v>
      </c>
      <c r="B12" s="8" t="s">
        <v>464</v>
      </c>
      <c r="C12" s="8" t="s">
        <v>465</v>
      </c>
      <c r="D12" s="8"/>
      <c r="E12" s="13"/>
      <c r="F12" s="8" t="s">
        <v>4</v>
      </c>
      <c r="G12" s="13"/>
      <c r="H12" s="8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Lists!$A$2:$A$6</xm:f>
          </x14:formula1>
          <xm:sqref>F4:F12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workbookViewId="0">
      <pane ySplit="3" topLeftCell="A4" activePane="bottomLeft" state="frozenSplit"/>
      <selection pane="bottomLeft" sqref="A1:G1"/>
    </sheetView>
  </sheetViews>
  <sheetFormatPr defaultRowHeight="12.75"/>
  <cols>
    <col min="1" max="2" width="12.7109375" style="1" customWidth="1"/>
    <col min="3" max="3" width="34.7109375" style="1" customWidth="1"/>
    <col min="4" max="4" width="30.7109375" style="1" customWidth="1"/>
    <col min="5" max="5" width="20.7109375" style="1" customWidth="1"/>
    <col min="6" max="6" width="14.7109375" style="1" customWidth="1"/>
    <col min="7" max="7" width="30.7109375" style="1" customWidth="1"/>
    <col min="8" max="16384" width="9.140625" style="1"/>
  </cols>
  <sheetData>
    <row r="1" spans="1:7" ht="19.5">
      <c r="A1" s="12" t="s">
        <v>466</v>
      </c>
      <c r="B1" s="12"/>
      <c r="C1" s="12"/>
      <c r="D1" s="12"/>
      <c r="E1" s="12"/>
      <c r="F1" s="12"/>
      <c r="G1" s="12"/>
    </row>
    <row r="3" spans="1:7">
      <c r="A3" s="5" t="s">
        <v>467</v>
      </c>
      <c r="B3" s="5" t="s">
        <v>468</v>
      </c>
      <c r="C3" s="5" t="s">
        <v>469</v>
      </c>
      <c r="D3" s="5" t="s">
        <v>470</v>
      </c>
      <c r="E3" s="5" t="s">
        <v>38</v>
      </c>
      <c r="F3" s="5" t="s">
        <v>0</v>
      </c>
      <c r="G3" s="5" t="s">
        <v>439</v>
      </c>
    </row>
    <row r="4" spans="1:7" ht="25.5">
      <c r="A4" s="8" t="s">
        <v>471</v>
      </c>
      <c r="B4" s="8" t="s">
        <v>472</v>
      </c>
      <c r="C4" s="8" t="s">
        <v>473</v>
      </c>
      <c r="D4" s="8" t="s">
        <v>474</v>
      </c>
      <c r="E4" s="8"/>
      <c r="F4" s="8" t="s">
        <v>4</v>
      </c>
      <c r="G4" s="8"/>
    </row>
    <row r="5" spans="1:7" ht="25.5">
      <c r="A5" s="8" t="s">
        <v>475</v>
      </c>
      <c r="B5" s="8" t="s">
        <v>476</v>
      </c>
      <c r="C5" s="8" t="s">
        <v>473</v>
      </c>
      <c r="D5" s="8" t="s">
        <v>474</v>
      </c>
      <c r="E5" s="8"/>
      <c r="F5" s="8" t="s">
        <v>4</v>
      </c>
      <c r="G5" s="8"/>
    </row>
    <row r="6" spans="1:7" ht="25.5">
      <c r="A6" s="8" t="s">
        <v>127</v>
      </c>
      <c r="B6" s="8" t="s">
        <v>477</v>
      </c>
      <c r="C6" s="8" t="s">
        <v>478</v>
      </c>
      <c r="D6" s="8" t="s">
        <v>474</v>
      </c>
      <c r="E6" s="8"/>
      <c r="F6" s="8" t="s">
        <v>4</v>
      </c>
      <c r="G6" s="8"/>
    </row>
    <row r="7" spans="1:7" ht="25.5">
      <c r="A7" s="8" t="s">
        <v>132</v>
      </c>
      <c r="B7" s="8" t="s">
        <v>479</v>
      </c>
      <c r="C7" s="8" t="s">
        <v>480</v>
      </c>
      <c r="D7" s="8" t="s">
        <v>474</v>
      </c>
      <c r="E7" s="8"/>
      <c r="F7" s="8" t="s">
        <v>4</v>
      </c>
      <c r="G7" s="8"/>
    </row>
    <row r="8" spans="1:7" ht="25.5">
      <c r="A8" s="8" t="s">
        <v>137</v>
      </c>
      <c r="B8" s="8" t="s">
        <v>481</v>
      </c>
      <c r="C8" s="8" t="s">
        <v>482</v>
      </c>
      <c r="D8" s="8" t="s">
        <v>474</v>
      </c>
      <c r="E8" s="8"/>
      <c r="F8" s="8" t="s">
        <v>4</v>
      </c>
      <c r="G8" s="8"/>
    </row>
    <row r="9" spans="1:7" ht="25.5">
      <c r="A9" s="8" t="s">
        <v>483</v>
      </c>
      <c r="B9" s="8" t="s">
        <v>484</v>
      </c>
      <c r="C9" s="8" t="s">
        <v>485</v>
      </c>
      <c r="D9" s="8" t="s">
        <v>474</v>
      </c>
      <c r="E9" s="8"/>
      <c r="F9" s="8" t="s">
        <v>4</v>
      </c>
      <c r="G9" s="8"/>
    </row>
    <row r="10" spans="1:7" ht="25.5">
      <c r="A10" s="8" t="s">
        <v>147</v>
      </c>
      <c r="B10" s="8" t="s">
        <v>486</v>
      </c>
      <c r="C10" s="8" t="s">
        <v>487</v>
      </c>
      <c r="D10" s="8" t="s">
        <v>474</v>
      </c>
      <c r="E10" s="8"/>
      <c r="F10" s="8" t="s">
        <v>4</v>
      </c>
      <c r="G10" s="8"/>
    </row>
    <row r="11" spans="1:7" ht="25.5">
      <c r="A11" s="8" t="s">
        <v>152</v>
      </c>
      <c r="B11" s="8" t="s">
        <v>488</v>
      </c>
      <c r="C11" s="8" t="s">
        <v>489</v>
      </c>
      <c r="D11" s="8" t="s">
        <v>490</v>
      </c>
      <c r="E11" s="8"/>
      <c r="F11" s="8" t="s">
        <v>4</v>
      </c>
      <c r="G11" s="8"/>
    </row>
    <row r="12" spans="1:7" ht="25.5">
      <c r="A12" s="8" t="s">
        <v>157</v>
      </c>
      <c r="B12" s="8" t="s">
        <v>491</v>
      </c>
      <c r="C12" s="8" t="s">
        <v>492</v>
      </c>
      <c r="D12" s="8" t="s">
        <v>474</v>
      </c>
      <c r="E12" s="8"/>
      <c r="F12" s="8" t="s">
        <v>4</v>
      </c>
      <c r="G12" s="8"/>
    </row>
    <row r="13" spans="1:7" ht="25.5">
      <c r="A13" s="8" t="s">
        <v>162</v>
      </c>
      <c r="B13" s="8" t="s">
        <v>493</v>
      </c>
      <c r="C13" s="8" t="s">
        <v>494</v>
      </c>
      <c r="D13" s="8" t="s">
        <v>474</v>
      </c>
      <c r="E13" s="8"/>
      <c r="F13" s="8" t="s">
        <v>4</v>
      </c>
      <c r="G13" s="8"/>
    </row>
    <row r="14" spans="1:7" ht="25.5">
      <c r="A14" s="8" t="s">
        <v>167</v>
      </c>
      <c r="B14" s="8" t="s">
        <v>495</v>
      </c>
      <c r="C14" s="8" t="s">
        <v>496</v>
      </c>
      <c r="D14" s="8" t="s">
        <v>474</v>
      </c>
      <c r="E14" s="8"/>
      <c r="F14" s="8" t="s">
        <v>4</v>
      </c>
      <c r="G14" s="8"/>
    </row>
    <row r="15" spans="1:7" ht="25.5">
      <c r="A15" s="8" t="s">
        <v>172</v>
      </c>
      <c r="B15" s="8" t="s">
        <v>497</v>
      </c>
      <c r="C15" s="8" t="s">
        <v>498</v>
      </c>
      <c r="D15" s="8" t="s">
        <v>474</v>
      </c>
      <c r="E15" s="8"/>
      <c r="F15" s="8" t="s">
        <v>4</v>
      </c>
      <c r="G15" s="8"/>
    </row>
    <row r="16" spans="1:7" ht="25.5">
      <c r="A16" s="8" t="s">
        <v>181</v>
      </c>
      <c r="B16" s="8" t="s">
        <v>499</v>
      </c>
      <c r="C16" s="8" t="s">
        <v>500</v>
      </c>
      <c r="D16" s="8" t="s">
        <v>501</v>
      </c>
      <c r="E16" s="8"/>
      <c r="F16" s="8" t="s">
        <v>4</v>
      </c>
      <c r="G16" s="8"/>
    </row>
    <row r="17" spans="1:7" ht="38.25">
      <c r="A17" s="8" t="s">
        <v>502</v>
      </c>
      <c r="B17" s="8" t="s">
        <v>503</v>
      </c>
      <c r="C17" s="8" t="s">
        <v>504</v>
      </c>
      <c r="D17" s="8" t="s">
        <v>505</v>
      </c>
      <c r="E17" s="8"/>
      <c r="F17" s="8" t="s">
        <v>4</v>
      </c>
      <c r="G17" s="8"/>
    </row>
    <row r="18" spans="1:7" ht="38.25">
      <c r="A18" s="8" t="s">
        <v>506</v>
      </c>
      <c r="B18" s="8" t="s">
        <v>507</v>
      </c>
      <c r="C18" s="8" t="s">
        <v>508</v>
      </c>
      <c r="D18" s="8" t="s">
        <v>509</v>
      </c>
      <c r="E18" s="8"/>
      <c r="F18" s="8" t="s">
        <v>4</v>
      </c>
      <c r="G18" s="8"/>
    </row>
    <row r="19" spans="1:7" ht="38.25">
      <c r="A19" s="8" t="s">
        <v>510</v>
      </c>
      <c r="B19" s="8" t="s">
        <v>511</v>
      </c>
      <c r="C19" s="8" t="s">
        <v>512</v>
      </c>
      <c r="D19" s="8" t="s">
        <v>513</v>
      </c>
      <c r="E19" s="8"/>
      <c r="F19" s="8" t="s">
        <v>4</v>
      </c>
      <c r="G19" s="8"/>
    </row>
    <row r="20" spans="1:7" ht="38.25">
      <c r="A20" s="8" t="s">
        <v>514</v>
      </c>
      <c r="B20" s="8" t="s">
        <v>515</v>
      </c>
      <c r="C20" s="8" t="s">
        <v>516</v>
      </c>
      <c r="D20" s="8" t="s">
        <v>505</v>
      </c>
      <c r="E20" s="8"/>
      <c r="F20" s="8" t="s">
        <v>4</v>
      </c>
      <c r="G20" s="8"/>
    </row>
    <row r="21" spans="1:7" ht="25.5">
      <c r="A21" s="8" t="s">
        <v>517</v>
      </c>
      <c r="B21" s="8" t="s">
        <v>518</v>
      </c>
      <c r="C21" s="8" t="s">
        <v>519</v>
      </c>
      <c r="D21" s="8" t="s">
        <v>520</v>
      </c>
      <c r="E21" s="8"/>
      <c r="F21" s="8" t="s">
        <v>4</v>
      </c>
      <c r="G21" s="8"/>
    </row>
    <row r="22" spans="1:7" ht="25.5">
      <c r="A22" s="8" t="s">
        <v>177</v>
      </c>
      <c r="B22" s="8" t="s">
        <v>521</v>
      </c>
      <c r="C22" s="8" t="s">
        <v>522</v>
      </c>
      <c r="D22" s="8" t="s">
        <v>474</v>
      </c>
      <c r="E22" s="8"/>
      <c r="F22" s="8" t="s">
        <v>4</v>
      </c>
      <c r="G22" s="8"/>
    </row>
    <row r="23" spans="1:7" ht="25.5">
      <c r="A23" s="8" t="s">
        <v>186</v>
      </c>
      <c r="B23" s="8" t="s">
        <v>523</v>
      </c>
      <c r="C23" s="8" t="s">
        <v>524</v>
      </c>
      <c r="D23" s="8" t="s">
        <v>474</v>
      </c>
      <c r="E23" s="8"/>
      <c r="F23" s="8" t="s">
        <v>4</v>
      </c>
      <c r="G23" s="8"/>
    </row>
    <row r="24" spans="1:7" ht="63.75">
      <c r="A24" s="8" t="s">
        <v>426</v>
      </c>
      <c r="B24" s="8" t="s">
        <v>525</v>
      </c>
      <c r="C24" s="8" t="s">
        <v>526</v>
      </c>
      <c r="D24" s="8" t="s">
        <v>527</v>
      </c>
      <c r="E24" s="8"/>
      <c r="F24" s="8" t="s">
        <v>4</v>
      </c>
      <c r="G24" s="8"/>
    </row>
  </sheetData>
  <mergeCells count="1">
    <mergeCell ref="A1: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Lists!$A$2:$A$6</xm:f>
          </x14:formula1>
          <xm:sqref>F4:F24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workbookViewId="0">
      <pane ySplit="3" topLeftCell="A4" activePane="bottomLeft" state="frozenSplit"/>
      <selection pane="bottomLeft" sqref="A1:F1"/>
    </sheetView>
  </sheetViews>
  <sheetFormatPr defaultRowHeight="12.75"/>
  <cols>
    <col min="1" max="1" width="28.7109375" style="1" customWidth="1"/>
    <col min="2" max="2" width="34.7109375" style="1" customWidth="1"/>
    <col min="3" max="3" width="44.7109375" style="1" customWidth="1"/>
    <col min="4" max="4" width="20.7109375" style="1" customWidth="1"/>
    <col min="5" max="5" width="14.7109375" style="1" customWidth="1"/>
    <col min="6" max="6" width="30.7109375" style="1" customWidth="1"/>
    <col min="7" max="16384" width="9.140625" style="1"/>
  </cols>
  <sheetData>
    <row r="1" spans="1:6" ht="19.5">
      <c r="A1" s="12" t="s">
        <v>528</v>
      </c>
      <c r="B1" s="12"/>
      <c r="C1" s="12"/>
      <c r="D1" s="12"/>
      <c r="E1" s="12"/>
      <c r="F1" s="12"/>
    </row>
    <row r="3" spans="1:6">
      <c r="A3" s="5" t="s">
        <v>529</v>
      </c>
      <c r="B3" s="5" t="s">
        <v>530</v>
      </c>
      <c r="C3" s="5" t="s">
        <v>531</v>
      </c>
      <c r="D3" s="5" t="s">
        <v>38</v>
      </c>
      <c r="E3" s="5" t="s">
        <v>0</v>
      </c>
      <c r="F3" s="5" t="s">
        <v>532</v>
      </c>
    </row>
    <row r="4" spans="1:6" ht="51">
      <c r="A4" s="8" t="s">
        <v>533</v>
      </c>
      <c r="B4" s="8" t="s">
        <v>534</v>
      </c>
      <c r="C4" s="8" t="s">
        <v>535</v>
      </c>
      <c r="D4" s="8"/>
      <c r="E4" s="8" t="s">
        <v>14</v>
      </c>
      <c r="F4" s="8"/>
    </row>
    <row r="5" spans="1:6" ht="51">
      <c r="A5" s="8" t="s">
        <v>536</v>
      </c>
      <c r="B5" s="8" t="s">
        <v>537</v>
      </c>
      <c r="C5" s="8" t="s">
        <v>538</v>
      </c>
      <c r="D5" s="8"/>
      <c r="E5" s="8" t="s">
        <v>14</v>
      </c>
      <c r="F5" s="8"/>
    </row>
    <row r="6" spans="1:6" ht="38.25">
      <c r="A6" s="8" t="s">
        <v>539</v>
      </c>
      <c r="B6" s="8" t="s">
        <v>540</v>
      </c>
      <c r="C6" s="8" t="s">
        <v>541</v>
      </c>
      <c r="D6" s="8"/>
      <c r="E6" s="8" t="s">
        <v>14</v>
      </c>
      <c r="F6" s="8"/>
    </row>
    <row r="7" spans="1:6" ht="38.25">
      <c r="A7" s="8" t="s">
        <v>542</v>
      </c>
      <c r="B7" s="8" t="s">
        <v>543</v>
      </c>
      <c r="C7" s="8" t="s">
        <v>544</v>
      </c>
      <c r="D7" s="8"/>
      <c r="E7" s="8" t="s">
        <v>14</v>
      </c>
      <c r="F7" s="8"/>
    </row>
    <row r="8" spans="1:6" ht="38.25">
      <c r="A8" s="8" t="s">
        <v>545</v>
      </c>
      <c r="B8" s="8" t="s">
        <v>546</v>
      </c>
      <c r="C8" s="8" t="s">
        <v>547</v>
      </c>
      <c r="D8" s="8"/>
      <c r="E8" s="8" t="s">
        <v>14</v>
      </c>
      <c r="F8" s="8"/>
    </row>
    <row r="9" spans="1:6" ht="38.25">
      <c r="A9" s="8" t="s">
        <v>548</v>
      </c>
      <c r="B9" s="8" t="s">
        <v>549</v>
      </c>
      <c r="C9" s="8" t="s">
        <v>550</v>
      </c>
      <c r="D9" s="8"/>
      <c r="E9" s="8" t="s">
        <v>14</v>
      </c>
      <c r="F9" s="8"/>
    </row>
    <row r="10" spans="1:6" ht="38.25">
      <c r="A10" s="8" t="s">
        <v>551</v>
      </c>
      <c r="B10" s="8" t="s">
        <v>552</v>
      </c>
      <c r="C10" s="8" t="s">
        <v>553</v>
      </c>
      <c r="D10" s="8"/>
      <c r="E10" s="8" t="s">
        <v>14</v>
      </c>
      <c r="F10" s="8"/>
    </row>
  </sheetData>
  <mergeCells count="1">
    <mergeCell ref="A1:F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Lists!$C$2:$C$6</xm:f>
          </x14:formula1>
          <xm:sqref>E4:E10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GridLines="0" workbookViewId="0">
      <pane ySplit="3" topLeftCell="A4" activePane="bottomLeft" state="frozenSplit"/>
      <selection pane="bottomLeft" sqref="A1:H1"/>
    </sheetView>
  </sheetViews>
  <sheetFormatPr defaultRowHeight="12.75"/>
  <cols>
    <col min="1" max="1" width="16.7109375" style="1" customWidth="1"/>
    <col min="2" max="2" width="40.7109375" style="1" customWidth="1"/>
    <col min="3" max="3" width="22.7109375" style="1" customWidth="1"/>
    <col min="4" max="4" width="38.7109375" style="1" customWidth="1"/>
    <col min="5" max="5" width="20.7109375" style="1" customWidth="1"/>
    <col min="6" max="6" width="16.7109375" style="1" customWidth="1"/>
    <col min="7" max="7" width="14.7109375" style="1" customWidth="1"/>
    <col min="8" max="8" width="32.7109375" style="1" customWidth="1"/>
    <col min="9" max="16384" width="9.140625" style="1"/>
  </cols>
  <sheetData>
    <row r="1" spans="1:8" ht="19.5">
      <c r="A1" s="12" t="s">
        <v>554</v>
      </c>
      <c r="B1" s="12"/>
      <c r="C1" s="12"/>
      <c r="D1" s="12"/>
      <c r="E1" s="12"/>
      <c r="F1" s="12"/>
      <c r="G1" s="12"/>
      <c r="H1" s="12"/>
    </row>
    <row r="3" spans="1:8">
      <c r="A3" s="5" t="s">
        <v>555</v>
      </c>
      <c r="B3" s="5" t="s">
        <v>556</v>
      </c>
      <c r="C3" s="5" t="s">
        <v>557</v>
      </c>
      <c r="D3" s="5" t="s">
        <v>558</v>
      </c>
      <c r="E3" s="5" t="s">
        <v>38</v>
      </c>
      <c r="F3" s="5" t="s">
        <v>0</v>
      </c>
      <c r="G3" s="5" t="s">
        <v>559</v>
      </c>
      <c r="H3" s="5" t="s">
        <v>560</v>
      </c>
    </row>
    <row r="4" spans="1:8" ht="38.25">
      <c r="A4" s="8" t="s">
        <v>561</v>
      </c>
      <c r="B4" s="8" t="s">
        <v>562</v>
      </c>
      <c r="C4" s="8" t="s">
        <v>563</v>
      </c>
      <c r="D4" s="8" t="s">
        <v>564</v>
      </c>
      <c r="E4" s="8"/>
      <c r="F4" s="8" t="s">
        <v>14</v>
      </c>
      <c r="G4" s="13"/>
      <c r="H4" s="8"/>
    </row>
    <row r="5" spans="1:8" ht="25.5">
      <c r="A5" s="8" t="s">
        <v>565</v>
      </c>
      <c r="B5" s="8" t="s">
        <v>566</v>
      </c>
      <c r="C5" s="8" t="s">
        <v>431</v>
      </c>
      <c r="D5" s="8" t="s">
        <v>567</v>
      </c>
      <c r="E5" s="8"/>
      <c r="F5" s="8" t="s">
        <v>14</v>
      </c>
      <c r="G5" s="13"/>
      <c r="H5" s="8"/>
    </row>
    <row r="6" spans="1:8" ht="25.5">
      <c r="A6" s="8" t="s">
        <v>568</v>
      </c>
      <c r="B6" s="8" t="s">
        <v>569</v>
      </c>
      <c r="C6" s="8" t="s">
        <v>570</v>
      </c>
      <c r="D6" s="8" t="s">
        <v>571</v>
      </c>
      <c r="E6" s="8"/>
      <c r="F6" s="8" t="s">
        <v>14</v>
      </c>
      <c r="G6" s="13"/>
      <c r="H6" s="8"/>
    </row>
    <row r="7" spans="1:8" ht="25.5">
      <c r="A7" s="8" t="s">
        <v>572</v>
      </c>
      <c r="B7" s="8" t="s">
        <v>573</v>
      </c>
      <c r="C7" s="8" t="s">
        <v>574</v>
      </c>
      <c r="D7" s="8" t="s">
        <v>575</v>
      </c>
      <c r="E7" s="8"/>
      <c r="F7" s="8" t="s">
        <v>14</v>
      </c>
      <c r="G7" s="13"/>
      <c r="H7" s="8"/>
    </row>
    <row r="8" spans="1:8">
      <c r="A8" s="8" t="s">
        <v>576</v>
      </c>
      <c r="B8" s="8" t="s">
        <v>577</v>
      </c>
      <c r="C8" s="8" t="s">
        <v>578</v>
      </c>
      <c r="D8" s="8" t="s">
        <v>579</v>
      </c>
      <c r="E8" s="8"/>
      <c r="F8" s="8" t="s">
        <v>14</v>
      </c>
      <c r="G8" s="13"/>
      <c r="H8" s="8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Lists!$C$2:$C$6</xm:f>
          </x14:formula1>
          <xm:sqref>F4:F8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/>
  </sheetViews>
  <sheetFormatPr defaultRowHeight="12.75"/>
  <cols>
    <col min="1" max="4" width="22.7109375" style="1" customWidth="1"/>
    <col min="5" max="16384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9</v>
      </c>
      <c r="C2" s="1" t="s">
        <v>14</v>
      </c>
      <c r="D2" s="1" t="s">
        <v>19</v>
      </c>
    </row>
    <row r="3" spans="1:4">
      <c r="A3" s="1" t="s">
        <v>5</v>
      </c>
      <c r="B3" s="1" t="s">
        <v>10</v>
      </c>
      <c r="C3" s="1" t="s">
        <v>15</v>
      </c>
      <c r="D3" s="1" t="s">
        <v>20</v>
      </c>
    </row>
    <row r="4" spans="1:4">
      <c r="A4" s="1" t="s">
        <v>6</v>
      </c>
      <c r="B4" s="1" t="s">
        <v>11</v>
      </c>
      <c r="C4" s="1" t="s">
        <v>16</v>
      </c>
      <c r="D4" s="1" t="s">
        <v>21</v>
      </c>
    </row>
    <row r="5" spans="1:4">
      <c r="A5" s="1" t="s">
        <v>7</v>
      </c>
      <c r="B5" s="1" t="s">
        <v>12</v>
      </c>
      <c r="C5" s="1" t="s">
        <v>17</v>
      </c>
      <c r="D5" s="1" t="s">
        <v>22</v>
      </c>
    </row>
    <row r="6" spans="1:4">
      <c r="A6" s="1" t="s">
        <v>8</v>
      </c>
      <c r="B6" s="1" t="s">
        <v>13</v>
      </c>
      <c r="C6" s="1" t="s">
        <v>18</v>
      </c>
      <c r="D6" s="1" t="s">
        <v>23</v>
      </c>
    </row>
    <row r="7" spans="1:4">
      <c r="D7" s="1" t="s">
        <v>24</v>
      </c>
    </row>
    <row r="8" spans="1:4">
      <c r="D8" s="1" t="s">
        <v>25</v>
      </c>
    </row>
    <row r="9" spans="1:4">
      <c r="D9" s="1" t="s">
        <v>26</v>
      </c>
    </row>
    <row r="10" spans="1:4">
      <c r="D10" s="1" t="s">
        <v>27</v>
      </c>
    </row>
    <row r="11" spans="1:4">
      <c r="D1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WBS</vt:lpstr>
      <vt:lpstr>Milestones</vt:lpstr>
      <vt:lpstr>BR Traceability</vt:lpstr>
      <vt:lpstr>Dependencies</vt:lpstr>
      <vt:lpstr>Gates &amp; Decisions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Doãn Phúc (493510)</dc:creator>
  <cp:lastModifiedBy>Thái Doãn Phúc (493510)</cp:lastModifiedBy>
  <dcterms:created xsi:type="dcterms:W3CDTF">2026-07-17T08:36:57Z</dcterms:created>
  <dcterms:modified xsi:type="dcterms:W3CDTF">2026-07-17T08:37:01Z</dcterms:modified>
</cp:coreProperties>
</file>